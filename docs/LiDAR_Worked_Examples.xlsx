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02 Math" sheetId="2" state="visible" r:id="rId4"/>
    <sheet name="M03 Time of Flight" sheetId="3" state="visible" r:id="rId5"/>
    <sheet name="M04 Beam" sheetId="4" state="visible" r:id="rId6"/>
    <sheet name="M05 Polar" sheetId="5" state="visible" r:id="rId7"/>
    <sheet name="M06 Rotation" sheetId="6" state="visible" r:id="rId8"/>
    <sheet name="M07 IMU" sheetId="7" state="visible" r:id="rId9"/>
    <sheet name="M08 Timing" sheetId="8" state="visible" r:id="rId10"/>
    <sheet name="M09 Calibration" sheetId="9" state="visible" r:id="rId11"/>
    <sheet name="M10 SLAM" sheetId="10" state="visible" r:id="rId12"/>
    <sheet name="M11 Scan Matching" sheetId="11" state="visible" r:id="rId13"/>
    <sheet name="M12 Factor Graphs" sheetId="12" state="visible" r:id="rId14"/>
    <sheet name="M13 Accuracy" sheetId="13" state="visible" r:id="rId15"/>
    <sheet name="M14 Error Budgets" sheetId="14" state="visible" r:id="rId16"/>
    <sheet name="M15 Ouster OS0" sheetId="15" state="visible" r:id="rId17"/>
    <sheet name="M16 GX5-GQ7" sheetId="16" state="visible" r:id="rId18"/>
    <sheet name="M17 RIEGL" sheetId="17" state="visible" r:id="rId19"/>
    <sheet name="M18 Processing" sheetId="18" state="visible" r:id="rId20"/>
    <sheet name="M19 Florida" sheetId="19" state="visible" r:id="rId21"/>
    <sheet name="M20 Practice" sheetId="20" state="visible" r:id="rId22"/>
    <sheet name="M21 Capstone" sheetId="21" state="visible" r:id="rId23"/>
    <sheet name="MC 20 m" sheetId="22" state="visible" r:id="rId24"/>
    <sheet name="Dataset"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<sst xmlns="http://schemas.openxmlformats.org/spreadsheetml/2006/main" count="3402" uniqueCount="1635">
  <si>
    <t xml:space="preserve">LiDAR from the Ground Up — Worked Example Calculator</t>
  </si>
  <si>
    <t xml:space="preserve">Companion workbook to the 6-hour Mobile LiDAR Survey Seminar, D.S. Banks, PSM</t>
  </si>
  <si>
    <t xml:space="preserve">Every numbered worked example in the seminar book is rebuilt here with live Excel formulas, one sheet per module.</t>
  </si>
  <si>
    <t xml:space="preserve">How to use: change any blue input on a yellow cell and every result below it recalculates. Try your own sensor, range or speed.</t>
  </si>
  <si>
    <t xml:space="preserve">Columns: Value (the formula result) · Unit · Equation as printed in the book · Book value · Check (OK when the formula matches the book within the tolerance in column H) · US feet (lengths converted) · Notes.</t>
  </si>
  <si>
    <t xml:space="preserve">Colors: blue text = input you may edit; black = formula; green = formula that pulls from another example or sheet.</t>
  </si>
  <si>
    <t xml:space="preserve">Changing an input will (correctly) turn some Checks to CHECK, because the book values were computed for the original inputs.</t>
  </si>
  <si>
    <t xml:space="preserve">Example 14.5 uses the 'MC 20 m' sheet (2,000 random draws; press F9 to redraw). The 'Dataset' sheet holds the Module 21 sample project.</t>
  </si>
  <si>
    <t xml:space="preserve">Angles are entered in degrees and converted with RADIANS(). Excel's ATAN2 takes (x, y) — the reverse of most textbooks.</t>
  </si>
  <si>
    <t xml:space="preserve">Overall status</t>
  </si>
  <si>
    <t xml:space="preserve">Values that match the book (OK)</t>
  </si>
  <si>
    <t xml:space="preserve">Values that differ (CHECK)</t>
  </si>
  <si>
    <t xml:space="preserve">Worked examples in this workbook</t>
  </si>
  <si>
    <t xml:space="preserve">Example</t>
  </si>
  <si>
    <t xml:space="preserve">Sheet</t>
  </si>
  <si>
    <t xml:space="preserve">Title (click to go there)</t>
  </si>
  <si>
    <t xml:space="preserve">Values checked</t>
  </si>
  <si>
    <t xml:space="preserve">Status</t>
  </si>
  <si>
    <t xml:space="preserve">2.1</t>
  </si>
  <si>
    <t xml:space="preserve">M02 Math</t>
  </si>
  <si>
    <t xml:space="preserve">multiplying with powers of ten</t>
  </si>
  <si>
    <t xml:space="preserve">2.2</t>
  </si>
  <si>
    <t xml:space="preserve">a tiny angle at a long range</t>
  </si>
  <si>
    <t xml:space="preserve">2.3</t>
  </si>
  <si>
    <t xml:space="preserve">a 3-4-5 triangle</t>
  </si>
  <si>
    <t xml:space="preserve">2.4</t>
  </si>
  <si>
    <t xml:space="preserve">dot and cross products</t>
  </si>
  <si>
    <t xml:space="preserve">2.5</t>
  </si>
  <si>
    <t xml:space="preserve">matrix times vector</t>
  </si>
  <si>
    <t xml:space="preserve">2.6</t>
  </si>
  <si>
    <t xml:space="preserve">five elevation errors</t>
  </si>
  <si>
    <t xml:space="preserve">3.1</t>
  </si>
  <si>
    <t xml:space="preserve">M03 Time of Flight</t>
  </si>
  <si>
    <t xml:space="preserve">range from a 400 ns echo</t>
  </si>
  <si>
    <t xml:space="preserve">3.2</t>
  </si>
  <si>
    <t xml:space="preserve">how fast can we fire?</t>
  </si>
  <si>
    <t xml:space="preserve">3.3</t>
  </si>
  <si>
    <t xml:space="preserve">phase measurement</t>
  </si>
  <si>
    <t xml:space="preserve">4.1</t>
  </si>
  <si>
    <t xml:space="preserve">M04 Beam</t>
  </si>
  <si>
    <t xml:space="preserve">spot size at 50 m and 100 m</t>
  </si>
  <si>
    <t xml:space="preserve">4.2</t>
  </si>
  <si>
    <t xml:space="preserve">comparing two targets</t>
  </si>
  <si>
    <t xml:space="preserve">4.3</t>
  </si>
  <si>
    <t xml:space="preserve">how far can I see dark asphalt?</t>
  </si>
  <si>
    <t xml:space="preserve">5.1</t>
  </si>
  <si>
    <t xml:space="preserve">M05 Polar</t>
  </si>
  <si>
    <t xml:space="preserve">one laser return to sensor coordinates</t>
  </si>
  <si>
    <t xml:space="preserve">5.2</t>
  </si>
  <si>
    <t xml:space="preserve">planning a corridor survey</t>
  </si>
  <si>
    <t xml:space="preserve">6.1</t>
  </si>
  <si>
    <t xml:space="preserve">M06 Rotation</t>
  </si>
  <si>
    <t xml:space="preserve">checking a frame with the cross product</t>
  </si>
  <si>
    <t xml:space="preserve">6.2</t>
  </si>
  <si>
    <t xml:space="preserve">rotate (3, 4) by 30°</t>
  </si>
  <si>
    <t xml:space="preserve">6.3</t>
  </si>
  <si>
    <t xml:space="preserve">one gyro step</t>
  </si>
  <si>
    <t xml:space="preserve">6.4</t>
  </si>
  <si>
    <t xml:space="preserve">0.05° heading error at 80 m</t>
  </si>
  <si>
    <t xml:space="preserve">7.1</t>
  </si>
  <si>
    <t xml:space="preserve">M07 IMU</t>
  </si>
  <si>
    <t xml:space="preserve">one strapdown step along a road</t>
  </si>
  <si>
    <t xml:space="preserve">7.2</t>
  </si>
  <si>
    <t xml:space="preserve">tactical IMU coasting through a tunnel</t>
  </si>
  <si>
    <t xml:space="preserve">7.3</t>
  </si>
  <si>
    <t xml:space="preserve">0.1° tilt error</t>
  </si>
  <si>
    <t xml:space="preserve">7.4</t>
  </si>
  <si>
    <t xml:space="preserve">preintegration in one dimension</t>
  </si>
  <si>
    <t xml:space="preserve">8.1</t>
  </si>
  <si>
    <t xml:space="preserve">M08 Timing</t>
  </si>
  <si>
    <t xml:space="preserve">a 1 ms clock offset</t>
  </si>
  <si>
    <t xml:space="preserve">8.2</t>
  </si>
  <si>
    <t xml:space="preserve">how big is the skew?</t>
  </si>
  <si>
    <t xml:space="preserve">9.1</t>
  </si>
  <si>
    <t xml:space="preserve">M09 Calibration</t>
  </si>
  <si>
    <t xml:space="preserve">boresight residual at mapping range</t>
  </si>
  <si>
    <t xml:space="preserve">9.2</t>
  </si>
  <si>
    <t xml:space="preserve">direct georeferencing, every step</t>
  </si>
  <si>
    <t xml:space="preserve">10.1</t>
  </si>
  <si>
    <t xml:space="preserve">M10 SLAM</t>
  </si>
  <si>
    <t xml:space="preserve">predicting the next pose</t>
  </si>
  <si>
    <t xml:space="preserve">10.2</t>
  </si>
  <si>
    <t xml:space="preserve">1-D Kalman update</t>
  </si>
  <si>
    <t xml:space="preserve">10.3</t>
  </si>
  <si>
    <t xml:space="preserve">EKF prediction for our motion</t>
  </si>
  <si>
    <t xml:space="preserve">10.4</t>
  </si>
  <si>
    <t xml:space="preserve">EKF correction with a pole at (25, 8)</t>
  </si>
  <si>
    <t xml:space="preserve">11.1</t>
  </si>
  <si>
    <t xml:space="preserve">M11 Scan Matching</t>
  </si>
  <si>
    <t xml:space="preserve">best fit of four matched points (with continuation)</t>
  </si>
  <si>
    <t xml:space="preserve">11.2</t>
  </si>
  <si>
    <t xml:space="preserve">edge or plane?</t>
  </si>
  <si>
    <t xml:space="preserve">11.3</t>
  </si>
  <si>
    <t xml:space="preserve">edge and plane distances</t>
  </si>
  <si>
    <t xml:space="preserve">12.1</t>
  </si>
  <si>
    <t xml:space="preserve">M12 Factor Graphs</t>
  </si>
  <si>
    <t xml:space="preserve">1-D pose graph with a GPS misclosure</t>
  </si>
  <si>
    <t xml:space="preserve">12.2</t>
  </si>
  <si>
    <t xml:space="preserve">giving a camera image its pose</t>
  </si>
  <si>
    <t xml:space="preserve">12.3</t>
  </si>
  <si>
    <t xml:space="preserve">why the camera needs calibration and timing too</t>
  </si>
  <si>
    <t xml:space="preserve">13.1</t>
  </si>
  <si>
    <t xml:space="preserve">M13 Accuracy</t>
  </si>
  <si>
    <t xml:space="preserve">vertical accuracy from ten checkpoints</t>
  </si>
  <si>
    <t xml:space="preserve">13.2</t>
  </si>
  <si>
    <t xml:space="preserve">horizontal accuracy</t>
  </si>
  <si>
    <t xml:space="preserve">14.1</t>
  </si>
  <si>
    <t xml:space="preserve">M14 Error Budgets</t>
  </si>
  <si>
    <t xml:space="preserve">height of a ground point seen by a scanner</t>
  </si>
  <si>
    <t xml:space="preserve">14.2</t>
  </si>
  <si>
    <t xml:space="preserve">curb height from one sensor — correlation helps</t>
  </si>
  <si>
    <t xml:space="preserve">14.3</t>
  </si>
  <si>
    <t xml:space="preserve">the error ellipsoid of one laser point</t>
  </si>
  <si>
    <t xml:space="preserve">14.4</t>
  </si>
  <si>
    <t xml:space="preserve">full error budget of a backpack point at 20 m</t>
  </si>
  <si>
    <t xml:space="preserve">14.5</t>
  </si>
  <si>
    <t xml:space="preserve">Monte Carlo check of the 20 m budget</t>
  </si>
  <si>
    <t xml:space="preserve">14.6</t>
  </si>
  <si>
    <t xml:space="preserve">fitting a plane to a target</t>
  </si>
  <si>
    <t xml:space="preserve">14.7</t>
  </si>
  <si>
    <t xml:space="preserve">stockpile volume error</t>
  </si>
  <si>
    <t xml:space="preserve">14.8</t>
  </si>
  <si>
    <t xml:space="preserve">RSS budget for a 5 cm (0.16 ft, 1σ) job</t>
  </si>
  <si>
    <t xml:space="preserve">14.9</t>
  </si>
  <si>
    <t xml:space="preserve">what accuracy can an OS0 backpack deliver?</t>
  </si>
  <si>
    <t xml:space="preserve">14.10</t>
  </si>
  <si>
    <t xml:space="preserve">georeferencing an OS0 point with the GX5-45 alone</t>
  </si>
  <si>
    <t xml:space="preserve">14.11</t>
  </si>
  <si>
    <t xml:space="preserve">the same point with the GQ7 and RTK</t>
  </si>
  <si>
    <t xml:space="preserve">14.12</t>
  </si>
  <si>
    <t xml:space="preserve">RiLOC-F, Case A — nadir return from 500 ft AGL</t>
  </si>
  <si>
    <t xml:space="preserve">14.13</t>
  </si>
  <si>
    <t xml:space="preserve">RiLOC-F, Case B — 500 ft slant return at the 37.5° edge</t>
  </si>
  <si>
    <t xml:space="preserve">14.14</t>
  </si>
  <si>
    <t xml:space="preserve">what ground control and strip adjustment buy you</t>
  </si>
  <si>
    <t xml:space="preserve">14.15</t>
  </si>
  <si>
    <t xml:space="preserve">capstone vertical error budget, 3 cm (0.10 ft) specification</t>
  </si>
  <si>
    <t xml:space="preserve">15.1</t>
  </si>
  <si>
    <t xml:space="preserve">M15 Ouster OS0</t>
  </si>
  <si>
    <t xml:space="preserve">spacing on a building face</t>
  </si>
  <si>
    <t xml:space="preserve">15.2</t>
  </si>
  <si>
    <t xml:space="preserve">does 4096 mode make the map sharper?</t>
  </si>
  <si>
    <t xml:space="preserve">15.3</t>
  </si>
  <si>
    <t xml:space="preserve">does the data profile matter?</t>
  </si>
  <si>
    <t xml:space="preserve">15.4</t>
  </si>
  <si>
    <t xml:space="preserve">total range error on dark asphalt</t>
  </si>
  <si>
    <t xml:space="preserve">15.5</t>
  </si>
  <si>
    <t xml:space="preserve">the ±0.01° encoder spec</t>
  </si>
  <si>
    <t xml:space="preserve">15.6</t>
  </si>
  <si>
    <t xml:space="preserve">why the OS0 must be synchronized</t>
  </si>
  <si>
    <t xml:space="preserve">15.7</t>
  </si>
  <si>
    <t xml:space="preserve">scan skew inside one rotation</t>
  </si>
  <si>
    <t xml:space="preserve">15.8</t>
  </si>
  <si>
    <t xml:space="preserve">interior as-built of a mechanical room</t>
  </si>
  <si>
    <t xml:space="preserve">16.1</t>
  </si>
  <si>
    <t xml:space="preserve">M16 GX5-GQ7</t>
  </si>
  <si>
    <t xml:space="preserve">the GX5's random walks</t>
  </si>
  <si>
    <t xml:space="preserve">16.2</t>
  </si>
  <si>
    <t xml:space="preserve">Block Loop Run 1 — a traverse that closes perfectly and is still wrong</t>
  </si>
  <si>
    <t xml:space="preserve">16.3</t>
  </si>
  <si>
    <t xml:space="preserve">a local magnetic disturbance (Run 2) and the compass rule</t>
  </si>
  <si>
    <t xml:space="preserve">16.4</t>
  </si>
  <si>
    <t xml:space="preserve">what does a typical lap look like? (hand check)</t>
  </si>
  <si>
    <t xml:space="preserve">16.5</t>
  </si>
  <si>
    <t xml:space="preserve">could the IMU alone drive the loop?</t>
  </si>
  <si>
    <t xml:space="preserve">16.6</t>
  </si>
  <si>
    <t xml:space="preserve">GX5-45 EKF: bounded, but meter-level</t>
  </si>
  <si>
    <t xml:space="preserve">16.7</t>
  </si>
  <si>
    <t xml:space="preserve">dual-antenna heading on a backpack versus a truck</t>
  </si>
  <si>
    <t xml:space="preserve">16.8</t>
  </si>
  <si>
    <t xml:space="preserve">single baseline versus VRS</t>
  </si>
  <si>
    <t xml:space="preserve">16.9</t>
  </si>
  <si>
    <t xml:space="preserve">RTK traverse: centimeters instead of meters</t>
  </si>
  <si>
    <t xml:space="preserve">16.10</t>
  </si>
  <si>
    <t xml:space="preserve">20 s and 60 s outages</t>
  </si>
  <si>
    <t xml:space="preserve">17.1</t>
  </si>
  <si>
    <t xml:space="preserve">M17 RIEGL</t>
  </si>
  <si>
    <t xml:space="preserve">multiple-time-around (MTA) at 2400 kHz</t>
  </si>
  <si>
    <t xml:space="preserve">17.2</t>
  </si>
  <si>
    <t xml:space="preserve">atmospheric correction</t>
  </si>
  <si>
    <t xml:space="preserve">17.3</t>
  </si>
  <si>
    <t xml:space="preserve">point density at 500 ft</t>
  </si>
  <si>
    <t xml:space="preserve">18.1</t>
  </si>
  <si>
    <t xml:space="preserve">M18 Processing</t>
  </si>
  <si>
    <t xml:space="preserve">statistical outlier removal (SOR) on eight points</t>
  </si>
  <si>
    <t xml:space="preserve">18.2</t>
  </si>
  <si>
    <t xml:space="preserve">stockpile volume</t>
  </si>
  <si>
    <t xml:space="preserve">19.1</t>
  </si>
  <si>
    <t xml:space="preserve">M19 Florida</t>
  </si>
  <si>
    <t xml:space="preserve">sealing a 40-tile LAZ delivery with a signature file</t>
  </si>
  <si>
    <t xml:space="preserve">19.2</t>
  </si>
  <si>
    <t xml:space="preserve">why the foot matters</t>
  </si>
  <si>
    <t xml:space="preserve">20.1</t>
  </si>
  <si>
    <t xml:space="preserve">M20 Practice</t>
  </si>
  <si>
    <t xml:space="preserve">can the RIEGL case study be flown by drone?</t>
  </si>
  <si>
    <t xml:space="preserve">21.1</t>
  </si>
  <si>
    <t xml:space="preserve">M21 Capstone</t>
  </si>
  <si>
    <t xml:space="preserve">drive speed from point spacing</t>
  </si>
  <si>
    <t xml:space="preserve">21.2</t>
  </si>
  <si>
    <t xml:space="preserve">the underpass: how bad is an unaided IMU?</t>
  </si>
  <si>
    <t xml:space="preserve">21.3</t>
  </si>
  <si>
    <t xml:space="preserve">timing and calibration checks</t>
  </si>
  <si>
    <t xml:space="preserve">21.4</t>
  </si>
  <si>
    <t xml:space="preserve">vertical error budget (full budget in Module 14)</t>
  </si>
  <si>
    <t xml:space="preserve">21.5</t>
  </si>
  <si>
    <t xml:space="preserve">control and checkpoint layout</t>
  </si>
  <si>
    <t xml:space="preserve">21.6</t>
  </si>
  <si>
    <t xml:space="preserve">the accuracy results</t>
  </si>
  <si>
    <t xml:space="preserve">21 data</t>
  </si>
  <si>
    <t xml:space="preserve">Dataset</t>
  </si>
  <si>
    <t xml:space="preserve">sample project: 30 checkpoints and accuracy report</t>
  </si>
  <si>
    <t xml:space="preserve">Module 2 — Math Toolkit: worked examples</t>
  </si>
  <si>
    <t xml:space="preserve">Blue = input (edit it)   Black = formula   Green = linked from another example/sheet   Check = formula result vs. the value printed in the seminar book</t>
  </si>
  <si>
    <t xml:space="preserve">Step / quantity</t>
  </si>
  <si>
    <t xml:space="preserve">Value</t>
  </si>
  <si>
    <t xml:space="preserve">Unit</t>
  </si>
  <si>
    <t xml:space="preserve">Equation (as in the book)</t>
  </si>
  <si>
    <t xml:space="preserve">Book value</t>
  </si>
  <si>
    <t xml:space="preserve">Check vs. book</t>
  </si>
  <si>
    <t xml:space="preserve">US feet</t>
  </si>
  <si>
    <t xml:space="preserve">Tolerance</t>
  </si>
  <si>
    <t xml:space="preserve">Notes</t>
  </si>
  <si>
    <t xml:space="preserve">Worked example 2.1 — multiplying with powers of ten</t>
  </si>
  <si>
    <t xml:space="preserve">Given: c = 2.997×10⁸ m/s, t = 4.00×10⁻⁷ s. Find c×t.</t>
  </si>
  <si>
    <t xml:space="preserve">Speed c</t>
  </si>
  <si>
    <t xml:space="preserve">m/s</t>
  </si>
  <si>
    <t xml:space="preserve">input</t>
  </si>
  <si>
    <t xml:space="preserve">Time t</t>
  </si>
  <si>
    <t xml:space="preserve">s</t>
  </si>
  <si>
    <t xml:space="preserve">c × t</t>
  </si>
  <si>
    <t xml:space="preserve">m</t>
  </si>
  <si>
    <t xml:space="preserve">c·t = 2.997×4.00 × 10^(8−7)</t>
  </si>
  <si>
    <t xml:space="preserve">Worked example 2.2 — a tiny angle at a long range</t>
  </si>
  <si>
    <t xml:space="preserve">Given: Aiming error 20 arc-seconds at 100 m.</t>
  </si>
  <si>
    <t xml:space="preserve">Angle</t>
  </si>
  <si>
    <t xml:space="preserve">arc-sec</t>
  </si>
  <si>
    <t xml:space="preserve">Distance</t>
  </si>
  <si>
    <t xml:space="preserve">Seconds to degrees</t>
  </si>
  <si>
    <t xml:space="preserve">deg</t>
  </si>
  <si>
    <t xml:space="preserve">a/3600</t>
  </si>
  <si>
    <t xml:space="preserve">Degrees to radians</t>
  </si>
  <si>
    <t xml:space="preserve">rad</t>
  </si>
  <si>
    <t xml:space="preserve">deg × π/180</t>
  </si>
  <si>
    <t xml:space="preserve">Arc length (sideways)</t>
  </si>
  <si>
    <t xml:space="preserve">s = d·θ (rad)</t>
  </si>
  <si>
    <t xml:space="preserve">Worked example 2.3 — a 3-4-5 triangle</t>
  </si>
  <si>
    <t xml:space="preserve">Given: Slope distance 5.000 m at 36.87° above horizontal.</t>
  </si>
  <si>
    <t xml:space="preserve">Slope distance</t>
  </si>
  <si>
    <t xml:space="preserve">Angle above horizontal</t>
  </si>
  <si>
    <t xml:space="preserve">Across</t>
  </si>
  <si>
    <t xml:space="preserve">L cos θ</t>
  </si>
  <si>
    <t xml:space="preserve">Up</t>
  </si>
  <si>
    <t xml:space="preserve">L sin θ</t>
  </si>
  <si>
    <t xml:space="preserve">Check: length</t>
  </si>
  <si>
    <t xml:space="preserve">√(x²+z²)</t>
  </si>
  <si>
    <t xml:space="preserve">Worked example 2.4 — dot and cross products</t>
  </si>
  <si>
    <t xml:space="preserve">Given: a = (1, 2, 0), b = (3, 0, 0).</t>
  </si>
  <si>
    <t xml:space="preserve">a1</t>
  </si>
  <si>
    <t xml:space="preserve">a2</t>
  </si>
  <si>
    <t xml:space="preserve">a3</t>
  </si>
  <si>
    <t xml:space="preserve">b1</t>
  </si>
  <si>
    <t xml:space="preserve">b2</t>
  </si>
  <si>
    <t xml:space="preserve">b3</t>
  </si>
  <si>
    <t xml:space="preserve">Dot product a·b</t>
  </si>
  <si>
    <t xml:space="preserve">a1b1+a2b2+a3b3</t>
  </si>
  <si>
    <t xml:space="preserve">Cross x</t>
  </si>
  <si>
    <t xml:space="preserve">a2b3 − a3b2</t>
  </si>
  <si>
    <t xml:space="preserve">Cross y</t>
  </si>
  <si>
    <t xml:space="preserve">a3b1 − a1b3</t>
  </si>
  <si>
    <t xml:space="preserve">Cross z</t>
  </si>
  <si>
    <t xml:space="preserve">a1b2 − a2b1</t>
  </si>
  <si>
    <t xml:space="preserve">Parallelogram area |a×b|</t>
  </si>
  <si>
    <t xml:space="preserve">‖a×b‖</t>
  </si>
  <si>
    <t xml:space="preserve">Base |b|</t>
  </si>
  <si>
    <t xml:space="preserve">‖b‖</t>
  </si>
  <si>
    <t xml:space="preserve">Point-to-line distance (height)</t>
  </si>
  <si>
    <t xml:space="preserve">‖a×b‖/‖b‖</t>
  </si>
  <si>
    <t xml:space="preserve">Worked example 2.5 — matrix times vector</t>
  </si>
  <si>
    <t xml:space="preserve">Given: M = [[2,0,1],[0,1,0],[1,0,3]], v = (1, 4, 2).</t>
  </si>
  <si>
    <t xml:space="preserve">M11</t>
  </si>
  <si>
    <t xml:space="preserve">M12</t>
  </si>
  <si>
    <t xml:space="preserve">M13</t>
  </si>
  <si>
    <t xml:space="preserve">M21</t>
  </si>
  <si>
    <t xml:space="preserve">M22</t>
  </si>
  <si>
    <t xml:space="preserve">M23</t>
  </si>
  <si>
    <t xml:space="preserve">M31</t>
  </si>
  <si>
    <t xml:space="preserve">M32</t>
  </si>
  <si>
    <t xml:space="preserve">M33</t>
  </si>
  <si>
    <t xml:space="preserve">v1</t>
  </si>
  <si>
    <t xml:space="preserve">v2</t>
  </si>
  <si>
    <t xml:space="preserve">v3</t>
  </si>
  <si>
    <t xml:space="preserve">Result row 1</t>
  </si>
  <si>
    <t xml:space="preserve">Σ M1j·vj</t>
  </si>
  <si>
    <t xml:space="preserve">Result row 2</t>
  </si>
  <si>
    <t xml:space="preserve">Σ M2j·vj</t>
  </si>
  <si>
    <t xml:space="preserve">Result row 3</t>
  </si>
  <si>
    <t xml:space="preserve">Σ M3j·vj</t>
  </si>
  <si>
    <t xml:space="preserve">Worked example 2.6 — five elevation errors</t>
  </si>
  <si>
    <t xml:space="preserve">Given: Errors +2, −1, +3, 0, +1 cm.</t>
  </si>
  <si>
    <t xml:space="preserve">Error 1</t>
  </si>
  <si>
    <t xml:space="preserve">cm</t>
  </si>
  <si>
    <t xml:space="preserve">Error 2</t>
  </si>
  <si>
    <t xml:space="preserve">Error 3</t>
  </si>
  <si>
    <t xml:space="preserve">Error 4</t>
  </si>
  <si>
    <t xml:space="preserve">Error 5</t>
  </si>
  <si>
    <t xml:space="preserve">Count n</t>
  </si>
  <si>
    <t xml:space="preserve">n</t>
  </si>
  <si>
    <t xml:space="preserve">Mean (bias)</t>
  </si>
  <si>
    <t xml:space="preserve">ē = Σe/n</t>
  </si>
  <si>
    <t xml:space="preserve">Standard deviation (n−1)</t>
  </si>
  <si>
    <t xml:space="preserve">s = √(Σ(e−ē)²/(n−1))</t>
  </si>
  <si>
    <t xml:space="preserve">RMSE</t>
  </si>
  <si>
    <t xml:space="preserve">√(Σe²/n)</t>
  </si>
  <si>
    <t xml:space="preserve">Check: ē² + s²(n−1)/n</t>
  </si>
  <si>
    <t xml:space="preserve">cm²</t>
  </si>
  <si>
    <t xml:space="preserve">→ RMSE²</t>
  </si>
  <si>
    <t xml:space="preserve">Module 3 — Time of Flight and Phase: worked examples</t>
  </si>
  <si>
    <t xml:space="preserve">Worked example 3.1 — range from a 400 ns echo</t>
  </si>
  <si>
    <t xml:space="preserve">Given: Δt = 400 ns; standard air n = 1.000300.</t>
  </si>
  <si>
    <t xml:space="preserve">Speed of light in vacuum</t>
  </si>
  <si>
    <t xml:space="preserve">Refractive index of air</t>
  </si>
  <si>
    <t xml:space="preserve">Round-trip time</t>
  </si>
  <si>
    <t xml:space="preserve">ns</t>
  </si>
  <si>
    <t xml:space="preserve">Speed of light in air</t>
  </si>
  <si>
    <t xml:space="preserve">c = c0/n</t>
  </si>
  <si>
    <t xml:space="preserve">Time in seconds</t>
  </si>
  <si>
    <t xml:space="preserve">ns × 10⁻⁹</t>
  </si>
  <si>
    <t xml:space="preserve">Round-trip path</t>
  </si>
  <si>
    <t xml:space="preserve">c·Δt</t>
  </si>
  <si>
    <t xml:space="preserve">Range</t>
  </si>
  <si>
    <t xml:space="preserve">ρ = c·Δt/2</t>
  </si>
  <si>
    <t xml:space="preserve">Worked example 3.2 — how fast can we fire?</t>
  </si>
  <si>
    <t xml:space="preserve">Given: PRF = 1 MHz, c = 2.997×10⁸ m/s.</t>
  </si>
  <si>
    <t xml:space="preserve">Pulse repetition frequency</t>
  </si>
  <si>
    <t xml:space="preserve">Hz</t>
  </si>
  <si>
    <t xml:space="preserve">Speed of light</t>
  </si>
  <si>
    <t xml:space="preserve">Time between pulses</t>
  </si>
  <si>
    <t xml:space="preserve">1/PRF</t>
  </si>
  <si>
    <t xml:space="preserve">Maximum unambiguous range</t>
  </si>
  <si>
    <t xml:space="preserve">ρmax = c/(2·PRF)</t>
  </si>
  <si>
    <t xml:space="preserve">At double the rate (2 MHz)</t>
  </si>
  <si>
    <t xml:space="preserve">c/(2·2PRF)</t>
  </si>
  <si>
    <t xml:space="preserve">Worked example 3.3 — phase measurement</t>
  </si>
  <si>
    <t xml:space="preserve">Given: fm = 10 MHz, Δφ = 90°, c = 2.997×10⁸ m/s, N = 0.</t>
  </si>
  <si>
    <t xml:space="preserve">Modulation frequency</t>
  </si>
  <si>
    <t xml:space="preserve">Phase difference</t>
  </si>
  <si>
    <t xml:space="preserve">Whole cycles N</t>
  </si>
  <si>
    <t xml:space="preserve">Modulation wavelength</t>
  </si>
  <si>
    <t xml:space="preserve">λm = c/fm</t>
  </si>
  <si>
    <t xml:space="preserve">Half-wavelength</t>
  </si>
  <si>
    <t xml:space="preserve">λm/2</t>
  </si>
  <si>
    <t xml:space="preserve">Fraction of a cycle</t>
  </si>
  <si>
    <t xml:space="preserve">Δφ/2π</t>
  </si>
  <si>
    <t xml:space="preserve">ρ = (λm/2)(N + Δφ/2π)</t>
  </si>
  <si>
    <t xml:space="preserve">Ambiguous alternative N+1</t>
  </si>
  <si>
    <t xml:space="preserve">ρ + λm/2</t>
  </si>
  <si>
    <t xml:space="preserve">Ambiguous alternative N+2</t>
  </si>
  <si>
    <t xml:space="preserve">ρ + 2·λm/2</t>
  </si>
  <si>
    <t xml:space="preserve">Module 4 — Beam, Footprint and Reflectivity: worked examples</t>
  </si>
  <si>
    <t xml:space="preserve">Worked example 4.1 — spot size at 50 m and 100 m</t>
  </si>
  <si>
    <t xml:space="preserve">Given: d0 = 5 mm, γ = 0.3 mrad.</t>
  </si>
  <si>
    <t xml:space="preserve">Exit diameter</t>
  </si>
  <si>
    <t xml:space="preserve">Divergence</t>
  </si>
  <si>
    <t xml:space="preserve">mrad</t>
  </si>
  <si>
    <t xml:space="preserve">Range 1</t>
  </si>
  <si>
    <t xml:space="preserve">Range 2</t>
  </si>
  <si>
    <t xml:space="preserve">Footprint at range 1</t>
  </si>
  <si>
    <t xml:space="preserve">D = d0 + ρ·γ</t>
  </si>
  <si>
    <t xml:space="preserve">Footprint at range 2</t>
  </si>
  <si>
    <t xml:space="preserve">Worked example 4.2 — comparing two targets</t>
  </si>
  <si>
    <t xml:space="preserve">Given: A: white concrete 0.6 at 10 m head-on; B: asphalt 0.1 at 50 m, 60° incidence.</t>
  </si>
  <si>
    <t xml:space="preserve">Reflectivity A</t>
  </si>
  <si>
    <t xml:space="preserve">Range A</t>
  </si>
  <si>
    <t xml:space="preserve">Incidence A</t>
  </si>
  <si>
    <t xml:space="preserve">Reflectivity B</t>
  </si>
  <si>
    <t xml:space="preserve">Range B</t>
  </si>
  <si>
    <t xml:space="preserve">Incidence B</t>
  </si>
  <si>
    <t xml:space="preserve">Power ratio PB/PA</t>
  </si>
  <si>
    <t xml:space="preserve">(ρB/ρA)(cos θB/cos θA)(RA²/RB²)</t>
  </si>
  <si>
    <t xml:space="preserve">A returns this many times more</t>
  </si>
  <si>
    <t xml:space="preserve">×</t>
  </si>
  <si>
    <t xml:space="preserve">1/ratio</t>
  </si>
  <si>
    <t xml:space="preserve">Worked example 4.3 — how far can I see dark asphalt?</t>
  </si>
  <si>
    <t xml:space="preserve">Given: OS0 sees a 10% target to 35 m; max range ∝ √reflectivity.</t>
  </si>
  <si>
    <t xml:space="preserve">Range on 10% target</t>
  </si>
  <si>
    <t xml:space="preserve">Reference reflectivity</t>
  </si>
  <si>
    <t xml:space="preserve">%</t>
  </si>
  <si>
    <t xml:space="preserve">Fresh asphalt reflectivity</t>
  </si>
  <si>
    <t xml:space="preserve">Max range on fresh asphalt</t>
  </si>
  <si>
    <t xml:space="preserve">R = R10·√(ρ/10%)</t>
  </si>
  <si>
    <t xml:space="preserve">Black car reflectivity</t>
  </si>
  <si>
    <t xml:space="preserve">Max range on black car</t>
  </si>
  <si>
    <t xml:space="preserve">Concrete reflectivity</t>
  </si>
  <si>
    <t xml:space="preserve">Max range on concrete</t>
  </si>
  <si>
    <t xml:space="preserve">Module 5 — Polar to Cartesian and Point Spacing: worked examples</t>
  </si>
  <si>
    <t xml:space="preserve">Worked example 5.1 — one laser return to sensor coordinates</t>
  </si>
  <si>
    <t xml:space="preserve">Given: ρ = 25.000 m, H = 40.0°, V = 15.0°; x forward, y left, z up.</t>
  </si>
  <si>
    <t xml:space="preserve">Range ρ</t>
  </si>
  <si>
    <t xml:space="preserve">Horizontal angle H</t>
  </si>
  <si>
    <t xml:space="preserve">Vertical angle V</t>
  </si>
  <si>
    <t xml:space="preserve">Horizontal part ρ cos V</t>
  </si>
  <si>
    <t xml:space="preserve">ρ cos V</t>
  </si>
  <si>
    <t xml:space="preserve">x_s</t>
  </si>
  <si>
    <t xml:space="preserve">ρ cos V cos H</t>
  </si>
  <si>
    <t xml:space="preserve">y_s</t>
  </si>
  <si>
    <t xml:space="preserve">ρ cos V sin H</t>
  </si>
  <si>
    <t xml:space="preserve">z_s</t>
  </si>
  <si>
    <t xml:space="preserve">ρ sin V</t>
  </si>
  <si>
    <t xml:space="preserve">√(x²+y²+z²) = ρ</t>
  </si>
  <si>
    <t xml:space="preserve">Worked example 5.2 — planning a corridor survey</t>
  </si>
  <si>
    <t xml:space="preserve">Given: 16 channels, 0.2° step, 10 Hz, 15 m/s, target 20 m away.</t>
  </si>
  <si>
    <t xml:space="preserve">Channels</t>
  </si>
  <si>
    <t xml:space="preserve">Horizontal step</t>
  </si>
  <si>
    <t xml:space="preserve">Rotation rate</t>
  </si>
  <si>
    <t xml:space="preserve">Speed</t>
  </si>
  <si>
    <t xml:space="preserve">Range to target</t>
  </si>
  <si>
    <t xml:space="preserve">Slower speed</t>
  </si>
  <si>
    <t xml:space="preserve">Along-track spacing</t>
  </si>
  <si>
    <t xml:space="preserve">Δalong = v/f</t>
  </si>
  <si>
    <t xml:space="preserve">Across-track spacing</t>
  </si>
  <si>
    <t xml:space="preserve">Δacross = ρ·Δθ</t>
  </si>
  <si>
    <t xml:space="preserve">Azimuth samples per rotation</t>
  </si>
  <si>
    <t xml:space="preserve">360/Δθ</t>
  </si>
  <si>
    <t xml:space="preserve">Point rate</t>
  </si>
  <si>
    <t xml:space="preserve">pts/s</t>
  </si>
  <si>
    <t xml:space="preserve">N = channels × Naz × f</t>
  </si>
  <si>
    <t xml:space="preserve">Along-track spacing at slower speed</t>
  </si>
  <si>
    <t xml:space="preserve">v2/f</t>
  </si>
  <si>
    <t xml:space="preserve">Module 6 — Pose, Right-Hand Rule and Rotations: worked examples</t>
  </si>
  <si>
    <t xml:space="preserve">Worked example 6.1 — checking a frame with the cross product</t>
  </si>
  <si>
    <t xml:space="preserve">Given: Datasheet: X forward, Y right, Z up. In FLU, forward=(1,0,0), right=(0,−1,0).</t>
  </si>
  <si>
    <t xml:space="preserve">Forward axis component 1</t>
  </si>
  <si>
    <t xml:space="preserve">Forward axis component 2</t>
  </si>
  <si>
    <t xml:space="preserve">Forward axis component 3</t>
  </si>
  <si>
    <t xml:space="preserve">Right axis component 1</t>
  </si>
  <si>
    <t xml:space="preserve">Right axis component 2</t>
  </si>
  <si>
    <t xml:space="preserve">Right axis component 3</t>
  </si>
  <si>
    <t xml:space="preserve">X × Y, x</t>
  </si>
  <si>
    <t xml:space="preserve">cross product</t>
  </si>
  <si>
    <t xml:space="preserve">X × Y, y</t>
  </si>
  <si>
    <t xml:space="preserve">X × Y, z (thumb)</t>
  </si>
  <si>
    <t xml:space="preserve">−1 = thumb points down</t>
  </si>
  <si>
    <t xml:space="preserve">Result: Z = X × Y points DOWN, so 'X forward, Y right, Z up' is left-handed. Confirm FRD with the manufacturer.</t>
  </si>
  <si>
    <t xml:space="preserve">Worked example 6.2 — rotate (3, 4) by 30°</t>
  </si>
  <si>
    <t xml:space="preserve">x</t>
  </si>
  <si>
    <t xml:space="preserve">y</t>
  </si>
  <si>
    <t xml:space="preserve">Rotation angle</t>
  </si>
  <si>
    <t xml:space="preserve">x′</t>
  </si>
  <si>
    <t xml:space="preserve">x cos α − y sin α</t>
  </si>
  <si>
    <t xml:space="preserve">y′</t>
  </si>
  <si>
    <t xml:space="preserve">x sin α + y cos α</t>
  </si>
  <si>
    <t xml:space="preserve">Length after (check)</t>
  </si>
  <si>
    <t xml:space="preserve">unchanged = 5</t>
  </si>
  <si>
    <t xml:space="preserve">Worked example 6.3 — one gyro step</t>
  </si>
  <si>
    <t xml:space="preserve">Given: ωz = 0.0842 rad/s, Δt = 0.005 s (200 Hz), start heading 0.</t>
  </si>
  <si>
    <t xml:space="preserve">Yaw rate ωz</t>
  </si>
  <si>
    <t xml:space="preserve">rad/s</t>
  </si>
  <si>
    <t xml:space="preserve">Time step</t>
  </si>
  <si>
    <t xml:space="preserve">Steps (1 s)</t>
  </si>
  <si>
    <t xml:space="preserve">Rotation in one step</t>
  </si>
  <si>
    <t xml:space="preserve">α = ω·Δt</t>
  </si>
  <si>
    <t xml:space="preserve">In degrees</t>
  </si>
  <si>
    <t xml:space="preserve">cos α</t>
  </si>
  <si>
    <t xml:space="preserve">Heading after 200 steps</t>
  </si>
  <si>
    <t xml:space="preserve">Σα</t>
  </si>
  <si>
    <t xml:space="preserve">Worked example 6.4 — 0.05° heading error at 80 m</t>
  </si>
  <si>
    <t xml:space="preserve">Heading error</t>
  </si>
  <si>
    <t xml:space="preserve">Radians</t>
  </si>
  <si>
    <t xml:space="preserve">Sideways displacement</t>
  </si>
  <si>
    <t xml:space="preserve">δ = ρ·δα</t>
  </si>
  <si>
    <t xml:space="preserve">Same error at 100 m</t>
  </si>
  <si>
    <t xml:space="preserve">100 m × δα</t>
  </si>
  <si>
    <t xml:space="preserve">0.1° at 100 m</t>
  </si>
  <si>
    <t xml:space="preserve">100 m × 0.1°</t>
  </si>
  <si>
    <t xml:space="preserve">Module 7 — IMU and Strapdown Navigation: worked examples</t>
  </si>
  <si>
    <t xml:space="preserve">Worked example 7.1 — one strapdown step along a road</t>
  </si>
  <si>
    <t xml:space="preserve">Given: 100 Hz; level; v = 15.000 m/s; x = 100.000 m; âx = 0.80, âz = 9.81 m/s².</t>
  </si>
  <si>
    <t xml:space="preserve">Velocity</t>
  </si>
  <si>
    <t xml:space="preserve">Position</t>
  </si>
  <si>
    <t xml:space="preserve">Accelerometer x</t>
  </si>
  <si>
    <t xml:space="preserve">m/s²</t>
  </si>
  <si>
    <t xml:space="preserve">Accelerometer z</t>
  </si>
  <si>
    <t xml:space="preserve">Gravity</t>
  </si>
  <si>
    <t xml:space="preserve">Vertical velocity change</t>
  </si>
  <si>
    <t xml:space="preserve">(g + âz)Δt, g = −9.81</t>
  </si>
  <si>
    <t xml:space="preserve">New forward velocity</t>
  </si>
  <si>
    <t xml:space="preserve">v + âΔt</t>
  </si>
  <si>
    <t xml:space="preserve">New forward position</t>
  </si>
  <si>
    <t xml:space="preserve">x + vΔt + ½âΔt²</t>
  </si>
  <si>
    <t xml:space="preserve">Speed-up</t>
  </si>
  <si>
    <t xml:space="preserve">mm/s</t>
  </si>
  <si>
    <t xml:space="preserve">âΔt</t>
  </si>
  <si>
    <t xml:space="preserve">Worked example 7.2 — tactical IMU coasting through a tunnel</t>
  </si>
  <si>
    <t xml:space="preserve">Given: Gyro bias 1°/h, accel bias 0.5 mg, 15 m/s, 60 s unaided.</t>
  </si>
  <si>
    <t xml:space="preserve">Gyro bias</t>
  </si>
  <si>
    <t xml:space="preserve">deg/h</t>
  </si>
  <si>
    <t xml:space="preserve">Accel bias</t>
  </si>
  <si>
    <t xml:space="preserve">mg</t>
  </si>
  <si>
    <t xml:space="preserve">Outage</t>
  </si>
  <si>
    <t xml:space="preserve">Standard gravity</t>
  </si>
  <si>
    <t xml:space="preserve">Shorter outage</t>
  </si>
  <si>
    <t xml:space="preserve">Gyro bias in rad/s</t>
  </si>
  <si>
    <t xml:space="preserve">(1/3600)°/s × π/180</t>
  </si>
  <si>
    <t xml:space="preserve">bg·t</t>
  </si>
  <si>
    <t xml:space="preserve">Heading error (deg)</t>
  </si>
  <si>
    <t xml:space="preserve">Sideways error</t>
  </si>
  <si>
    <t xml:space="preserve">½·v·bg·t²</t>
  </si>
  <si>
    <t xml:space="preserve">Accel bias in m/s²</t>
  </si>
  <si>
    <t xml:space="preserve">mg × 10⁻³ × g</t>
  </si>
  <si>
    <t xml:space="preserve">Along-track error</t>
  </si>
  <si>
    <t xml:space="preserve">½·ba·t²</t>
  </si>
  <si>
    <t xml:space="preserve">Along-track error after 30 s</t>
  </si>
  <si>
    <t xml:space="preserve">Worked example 7.3 — 0.1° tilt error</t>
  </si>
  <si>
    <t xml:space="preserve">Tilt error</t>
  </si>
  <si>
    <t xml:space="preserve">Time</t>
  </si>
  <si>
    <t xml:space="preserve">Leaked acceleration</t>
  </si>
  <si>
    <t xml:space="preserve">g sin δθ</t>
  </si>
  <si>
    <t xml:space="preserve">In mg</t>
  </si>
  <si>
    <t xml:space="preserve">Position error after t</t>
  </si>
  <si>
    <t xml:space="preserve">½·a·t²</t>
  </si>
  <si>
    <t xml:space="preserve">Worked example 7.4 — preintegration in one dimension</t>
  </si>
  <si>
    <t xml:space="preserve">Given: 10 IMU samples at 100 Hz, â = 0.50 m/s², vi = 12.000 m/s.</t>
  </si>
  <si>
    <t xml:space="preserve">Samples</t>
  </si>
  <si>
    <t xml:space="preserve">IMU rate</t>
  </si>
  <si>
    <t xml:space="preserve">Acceleration</t>
  </si>
  <si>
    <t xml:space="preserve">vi</t>
  </si>
  <si>
    <t xml:space="preserve">Sample interval</t>
  </si>
  <si>
    <t xml:space="preserve">1/f</t>
  </si>
  <si>
    <t xml:space="preserve">Δt_ij</t>
  </si>
  <si>
    <t xml:space="preserve">n·δt</t>
  </si>
  <si>
    <t xml:space="preserve">Δv_ij</t>
  </si>
  <si>
    <t xml:space="preserve">Σ â δt</t>
  </si>
  <si>
    <t xml:space="preserve">Δp_ij</t>
  </si>
  <si>
    <t xml:space="preserve">½ â Δt_ij²</t>
  </si>
  <si>
    <t xml:space="preserve">vj</t>
  </si>
  <si>
    <t xml:space="preserve">vi + Δv</t>
  </si>
  <si>
    <t xml:space="preserve">pj − pi</t>
  </si>
  <si>
    <t xml:space="preserve">vi Δt + Δp</t>
  </si>
  <si>
    <t xml:space="preserve">Module 8 — Timing and De-skew: worked examples</t>
  </si>
  <si>
    <t xml:space="preserve">Worked example 8.1 — a 1 ms clock offset</t>
  </si>
  <si>
    <t xml:space="preserve">Given: δt = 1 ms; 20 m/s; turning 30°/s; point 50 m away.</t>
  </si>
  <si>
    <t xml:space="preserve">Clock offset</t>
  </si>
  <si>
    <t xml:space="preserve">Turn rate</t>
  </si>
  <si>
    <t xml:space="preserve">deg/s</t>
  </si>
  <si>
    <t xml:space="preserve">v·δt</t>
  </si>
  <si>
    <t xml:space="preserve">Rotation during offset</t>
  </si>
  <si>
    <t xml:space="preserve">ω·δt</t>
  </si>
  <si>
    <t xml:space="preserve">Sideways error at range</t>
  </si>
  <si>
    <t xml:space="preserve">ρ·ω·δt</t>
  </si>
  <si>
    <t xml:space="preserve">Worked example 8.2 — how big is the skew?</t>
  </si>
  <si>
    <t xml:space="preserve">Given: 10 Hz sweep, 15 m/s, point fired 0.075 s into the sweep.</t>
  </si>
  <si>
    <t xml:space="preserve">Sweep rate</t>
  </si>
  <si>
    <t xml:space="preserve">Time into sweep</t>
  </si>
  <si>
    <t xml:space="preserve">Sweep period</t>
  </si>
  <si>
    <t xml:space="preserve">Distance moved by this point</t>
  </si>
  <si>
    <t xml:space="preserve">v·τ</t>
  </si>
  <si>
    <t xml:space="preserve">First-to-last difference</t>
  </si>
  <si>
    <t xml:space="preserve">v·T</t>
  </si>
  <si>
    <t xml:space="preserve">Module 9 — Lever Arm, Boresight and Direct Georeferencing: worked examples</t>
  </si>
  <si>
    <t xml:space="preserve">Worked example 9.1 — boresight residual at mapping range</t>
  </si>
  <si>
    <t xml:space="preserve">Given: Residual boresight 0.05°; target 80 m away.</t>
  </si>
  <si>
    <t xml:space="preserve">Boresight residual</t>
  </si>
  <si>
    <t xml:space="preserve">Displacement</t>
  </si>
  <si>
    <t xml:space="preserve">ρ·δα</t>
  </si>
  <si>
    <t xml:space="preserve">Worked example 9.2 — direct georeferencing, every step</t>
  </si>
  <si>
    <t xml:space="preserve">Given: FLU body, ENU world, ZYX angles. pW = (1000, 2000, 10) m; roll 1.0°, pitch −0.5°, yaw 30.0°; lever arm (0.120, 0, 0.085) m; boresight (0.05°, −0.03°, 0.02°); ρ = 25.000 m, H = 10.0°, V = 2.0°. The workbook uses exact rotation matrices; the book used the small-angle form for boresight.</t>
  </si>
  <si>
    <t xml:space="preserve">IMU position E</t>
  </si>
  <si>
    <t xml:space="preserve">IMU position N</t>
  </si>
  <si>
    <t xml:space="preserve">IMU position U</t>
  </si>
  <si>
    <t xml:space="preserve">Roll</t>
  </si>
  <si>
    <t xml:space="preserve">Pitch</t>
  </si>
  <si>
    <t xml:space="preserve">Yaw</t>
  </si>
  <si>
    <t xml:space="preserve">Lever arm x</t>
  </si>
  <si>
    <t xml:space="preserve">Lever arm y</t>
  </si>
  <si>
    <t xml:space="preserve">Lever arm z</t>
  </si>
  <si>
    <t xml:space="preserve">Boresight roll</t>
  </si>
  <si>
    <t xml:space="preserve">Boresight pitch</t>
  </si>
  <si>
    <t xml:space="preserve">Boresight yaw</t>
  </si>
  <si>
    <t xml:space="preserve">Horizontal angle</t>
  </si>
  <si>
    <t xml:space="preserve">Vertical angle</t>
  </si>
  <si>
    <t xml:space="preserve">Step 1: x_S</t>
  </si>
  <si>
    <t xml:space="preserve">Step 1: y_S</t>
  </si>
  <si>
    <t xml:space="preserve">Step 1: z_S</t>
  </si>
  <si>
    <t xml:space="preserve">Step 2: boresight R11</t>
  </si>
  <si>
    <t xml:space="preserve">Rz(δψ)Ry(δθ)Rx(δφ)</t>
  </si>
  <si>
    <t xml:space="preserve">Step 2: boresight R12</t>
  </si>
  <si>
    <t xml:space="preserve">Step 2: boresight R13</t>
  </si>
  <si>
    <t xml:space="preserve">Step 2: boresight R21</t>
  </si>
  <si>
    <t xml:space="preserve">Step 2: boresight R22</t>
  </si>
  <si>
    <t xml:space="preserve">Step 2: boresight R23</t>
  </si>
  <si>
    <t xml:space="preserve">Step 2: boresight R31</t>
  </si>
  <si>
    <t xml:space="preserve">Step 2: boresight R32</t>
  </si>
  <si>
    <t xml:space="preserve">Step 2: boresight R33</t>
  </si>
  <si>
    <t xml:space="preserve">Step 2: rotated point, axis 1</t>
  </si>
  <si>
    <t xml:space="preserve">R^B_S · x_S</t>
  </si>
  <si>
    <t xml:space="preserve">Step 2: rotated point, axis 2</t>
  </si>
  <si>
    <t xml:space="preserve">Step 2: rotated point, axis 3</t>
  </si>
  <si>
    <t xml:space="preserve">Step 3: add lever arm (x)</t>
  </si>
  <si>
    <t xml:space="preserve">r_B = R x_S + l</t>
  </si>
  <si>
    <t xml:space="preserve">Step 3: add lever arm (y)</t>
  </si>
  <si>
    <t xml:space="preserve">Step 3: add lever arm (z)</t>
  </si>
  <si>
    <t xml:space="preserve">Step 4: attitude R11</t>
  </si>
  <si>
    <t xml:space="preserve">Rz(ψ)Ry(θ)Rx(φ)</t>
  </si>
  <si>
    <t xml:space="preserve">Step 4: attitude R12</t>
  </si>
  <si>
    <t xml:space="preserve">Step 4: attitude R13</t>
  </si>
  <si>
    <t xml:space="preserve">Step 4: attitude R21</t>
  </si>
  <si>
    <t xml:space="preserve">Step 4: attitude R22</t>
  </si>
  <si>
    <t xml:space="preserve">Step 4: attitude R23</t>
  </si>
  <si>
    <t xml:space="preserve">Step 4: attitude R31</t>
  </si>
  <si>
    <t xml:space="preserve">Step 4: attitude R32</t>
  </si>
  <si>
    <t xml:space="preserve">Step 4: attitude R33</t>
  </si>
  <si>
    <t xml:space="preserve">Step 4: rotated to world, X</t>
  </si>
  <si>
    <t xml:space="preserve">R^W_B · r_B</t>
  </si>
  <si>
    <t xml:space="preserve">Step 4: rotated to world, Y</t>
  </si>
  <si>
    <t xml:space="preserve">Step 4: rotated to world, Z</t>
  </si>
  <si>
    <t xml:space="preserve">Step 5: world coordinate E</t>
  </si>
  <si>
    <t xml:space="preserve">r_W = p_W + R r_B</t>
  </si>
  <si>
    <t xml:space="preserve">Step 5: world coordinate N</t>
  </si>
  <si>
    <t xml:space="preserve">Step 5: world coordinate U</t>
  </si>
  <si>
    <t xml:space="preserve">Module 10 — SLAM, Motion Models and the Kalman Filter: worked examples</t>
  </si>
  <si>
    <t xml:space="preserve">Worked example 10.1 — predicting the next pose</t>
  </si>
  <si>
    <t xml:space="preserve">Given: Pose (10.00, 5.00, 0°); wheel distances L = 0.40 m, R = 0.45 m; track w = 0.30 m.</t>
  </si>
  <si>
    <t xml:space="preserve">Heading θ</t>
  </si>
  <si>
    <t xml:space="preserve">Left wheel distance</t>
  </si>
  <si>
    <t xml:space="preserve">Right wheel distance</t>
  </si>
  <si>
    <t xml:space="preserve">Track width</t>
  </si>
  <si>
    <t xml:space="preserve">Turn angle α</t>
  </si>
  <si>
    <t xml:space="preserve">α = (R − L)/w</t>
  </si>
  <si>
    <t xml:space="preserve">Turn angle (deg)</t>
  </si>
  <si>
    <t xml:space="preserve">Inner radius</t>
  </si>
  <si>
    <t xml:space="preserve">r = L/α</t>
  </si>
  <si>
    <t xml:space="preserve">Center radius</t>
  </si>
  <si>
    <t xml:space="preserve">r + w/2</t>
  </si>
  <si>
    <t xml:space="preserve">x + rc(sin(θ+α) − sin θ)</t>
  </si>
  <si>
    <t xml:space="preserve">y − rc(cos(θ+α) − cos θ)</t>
  </si>
  <si>
    <t xml:space="preserve">θ′</t>
  </si>
  <si>
    <t xml:space="preserve">θ + α</t>
  </si>
  <si>
    <t xml:space="preserve">Worked example 10.2 — 1-D Kalman update</t>
  </si>
  <si>
    <t xml:space="preserve">Given: Prediction 100.0 ± 0.50 m; measurement 100.4 ± 0.20 m.</t>
  </si>
  <si>
    <t xml:space="preserve">Predicted value</t>
  </si>
  <si>
    <t xml:space="preserve">Predicted σ</t>
  </si>
  <si>
    <t xml:space="preserve">Measurement</t>
  </si>
  <si>
    <t xml:space="preserve">Measurement σ</t>
  </si>
  <si>
    <t xml:space="preserve">Prediction variance</t>
  </si>
  <si>
    <t xml:space="preserve">m²</t>
  </si>
  <si>
    <t xml:space="preserve">σ̄²</t>
  </si>
  <si>
    <t xml:space="preserve">Measurement variance</t>
  </si>
  <si>
    <t xml:space="preserve">σz²</t>
  </si>
  <si>
    <t xml:space="preserve">Gain K</t>
  </si>
  <si>
    <t xml:space="preserve">K = σ̄²/(σ̄² + σz²)</t>
  </si>
  <si>
    <t xml:space="preserve">Updated value</t>
  </si>
  <si>
    <t xml:space="preserve">μ = μ̄ + K(z − μ̄)</t>
  </si>
  <si>
    <t xml:space="preserve">Updated variance</t>
  </si>
  <si>
    <t xml:space="preserve">(1 − K)σ̄²</t>
  </si>
  <si>
    <t xml:space="preserve">Updated σ</t>
  </si>
  <si>
    <t xml:space="preserve">Worked example 10.3 — EKF prediction for our motion</t>
  </si>
  <si>
    <t xml:space="preserve">Given: Motion of Example 10.1; P = diag(0.01, 0.01, 0.001); Q = diag(0.002, 0.002, 0.0005).</t>
  </si>
  <si>
    <t xml:space="preserve">P11</t>
  </si>
  <si>
    <t xml:space="preserve">P22</t>
  </si>
  <si>
    <t xml:space="preserve">P33</t>
  </si>
  <si>
    <t xml:space="preserve">Q11</t>
  </si>
  <si>
    <t xml:space="preserve">Q22</t>
  </si>
  <si>
    <t xml:space="preserve">Q33</t>
  </si>
  <si>
    <t xml:space="preserve">Jacobian G13 = ∂x′/∂θ</t>
  </si>
  <si>
    <t xml:space="preserve">rc(cos(θ+α) − cos θ)</t>
  </si>
  <si>
    <t xml:space="preserve">Jacobian G23 = ∂y′/∂θ</t>
  </si>
  <si>
    <t xml:space="preserve">rc(sin(θ+α) − sin θ)</t>
  </si>
  <si>
    <t xml:space="preserve">(GPGᵀ)11</t>
  </si>
  <si>
    <t xml:space="preserve">(GPGᵀ)12</t>
  </si>
  <si>
    <t xml:space="preserve">(GPGᵀ)13</t>
  </si>
  <si>
    <t xml:space="preserve">(GPGᵀ)22</t>
  </si>
  <si>
    <t xml:space="preserve">(GPGᵀ)23</t>
  </si>
  <si>
    <t xml:space="preserve">P̄11</t>
  </si>
  <si>
    <t xml:space="preserve">GPGᵀ + Q</t>
  </si>
  <si>
    <t xml:space="preserve">P̄12</t>
  </si>
  <si>
    <t xml:space="preserve">P̄13</t>
  </si>
  <si>
    <t xml:space="preserve">P̄22</t>
  </si>
  <si>
    <t xml:space="preserve">P̄23</t>
  </si>
  <si>
    <t xml:space="preserve">P̄33</t>
  </si>
  <si>
    <t xml:space="preserve">σx</t>
  </si>
  <si>
    <t xml:space="preserve">√P̄11</t>
  </si>
  <si>
    <t xml:space="preserve">σy</t>
  </si>
  <si>
    <t xml:space="preserve">√P̄22</t>
  </si>
  <si>
    <t xml:space="preserve">σθ</t>
  </si>
  <si>
    <t xml:space="preserve">√P̄33</t>
  </si>
  <si>
    <t xml:space="preserve">σθ (deg)</t>
  </si>
  <si>
    <t xml:space="preserve">Worked example 10.4 — EKF correction with a pole at (25, 8)</t>
  </si>
  <si>
    <t xml:space="preserve">Given: Predicted pose and P̄ from 10.1 and 10.3. Measured r = 14.95 m, β = 2.10°; R = diag(0.05², (1°)²).</t>
  </si>
  <si>
    <t xml:space="preserve">Pole E</t>
  </si>
  <si>
    <t xml:space="preserve">Pole N</t>
  </si>
  <si>
    <t xml:space="preserve">Measured range</t>
  </si>
  <si>
    <t xml:space="preserve">Measured bearing</t>
  </si>
  <si>
    <t xml:space="preserve">Range σ</t>
  </si>
  <si>
    <t xml:space="preserve">Bearing σ</t>
  </si>
  <si>
    <t xml:space="preserve">Δx</t>
  </si>
  <si>
    <t xml:space="preserve">Lx − x</t>
  </si>
  <si>
    <t xml:space="preserve">Δy</t>
  </si>
  <si>
    <t xml:space="preserve">Ly − y</t>
  </si>
  <si>
    <t xml:space="preserve">q = Δx² + Δy²</t>
  </si>
  <si>
    <t xml:space="preserve">Predicted range r̂</t>
  </si>
  <si>
    <t xml:space="preserve">√q</t>
  </si>
  <si>
    <t xml:space="preserve">Predicted bearing β̂</t>
  </si>
  <si>
    <t xml:space="preserve">atan2(Δy, Δx) − θ</t>
  </si>
  <si>
    <t xml:space="preserve">Innovation δr</t>
  </si>
  <si>
    <t xml:space="preserve">z − ẑ</t>
  </si>
  <si>
    <t xml:space="preserve">Innovation δβ</t>
  </si>
  <si>
    <t xml:space="preserve">Innovation δβ (rad)</t>
  </si>
  <si>
    <t xml:space="preserve">H11</t>
  </si>
  <si>
    <t xml:space="preserve">−Δx/r</t>
  </si>
  <si>
    <t xml:space="preserve">H12</t>
  </si>
  <si>
    <t xml:space="preserve">−Δy/r</t>
  </si>
  <si>
    <t xml:space="preserve">H21</t>
  </si>
  <si>
    <t xml:space="preserve">Δy/q</t>
  </si>
  <si>
    <t xml:space="preserve">H22</t>
  </si>
  <si>
    <t xml:space="preserve">−Δx/q</t>
  </si>
  <si>
    <t xml:space="preserve">H23</t>
  </si>
  <si>
    <t xml:space="preserve">(P̄Hᵀ)11</t>
  </si>
  <si>
    <t xml:space="preserve">(P̄Hᵀ)12</t>
  </si>
  <si>
    <t xml:space="preserve">(P̄Hᵀ)21</t>
  </si>
  <si>
    <t xml:space="preserve">(P̄Hᵀ)22</t>
  </si>
  <si>
    <t xml:space="preserve">(P̄Hᵀ)31</t>
  </si>
  <si>
    <t xml:space="preserve">(P̄Hᵀ)32</t>
  </si>
  <si>
    <t xml:space="preserve">S11</t>
  </si>
  <si>
    <t xml:space="preserve">H P̄ Hᵀ + R</t>
  </si>
  <si>
    <t xml:space="preserve">S12</t>
  </si>
  <si>
    <t xml:space="preserve">S22</t>
  </si>
  <si>
    <t xml:space="preserve">det S</t>
  </si>
  <si>
    <t xml:space="preserve">S⁻¹ 11</t>
  </si>
  <si>
    <t xml:space="preserve">S⁻¹ 12</t>
  </si>
  <si>
    <t xml:space="preserve">S⁻¹ 22</t>
  </si>
  <si>
    <t xml:space="preserve">K11</t>
  </si>
  <si>
    <t xml:space="preserve">K = P̄Hᵀ S⁻¹</t>
  </si>
  <si>
    <t xml:space="preserve">K12</t>
  </si>
  <si>
    <t xml:space="preserve">K21</t>
  </si>
  <si>
    <t xml:space="preserve">K22</t>
  </si>
  <si>
    <t xml:space="preserve">K31</t>
  </si>
  <si>
    <t xml:space="preserve">K32</t>
  </si>
  <si>
    <t xml:space="preserve">Updated x</t>
  </si>
  <si>
    <t xml:space="preserve">x̄ + K ν</t>
  </si>
  <si>
    <t xml:space="preserve">Updated y</t>
  </si>
  <si>
    <t xml:space="preserve">Updated θ</t>
  </si>
  <si>
    <t xml:space="preserve">Updated P11</t>
  </si>
  <si>
    <t xml:space="preserve">P = (I − KH)P̄</t>
  </si>
  <si>
    <t xml:space="preserve">Updated P22</t>
  </si>
  <si>
    <t xml:space="preserve">Updated P33</t>
  </si>
  <si>
    <t xml:space="preserve">σx after</t>
  </si>
  <si>
    <t xml:space="preserve">σy after</t>
  </si>
  <si>
    <t xml:space="preserve">σθ after</t>
  </si>
  <si>
    <t xml:space="preserve">Module 11 — Scan Matching (ICP and LOAM features): worked examples</t>
  </si>
  <si>
    <t xml:space="preserve">Worked example 11.1 — best fit of four matched points (with continuation)</t>
  </si>
  <si>
    <t xml:space="preserve">Given: Source p = (0,0),(2,0),(2,1),(0,3); target q = (1.000,0.500),(2.970,0.847),(2.796,1.832),(0.479,3.454).</t>
  </si>
  <si>
    <t xml:space="preserve">p1 x</t>
  </si>
  <si>
    <t xml:space="preserve">p2 x</t>
  </si>
  <si>
    <t xml:space="preserve">p3 x</t>
  </si>
  <si>
    <t xml:space="preserve">p4 x</t>
  </si>
  <si>
    <t xml:space="preserve">p1 y</t>
  </si>
  <si>
    <t xml:space="preserve">p2 y</t>
  </si>
  <si>
    <t xml:space="preserve">p3 y</t>
  </si>
  <si>
    <t xml:space="preserve">p4 y</t>
  </si>
  <si>
    <t xml:space="preserve">q1 x</t>
  </si>
  <si>
    <t xml:space="preserve">q2 x</t>
  </si>
  <si>
    <t xml:space="preserve">q3 x</t>
  </si>
  <si>
    <t xml:space="preserve">q4 x</t>
  </si>
  <si>
    <t xml:space="preserve">q1 y</t>
  </si>
  <si>
    <t xml:space="preserve">q2 y</t>
  </si>
  <si>
    <t xml:space="preserve">q3 y</t>
  </si>
  <si>
    <t xml:space="preserve">q4 y</t>
  </si>
  <si>
    <t xml:space="preserve">Centroid p̄ x</t>
  </si>
  <si>
    <t xml:space="preserve">mean</t>
  </si>
  <si>
    <t xml:space="preserve">Centroid p̄ y</t>
  </si>
  <si>
    <t xml:space="preserve">Centroid q̄ x</t>
  </si>
  <si>
    <t xml:space="preserve">Centroid q̄ y</t>
  </si>
  <si>
    <t xml:space="preserve">W11 = Σ p′x q′x</t>
  </si>
  <si>
    <t xml:space="preserve">W = Σ p′ q′ᵀ</t>
  </si>
  <si>
    <t xml:space="preserve">W12 = Σ p′x q′y</t>
  </si>
  <si>
    <t xml:space="preserve">W21 = Σ p′y q′x</t>
  </si>
  <si>
    <t xml:space="preserve">W22 = Σ p′y q′y</t>
  </si>
  <si>
    <t xml:space="preserve">Σ(p′x q′y − p′y q′x)</t>
  </si>
  <si>
    <t xml:space="preserve">Σ(p′x q′x + p′y q′y)</t>
  </si>
  <si>
    <t xml:space="preserve">Rotation θ</t>
  </si>
  <si>
    <t xml:space="preserve">atan2(num, den)  [Excel: ATAN2(x, y)]</t>
  </si>
  <si>
    <t xml:space="preserve">Translation tx</t>
  </si>
  <si>
    <t xml:space="preserve">t = q̄ − R p̄</t>
  </si>
  <si>
    <t xml:space="preserve">Translation ty</t>
  </si>
  <si>
    <t xml:space="preserve">Worked example 11.2 — edge or plane?</t>
  </si>
  <si>
    <t xml:space="preserve">Given: Two neighbors each side (|S| = 4); center range underlined in the book.</t>
  </si>
  <si>
    <t xml:space="preserve">Flat wall range 1</t>
  </si>
  <si>
    <t xml:space="preserve">Flat wall range 2</t>
  </si>
  <si>
    <t xml:space="preserve">Flat wall range 3 (center)</t>
  </si>
  <si>
    <t xml:space="preserve">Flat wall range 4</t>
  </si>
  <si>
    <t xml:space="preserve">Flat wall range 5</t>
  </si>
  <si>
    <t xml:space="preserve">Corner range 1</t>
  </si>
  <si>
    <t xml:space="preserve">Corner range 2</t>
  </si>
  <si>
    <t xml:space="preserve">Corner range 3 (center)</t>
  </si>
  <si>
    <t xml:space="preserve">Corner range 4</t>
  </si>
  <si>
    <t xml:space="preserve">Corner range 5</t>
  </si>
  <si>
    <t xml:space="preserve">Smoothness c, flat wall</t>
  </si>
  <si>
    <t xml:space="preserve">c = |Σ(rj − ri)|/(|S|·ri)</t>
  </si>
  <si>
    <t xml:space="preserve">Smoothness c, corner</t>
  </si>
  <si>
    <t xml:space="preserve">Classification: c &gt; 0.1 → edge, c &lt; 0.1 → plane (LOAM default).</t>
  </si>
  <si>
    <t xml:space="preserve">Worked example 11.3 — edge and plane distances</t>
  </si>
  <si>
    <t xml:space="preserve">Given: Edge a=(0,0,0), b=(2,0,0), p=(1,0.6,0.8). Plane u=(0,0,0), v=(1,0,0), w=(0,1,0), p=(0.3,0.4,0.12).</t>
  </si>
  <si>
    <t xml:space="preserve">Edge a x</t>
  </si>
  <si>
    <t xml:space="preserve">Edge a y</t>
  </si>
  <si>
    <t xml:space="preserve">Edge a z</t>
  </si>
  <si>
    <t xml:space="preserve">Edge b x</t>
  </si>
  <si>
    <t xml:space="preserve">Edge b y</t>
  </si>
  <si>
    <t xml:space="preserve">Edge b z</t>
  </si>
  <si>
    <t xml:space="preserve">Edge p x</t>
  </si>
  <si>
    <t xml:space="preserve">Edge p y</t>
  </si>
  <si>
    <t xml:space="preserve">Edge p z</t>
  </si>
  <si>
    <t xml:space="preserve">(p−a)×(p−b) x</t>
  </si>
  <si>
    <t xml:space="preserve">(p−a)×(p−b) y</t>
  </si>
  <si>
    <t xml:space="preserve">(p−a)×(p−b) z</t>
  </si>
  <si>
    <t xml:space="preserve">Edge distance d_e</t>
  </si>
  <si>
    <t xml:space="preserve">|(p−a)×(p−b)|/|a−b|</t>
  </si>
  <si>
    <t xml:space="preserve">Plane u x</t>
  </si>
  <si>
    <t xml:space="preserve">Plane u y</t>
  </si>
  <si>
    <t xml:space="preserve">Plane u z</t>
  </si>
  <si>
    <t xml:space="preserve">Plane v x</t>
  </si>
  <si>
    <t xml:space="preserve">Plane v y</t>
  </si>
  <si>
    <t xml:space="preserve">Plane v z</t>
  </si>
  <si>
    <t xml:space="preserve">Plane w x</t>
  </si>
  <si>
    <t xml:space="preserve">Plane w y</t>
  </si>
  <si>
    <t xml:space="preserve">Plane w z</t>
  </si>
  <si>
    <t xml:space="preserve">Plane p x</t>
  </si>
  <si>
    <t xml:space="preserve">Plane p y</t>
  </si>
  <si>
    <t xml:space="preserve">Plane p z</t>
  </si>
  <si>
    <t xml:space="preserve">Normal x</t>
  </si>
  <si>
    <t xml:space="preserve">(u−v)×(u−w)</t>
  </si>
  <si>
    <t xml:space="preserve">Normal y</t>
  </si>
  <si>
    <t xml:space="preserve">Normal z</t>
  </si>
  <si>
    <t xml:space="preserve">Plane distance d_p</t>
  </si>
  <si>
    <t xml:space="preserve">|(p−u)·n|/|n|</t>
  </si>
  <si>
    <t xml:space="preserve">Module 12 — Factor Graphs and Trajectories: worked examples</t>
  </si>
  <si>
    <t xml:space="preserve">Worked example 12.1 — 1-D pose graph with a GPS misclosure</t>
  </si>
  <si>
    <t xml:space="preserve">Given: x0 = 0 fixed; odometry 1.0, 1.1, 0.9 m; GPS x3 = 3.2 m; equal weights.</t>
  </si>
  <si>
    <t xml:space="preserve">Odometry x1−x0</t>
  </si>
  <si>
    <t xml:space="preserve">Odometry x2−x1</t>
  </si>
  <si>
    <t xml:space="preserve">Odometry x3−x2</t>
  </si>
  <si>
    <t xml:space="preserve">GPS x3</t>
  </si>
  <si>
    <t xml:space="preserve">AᵀB row 1</t>
  </si>
  <si>
    <t xml:space="preserve">AᵀB row 2</t>
  </si>
  <si>
    <t xml:space="preserve">AᵀB row 3</t>
  </si>
  <si>
    <t xml:space="preserve">x1</t>
  </si>
  <si>
    <t xml:space="preserve">x = (AᵀA)⁻¹Aᵀb, (AᵀA)⁻¹ = ¼[[3,2,1],[2,4,2],[1,2,3]]</t>
  </si>
  <si>
    <t xml:space="preserve">x2</t>
  </si>
  <si>
    <t xml:space="preserve">x3</t>
  </si>
  <si>
    <t xml:space="preserve">Residual odometry 1</t>
  </si>
  <si>
    <t xml:space="preserve">Residual odometry 2</t>
  </si>
  <si>
    <t xml:space="preserve">Residual odometry 3</t>
  </si>
  <si>
    <t xml:space="preserve">Residual GPS</t>
  </si>
  <si>
    <t xml:space="preserve">Misclosure</t>
  </si>
  <si>
    <t xml:space="preserve">|Σodometry − GPS|</t>
  </si>
  <si>
    <t xml:space="preserve">Worked example 12.2 — giving a camera image its pose</t>
  </si>
  <si>
    <t xml:space="preserve">Given: Poses at 10.00 s and 10.10 s; photo at 10.04 s.</t>
  </si>
  <si>
    <t xml:space="preserve">t1</t>
  </si>
  <si>
    <t xml:space="preserve">E1</t>
  </si>
  <si>
    <t xml:space="preserve">N1</t>
  </si>
  <si>
    <t xml:space="preserve">Heading 1</t>
  </si>
  <si>
    <t xml:space="preserve">t2</t>
  </si>
  <si>
    <t xml:space="preserve">E2</t>
  </si>
  <si>
    <t xml:space="preserve">N2</t>
  </si>
  <si>
    <t xml:space="preserve">Heading 2</t>
  </si>
  <si>
    <t xml:space="preserve">Exposure time</t>
  </si>
  <si>
    <t xml:space="preserve">Fraction</t>
  </si>
  <si>
    <t xml:space="preserve">f = (t − t1)/(t2 − t1)</t>
  </si>
  <si>
    <t xml:space="preserve">Image E</t>
  </si>
  <si>
    <t xml:space="preserve">E1 + f(E2 − E1)</t>
  </si>
  <si>
    <t xml:space="preserve">Image N</t>
  </si>
  <si>
    <t xml:space="preserve">Image heading</t>
  </si>
  <si>
    <t xml:space="preserve">Worked example 12.3 — why the camera needs calibration and timing too</t>
  </si>
  <si>
    <t xml:space="preserve">Given: Boresight 0.1° at 20 m; timing error 5 ms at 10 m/s.</t>
  </si>
  <si>
    <t xml:space="preserve">Boresight error</t>
  </si>
  <si>
    <t xml:space="preserve">Timing error</t>
  </si>
  <si>
    <t xml:space="preserve">Color offset from boresight</t>
  </si>
  <si>
    <t xml:space="preserve">Color smear from timing</t>
  </si>
  <si>
    <t xml:space="preserve">Module 13 — Control, Checkpoints and ASPRS Accuracy: worked examples</t>
  </si>
  <si>
    <t xml:space="preserve">Worked example 13.1 — vertical accuracy from ten checkpoints</t>
  </si>
  <si>
    <t xml:space="preserve">Given: Δz (cm) = +2.1, −3.4, +1.2, +4.5, −0.8, +2.7, −1.9, +3.1, +0.4, −2.6; checkpoints RMSE 1.0 cm.</t>
  </si>
  <si>
    <t xml:space="preserve">Δz 1</t>
  </si>
  <si>
    <t xml:space="preserve">Δz 2</t>
  </si>
  <si>
    <t xml:space="preserve">Δz 3</t>
  </si>
  <si>
    <t xml:space="preserve">Δz 4</t>
  </si>
  <si>
    <t xml:space="preserve">Δz 5</t>
  </si>
  <si>
    <t xml:space="preserve">Δz 6</t>
  </si>
  <si>
    <t xml:space="preserve">Δz 7</t>
  </si>
  <si>
    <t xml:space="preserve">Δz 8</t>
  </si>
  <si>
    <t xml:space="preserve">Δz 9</t>
  </si>
  <si>
    <t xml:space="preserve">Δz 10</t>
  </si>
  <si>
    <t xml:space="preserve">Checkpoint survey RMSE</t>
  </si>
  <si>
    <t xml:space="preserve">Sum</t>
  </si>
  <si>
    <t xml:space="preserve">Σ Δz</t>
  </si>
  <si>
    <t xml:space="preserve">Σ Δz / n</t>
  </si>
  <si>
    <t xml:space="preserve">Sum of squares</t>
  </si>
  <si>
    <t xml:space="preserve">Σ Δz²</t>
  </si>
  <si>
    <t xml:space="preserve">RMSE_z (data)</t>
  </si>
  <si>
    <t xml:space="preserve">√(ΣΔz²/n)</t>
  </si>
  <si>
    <t xml:space="preserve">Standard deviation</t>
  </si>
  <si>
    <t xml:space="preserve">RMSE_z incl. checkpoint error</t>
  </si>
  <si>
    <t xml:space="preserve">√(RMSE² + RMSEck²)</t>
  </si>
  <si>
    <t xml:space="preserve">Worked example 13.2 — horizontal accuracy</t>
  </si>
  <si>
    <t xml:space="preserve">Given: RMSEx = 2.25 cm, RMSEy = 2.16 cm.</t>
  </si>
  <si>
    <t xml:space="preserve">RMSE x</t>
  </si>
  <si>
    <t xml:space="preserve">RMSE y</t>
  </si>
  <si>
    <t xml:space="preserve">RMSE_H (radial)</t>
  </si>
  <si>
    <t xml:space="preserve">√(RMSEx² + RMSEy²)</t>
  </si>
  <si>
    <t xml:space="preserve">Module 14 — Error Propagation and Error Budgets: worked examples</t>
  </si>
  <si>
    <t xml:space="preserve">Worked example 14.1 — height of a ground point seen by a scanner</t>
  </si>
  <si>
    <t xml:space="preserve">Given: Scanner 2.00 m above a flat road, point 20.00 m away; σρ = 0.35 cm; σV = 0.01°; z = ρ sin V.</t>
  </si>
  <si>
    <t xml:space="preserve">Scanner height</t>
  </si>
  <si>
    <t xml:space="preserve">Horizontal distance</t>
  </si>
  <si>
    <t xml:space="preserve">Range precision σρ</t>
  </si>
  <si>
    <t xml:space="preserve">Vertical angle σV</t>
  </si>
  <si>
    <t xml:space="preserve">√(d² + h²)</t>
  </si>
  <si>
    <t xml:space="preserve">−atan(h/d)</t>
  </si>
  <si>
    <t xml:space="preserve">sin V = ∂z/∂ρ</t>
  </si>
  <si>
    <t xml:space="preserve">cos V</t>
  </si>
  <si>
    <t xml:space="preserve">∂z/∂V = ρ cos V</t>
  </si>
  <si>
    <t xml:space="preserve">m/rad</t>
  </si>
  <si>
    <t xml:space="preserve">σV in radians</t>
  </si>
  <si>
    <t xml:space="preserve">Range contribution</t>
  </si>
  <si>
    <t xml:space="preserve">|sin V|·σρ</t>
  </si>
  <si>
    <t xml:space="preserve">Angle contribution</t>
  </si>
  <si>
    <t xml:space="preserve">ρ cos V·σV</t>
  </si>
  <si>
    <t xml:space="preserve">σz</t>
  </si>
  <si>
    <t xml:space="preserve">√(range² + angle²)</t>
  </si>
  <si>
    <t xml:space="preserve">Worked example 14.2 — curb height from one sensor — correlation helps</t>
  </si>
  <si>
    <t xml:space="preserve">Given: σ = 0.25 cm random each; common range bias 1.25 cm (r = 1); h = z1 − z2.</t>
  </si>
  <si>
    <t xml:space="preserve">Random σ per point</t>
  </si>
  <si>
    <t xml:space="preserve">Common bias</t>
  </si>
  <si>
    <t xml:space="preserve">Bias correlation</t>
  </si>
  <si>
    <t xml:space="preserve">Coefficient a1</t>
  </si>
  <si>
    <t xml:space="preserve">Coefficient a2</t>
  </si>
  <si>
    <t xml:space="preserve">Random variance of h</t>
  </si>
  <si>
    <t xml:space="preserve">Σ ai² σi²</t>
  </si>
  <si>
    <t xml:space="preserve">Bias variance of h</t>
  </si>
  <si>
    <t xml:space="preserve">Σ ai²bi² + 2 a1 a2 r b1 b2</t>
  </si>
  <si>
    <t xml:space="preserve">σh total</t>
  </si>
  <si>
    <t xml:space="preserve">Absolute height σ (each point)</t>
  </si>
  <si>
    <t xml:space="preserve">√(σ² + b²)</t>
  </si>
  <si>
    <t xml:space="preserve">Worked example 14.3 — the error ellipsoid of one laser point</t>
  </si>
  <si>
    <t xml:space="preserve">Given: ρ = 30.00 m, H = 30°, V = −3.823°; σρ = 10 mm; σH = σV = 0.01°.</t>
  </si>
  <si>
    <t xml:space="preserve">H</t>
  </si>
  <si>
    <t xml:space="preserve">V</t>
  </si>
  <si>
    <t xml:space="preserve">σρ</t>
  </si>
  <si>
    <t xml:space="preserve">mm</t>
  </si>
  <si>
    <t xml:space="preserve">σH</t>
  </si>
  <si>
    <t xml:space="preserve">σV</t>
  </si>
  <si>
    <t xml:space="preserve">Point x</t>
  </si>
  <si>
    <t xml:space="preserve">Point y</t>
  </si>
  <si>
    <t xml:space="preserve">Point z</t>
  </si>
  <si>
    <t xml:space="preserve">Jacobian J11</t>
  </si>
  <si>
    <t xml:space="preserve">∂(x,y,z)/∂(ρ,H,V)</t>
  </si>
  <si>
    <t xml:space="preserve">Jacobian J12</t>
  </si>
  <si>
    <t xml:space="preserve">Jacobian J13</t>
  </si>
  <si>
    <t xml:space="preserve">Jacobian J21</t>
  </si>
  <si>
    <t xml:space="preserve">Jacobian J22</t>
  </si>
  <si>
    <t xml:space="preserve">Jacobian J23</t>
  </si>
  <si>
    <t xml:space="preserve">Jacobian J31</t>
  </si>
  <si>
    <t xml:space="preserve">Jacobian J32</t>
  </si>
  <si>
    <t xml:space="preserve">Jacobian J33</t>
  </si>
  <si>
    <t xml:space="preserve">σρ²</t>
  </si>
  <si>
    <t xml:space="preserve">mm²</t>
  </si>
  <si>
    <t xml:space="preserve">(σH in mm/m)²</t>
  </si>
  <si>
    <t xml:space="preserve">mm²/m²</t>
  </si>
  <si>
    <t xml:space="preserve">σH rad × 1000</t>
  </si>
  <si>
    <t xml:space="preserve">(σV in mm/m)²</t>
  </si>
  <si>
    <t xml:space="preserve">Σy 11</t>
  </si>
  <si>
    <t xml:space="preserve">J Σx Jᵀ</t>
  </si>
  <si>
    <t xml:space="preserve">Σy 12</t>
  </si>
  <si>
    <t xml:space="preserve">Σy 13</t>
  </si>
  <si>
    <t xml:space="preserve">Σy 22</t>
  </si>
  <si>
    <t xml:space="preserve">Σy 23</t>
  </si>
  <si>
    <t xml:space="preserve">Σy 33</t>
  </si>
  <si>
    <t xml:space="preserve">Along-beam σ (major axis)</t>
  </si>
  <si>
    <t xml:space="preserve">√(uᵀΣu), u = beam direction</t>
  </si>
  <si>
    <t xml:space="preserve">Across-beam σ (horizontal)</t>
  </si>
  <si>
    <t xml:space="preserve">ρ cos V σH</t>
  </si>
  <si>
    <t xml:space="preserve">Across-beam σ (vertical)</t>
  </si>
  <si>
    <t xml:space="preserve">ρ σV</t>
  </si>
  <si>
    <t xml:space="preserve">Worked example 14.4 — full error budget of a backpack point at 20 m</t>
  </si>
  <si>
    <t xml:space="preserve">Given: 1σ inputs as listed; point on a wall 20 m to the side at sensor height.</t>
  </si>
  <si>
    <t xml:space="preserve">Trajectory E</t>
  </si>
  <si>
    <t xml:space="preserve">Trajectory N</t>
  </si>
  <si>
    <t xml:space="preserve">Trajectory U</t>
  </si>
  <si>
    <t xml:space="preserve">Roll / pitch</t>
  </si>
  <si>
    <t xml:space="preserve">Boresight per axis</t>
  </si>
  <si>
    <t xml:space="preserve">Lever arm per axis</t>
  </si>
  <si>
    <t xml:space="preserve">Range accuracy</t>
  </si>
  <si>
    <t xml:space="preserve">Range precision</t>
  </si>
  <si>
    <t xml:space="preserve">Angle encoders</t>
  </si>
  <si>
    <t xml:space="preserve">Position, horizontal</t>
  </si>
  <si>
    <t xml:space="preserve">√(σE² + σN²)</t>
  </si>
  <si>
    <t xml:space="preserve">Yaw → horizontal</t>
  </si>
  <si>
    <t xml:space="preserve">ρ·δψ</t>
  </si>
  <si>
    <t xml:space="preserve">Roll → vertical</t>
  </si>
  <si>
    <t xml:space="preserve">ρ·δφ</t>
  </si>
  <si>
    <t xml:space="preserve">Boresight (each of H and V)</t>
  </si>
  <si>
    <t xml:space="preserve">ρ·δb</t>
  </si>
  <si>
    <t xml:space="preserve">Lever arm, horizontal</t>
  </si>
  <si>
    <t xml:space="preserve">√2 × 0.2</t>
  </si>
  <si>
    <t xml:space="preserve">Range total</t>
  </si>
  <si>
    <t xml:space="preserve">√(acc² + prec²)</t>
  </si>
  <si>
    <t xml:space="preserve">Encoders (each of H and V)</t>
  </si>
  <si>
    <t xml:space="preserve">ρ·δenc</t>
  </si>
  <si>
    <t xml:space="preserve">Sum of squares, horizontal</t>
  </si>
  <si>
    <t xml:space="preserve">Horizontal RSS</t>
  </si>
  <si>
    <t xml:space="preserve">√Σ</t>
  </si>
  <si>
    <t xml:space="preserve">Sum of squares, vertical</t>
  </si>
  <si>
    <t xml:space="preserve">Vertical RSS</t>
  </si>
  <si>
    <t xml:space="preserve">Worked example 14.5 — Monte Carlo check of the 20 m budget</t>
  </si>
  <si>
    <t xml:space="preserve">Given: The 'MC 20 m' sheet draws 2,000 random sets of every input (NORMINV(RAND())) and takes the standard deviation. The book used 100,000 draws through the full rotation equations; with 2,000 draws expect ±0.05 cm scatter each time Excel recalculates (F9).</t>
  </si>
  <si>
    <t xml:space="preserve">Monte Carlo horizontal σ</t>
  </si>
  <si>
    <t xml:space="preserve">STDEV of 2,000 draws</t>
  </si>
  <si>
    <t xml:space="preserve">Monte Carlo vertical σ</t>
  </si>
  <si>
    <t xml:space="preserve">Linear method horizontal (Example 14.4)</t>
  </si>
  <si>
    <t xml:space="preserve">Worked example 14.6 — fitting a plane to a target</t>
  </si>
  <si>
    <t xml:space="preserve">Given: 400 returns, σ = 0.25 cm each, bias 1.25 cm.</t>
  </si>
  <si>
    <t xml:space="preserve">σ per return</t>
  </si>
  <si>
    <t xml:space="preserve">Returns</t>
  </si>
  <si>
    <t xml:space="preserve">Bias</t>
  </si>
  <si>
    <t xml:space="preserve">Random part of the mean</t>
  </si>
  <si>
    <t xml:space="preserve">σ/√n</t>
  </si>
  <si>
    <t xml:space="preserve">Total</t>
  </si>
  <si>
    <t xml:space="preserve">√(b² + (σ/√n)²)</t>
  </si>
  <si>
    <t xml:space="preserve">Worked example 14.7 — stockpile volume error</t>
  </si>
  <si>
    <t xml:space="preserve">Given: Footprint 2,000 m²; bias 1.25 cm; 2,000 one-meter cells × ~100 points of σ = 0.4 cm.</t>
  </si>
  <si>
    <t xml:space="preserve">Footprint</t>
  </si>
  <si>
    <t xml:space="preserve">Vertical bias</t>
  </si>
  <si>
    <t xml:space="preserve">Cells</t>
  </si>
  <si>
    <t xml:space="preserve">Points per cell</t>
  </si>
  <si>
    <t xml:space="preserve">Point σ</t>
  </si>
  <si>
    <t xml:space="preserve">Cell area</t>
  </si>
  <si>
    <t xml:space="preserve">Systematic volume error</t>
  </si>
  <si>
    <t xml:space="preserve">m³</t>
  </si>
  <si>
    <t xml:space="preserve">δV = A·b</t>
  </si>
  <si>
    <t xml:space="preserve">σ per cell</t>
  </si>
  <si>
    <t xml:space="preserve">Random volume σ</t>
  </si>
  <si>
    <t xml:space="preserve">a·σcell·√N</t>
  </si>
  <si>
    <t xml:space="preserve">Worked example 14.8 — RSS budget for a 5 cm (0.16 ft, 1σ) job</t>
  </si>
  <si>
    <t xml:space="preserve">Given: 1σ terms (cm): range+angle 2.0; lever arm+boresight 1.5; trajectory 3.0; timing 0.5; control 1.5.</t>
  </si>
  <si>
    <t xml:space="preserve">Range + angle</t>
  </si>
  <si>
    <t xml:space="preserve">Lever arm + boresight</t>
  </si>
  <si>
    <t xml:space="preserve">Trajectory</t>
  </si>
  <si>
    <t xml:space="preserve">Timing</t>
  </si>
  <si>
    <t xml:space="preserve">Control / georeferencing</t>
  </si>
  <si>
    <t xml:space="preserve">What-if trajectory</t>
  </si>
  <si>
    <t xml:space="preserve">Specification</t>
  </si>
  <si>
    <t xml:space="preserve">Σσi²</t>
  </si>
  <si>
    <t xml:space="preserve">√Σσi²</t>
  </si>
  <si>
    <t xml:space="preserve">What-if sum of squares</t>
  </si>
  <si>
    <t xml:space="preserve">What-if total</t>
  </si>
  <si>
    <t xml:space="preserve">Pass/fail is shown in column B of the next two rows (1 = pass, 0 = fail).</t>
  </si>
  <si>
    <t xml:space="preserve">Base budget passes?</t>
  </si>
  <si>
    <t xml:space="preserve">What-if passes?</t>
  </si>
  <si>
    <t xml:space="preserve">Worked example 14.9 — what accuracy can an OS0 backpack deliver?</t>
  </si>
  <si>
    <t xml:space="preserve">Given: Budget of Example 14.4 with the OS0 precision at each range (Module 15).</t>
  </si>
  <si>
    <t xml:space="preserve">Range 5 m</t>
  </si>
  <si>
    <t xml:space="preserve">OS0 precision at 5 m</t>
  </si>
  <si>
    <t xml:space="preserve">Horizontal at 5 m</t>
  </si>
  <si>
    <t xml:space="preserve">same terms as 14.4</t>
  </si>
  <si>
    <t xml:space="preserve">Vertical at 5 m</t>
  </si>
  <si>
    <t xml:space="preserve">Range 10 m</t>
  </si>
  <si>
    <t xml:space="preserve">OS0 precision at 10 m</t>
  </si>
  <si>
    <t xml:space="preserve">Horizontal at 10 m</t>
  </si>
  <si>
    <t xml:space="preserve">Vertical at 10 m</t>
  </si>
  <si>
    <t xml:space="preserve">Range 20 m</t>
  </si>
  <si>
    <t xml:space="preserve">OS0 precision at 20 m</t>
  </si>
  <si>
    <t xml:space="preserve">Horizontal at 20 m</t>
  </si>
  <si>
    <t xml:space="preserve">Vertical at 20 m</t>
  </si>
  <si>
    <t xml:space="preserve">Range 35 m</t>
  </si>
  <si>
    <t xml:space="preserve">OS0 precision at 35 m</t>
  </si>
  <si>
    <t xml:space="preserve">Horizontal at 35 m</t>
  </si>
  <si>
    <t xml:space="preserve">Vertical at 35 m</t>
  </si>
  <si>
    <t xml:space="preserve">Worked example 14.10 — georeferencing an OS0 point with the GX5-45 alone</t>
  </si>
  <si>
    <t xml:space="preserve">Given: Point 20 m to the side; GX5-45 ±2 m H, ±5 m V; heading 0.8°; roll/pitch 0.25°; range error 1.31 cm.</t>
  </si>
  <si>
    <t xml:space="preserve">Position H</t>
  </si>
  <si>
    <t xml:space="preserve">Position V</t>
  </si>
  <si>
    <t xml:space="preserve">Heading</t>
  </si>
  <si>
    <t xml:space="preserve">Range error</t>
  </si>
  <si>
    <t xml:space="preserve">Horizontal</t>
  </si>
  <si>
    <t xml:space="preserve">√(pos² + (ρδψ)² + range²)</t>
  </si>
  <si>
    <t xml:space="preserve">Vertical</t>
  </si>
  <si>
    <t xml:space="preserve">√(pos² + (ρδφ)²)</t>
  </si>
  <si>
    <t xml:space="preserve">Heading shear inside one scan</t>
  </si>
  <si>
    <t xml:space="preserve">Worked example 14.11 — the same point with the GQ7 and RTK</t>
  </si>
  <si>
    <t xml:space="preserve">Given: GQ7 RTK 2 cm H and V; heading 0.25°; roll/pitch 0.05°; range 1.31 cm.</t>
  </si>
  <si>
    <t xml:space="preserve">RTK position</t>
  </si>
  <si>
    <t xml:space="preserve">Heading term</t>
  </si>
  <si>
    <t xml:space="preserve">Worked example 14.12 — RiLOC-F, Case A — nadir return from 500 ft AGL</t>
  </si>
  <si>
    <t xml:space="preserve">Given: GNSS 2.5 cm H / 3.75 cm V; attitude 0.005°; boresight 0.005°; lever arm 5 mm; range 2.5 cm; encoder term 0.08 cm.</t>
  </si>
  <si>
    <t xml:space="preserve">Flying height</t>
  </si>
  <si>
    <t xml:space="preserve">ft</t>
  </si>
  <si>
    <t xml:space="preserve">GNSS horizontal</t>
  </si>
  <si>
    <t xml:space="preserve">GNSS vertical</t>
  </si>
  <si>
    <t xml:space="preserve">Roll = pitch = heading</t>
  </si>
  <si>
    <t xml:space="preserve">Laser range (accuracy ⊕ precision)</t>
  </si>
  <si>
    <t xml:space="preserve">Encoder term</t>
  </si>
  <si>
    <t xml:space="preserve">500 ft × 0.3048</t>
  </si>
  <si>
    <t xml:space="preserve">One attitude axis at range</t>
  </si>
  <si>
    <t xml:space="preserve">Roll and pitch (RSS)</t>
  </si>
  <si>
    <t xml:space="preserve">√(1.33² + 1.33²)</t>
  </si>
  <si>
    <t xml:space="preserve">Boresight (two axes)</t>
  </si>
  <si>
    <t xml:space="preserve">Lever arm horizontal</t>
  </si>
  <si>
    <t xml:space="preserve">Sum of squares H</t>
  </si>
  <si>
    <t xml:space="preserve">Sum of squares V</t>
  </si>
  <si>
    <t xml:space="preserve">Worked example 14.13 — RiLOC-F, Case B — 500 ft slant return at the 37.5° edge</t>
  </si>
  <si>
    <t xml:space="preserve">Given: Same inputs as Case A; scan angle 37.5°.</t>
  </si>
  <si>
    <t xml:space="preserve">Scan angle from nadir</t>
  </si>
  <si>
    <t xml:space="preserve">Roll/pitch, horizontal</t>
  </si>
  <si>
    <t xml:space="preserve">√2 ρ cos θ δα</t>
  </si>
  <si>
    <t xml:space="preserve">Heading, horizontal</t>
  </si>
  <si>
    <t xml:space="preserve">ρ sin θ δψ</t>
  </si>
  <si>
    <t xml:space="preserve">Range, horizontal</t>
  </si>
  <si>
    <t xml:space="preserve">δρ sin θ</t>
  </si>
  <si>
    <t xml:space="preserve">Boresight, horizontal</t>
  </si>
  <si>
    <t xml:space="preserve">Roll, vertical</t>
  </si>
  <si>
    <t xml:space="preserve">ρ sin θ δφ</t>
  </si>
  <si>
    <t xml:space="preserve">Range, vertical</t>
  </si>
  <si>
    <t xml:space="preserve">δρ cos θ</t>
  </si>
  <si>
    <t xml:space="preserve">boresight vertical = roll term</t>
  </si>
  <si>
    <t xml:space="preserve">Worked example 14.14 — what ground control and strip adjustment buy you</t>
  </si>
  <si>
    <t xml:space="preserve">Given: Remaining GNSS-related error 1.5 cm H and V; checkpoint survey RMSE 1.0 cm; AP+30 attitude 0.010°, heading 0.025°.</t>
  </si>
  <si>
    <t xml:space="preserve">Adjusted GNSS H and V</t>
  </si>
  <si>
    <t xml:space="preserve">Checkpoint RMSE</t>
  </si>
  <si>
    <t xml:space="preserve">AP+30 roll/pitch</t>
  </si>
  <si>
    <t xml:space="preserve">AP+30 heading</t>
  </si>
  <si>
    <t xml:space="preserve">RiLOC-F nadir horizontal</t>
  </si>
  <si>
    <t xml:space="preserve">RiLOC-F nadir vertical</t>
  </si>
  <si>
    <t xml:space="preserve">With checkpoint error</t>
  </si>
  <si>
    <t xml:space="preserve">AP+30 roll/pitch at edge</t>
  </si>
  <si>
    <t xml:space="preserve">AP+30 heading at edge</t>
  </si>
  <si>
    <t xml:space="preserve">AP+30 edge horizontal</t>
  </si>
  <si>
    <t xml:space="preserve">Worked example 14.15 — capstone vertical error budget, 3 cm (0.10 ft) specification</t>
  </si>
  <si>
    <t xml:space="preserve">Given: 1σ terms (cm): range noise 0.8; boresight 1.0; lever arm 0.3; trajectory 1.8; control 1.0; timing 0.1.</t>
  </si>
  <si>
    <t xml:space="preserve">Range noise</t>
  </si>
  <si>
    <t xml:space="preserve">Boresight</t>
  </si>
  <si>
    <t xml:space="preserve">Lever arm</t>
  </si>
  <si>
    <t xml:space="preserve">Trajectory (open sky)</t>
  </si>
  <si>
    <t xml:space="preserve">Control</t>
  </si>
  <si>
    <t xml:space="preserve">Trajectory in underpass</t>
  </si>
  <si>
    <t xml:space="preserve">Underpass with mid-point control</t>
  </si>
  <si>
    <t xml:space="preserve">Sum of squares, open sky</t>
  </si>
  <si>
    <t xml:space="preserve">Open sky</t>
  </si>
  <si>
    <t xml:space="preserve">Underpass</t>
  </si>
  <si>
    <t xml:space="preserve">Underpass with control</t>
  </si>
  <si>
    <t xml:space="preserve">Module 15 — Ouster OS0 Case Study: worked examples</t>
  </si>
  <si>
    <t xml:space="preserve">Worked example 15.1 — spacing on a building face</t>
  </si>
  <si>
    <t xml:space="preserve">Given: OS0-128, 1024 @ 10 Hz; wall 20 m away.</t>
  </si>
  <si>
    <t xml:space="preserve">Columns</t>
  </si>
  <si>
    <t xml:space="preserve">Vertical FOV</t>
  </si>
  <si>
    <t xml:space="preserve">360°/Ncol</t>
  </si>
  <si>
    <t xml:space="preserve">Horizontal step (rad)</t>
  </si>
  <si>
    <t xml:space="preserve">Horizontal spacing</t>
  </si>
  <si>
    <t xml:space="preserve">ρΔθ</t>
  </si>
  <si>
    <t xml:space="preserve">Vertical step</t>
  </si>
  <si>
    <t xml:space="preserve">FOV/(Nch − 1)</t>
  </si>
  <si>
    <t xml:space="preserve">Vertical step (rad)</t>
  </si>
  <si>
    <t xml:space="preserve">Vertical spacing</t>
  </si>
  <si>
    <t xml:space="preserve">Worked example 15.2 — does 4096 mode make the map sharper?</t>
  </si>
  <si>
    <t xml:space="preserve">Given: Exit 5 mm, divergence 0.35°, range 20 m.</t>
  </si>
  <si>
    <t xml:space="preserve">Spot at range</t>
  </si>
  <si>
    <t xml:space="preserve">d0 + ρ·γ</t>
  </si>
  <si>
    <t xml:space="preserve">1024-mode spacing</t>
  </si>
  <si>
    <t xml:space="preserve">4096-mode spacing</t>
  </si>
  <si>
    <t xml:space="preserve">Samples per spot (4096)</t>
  </si>
  <si>
    <t xml:space="preserve">Edge location ± half spot</t>
  </si>
  <si>
    <t xml:space="preserve">Worked example 15.3 — does the data profile matter?</t>
  </si>
  <si>
    <t xml:space="preserve">Given: Quantization σ = q/√12.</t>
  </si>
  <si>
    <t xml:space="preserve">Standard profile step</t>
  </si>
  <si>
    <t xml:space="preserve">Low Data Rate step</t>
  </si>
  <si>
    <t xml:space="preserve">Best precision</t>
  </si>
  <si>
    <t xml:space="preserve">σq standard</t>
  </si>
  <si>
    <t xml:space="preserve">q/√12</t>
  </si>
  <si>
    <t xml:space="preserve">σq low data rate</t>
  </si>
  <si>
    <t xml:space="preserve">Combined at short range</t>
  </si>
  <si>
    <t xml:space="preserve">Noise increase</t>
  </si>
  <si>
    <t xml:space="preserve">Worked example 15.4 — total range error on dark asphalt</t>
  </si>
  <si>
    <t xml:space="preserve">Given: Range accuracy 1.25 cm combined with precision at each range.</t>
  </si>
  <si>
    <t xml:space="preserve">Range accuracy (bias)</t>
  </si>
  <si>
    <t xml:space="preserve">Quantization σ</t>
  </si>
  <si>
    <t xml:space="preserve">Precision at 10 m (10% target)</t>
  </si>
  <si>
    <t xml:space="preserve">Total at 10 m</t>
  </si>
  <si>
    <t xml:space="preserve">Unrounded 1.275 cm; book shows 1.27</t>
  </si>
  <si>
    <t xml:space="preserve">Precision at 20 m (10% target)</t>
  </si>
  <si>
    <t xml:space="preserve">Total at 20 m</t>
  </si>
  <si>
    <t xml:space="preserve">Precision at 30 m (10% target)</t>
  </si>
  <si>
    <t xml:space="preserve">Total at 30 m</t>
  </si>
  <si>
    <t xml:space="preserve">Precision at 35 m (10% target)</t>
  </si>
  <si>
    <t xml:space="preserve">Total at 35 m</t>
  </si>
  <si>
    <t xml:space="preserve">Worked example 15.5 — the ±0.01° encoder spec</t>
  </si>
  <si>
    <t xml:space="preserve">Encoder accuracy</t>
  </si>
  <si>
    <t xml:space="preserve">In radians</t>
  </si>
  <si>
    <t xml:space="preserve">Across-beam at 10 m</t>
  </si>
  <si>
    <t xml:space="preserve">ρ·δθ</t>
  </si>
  <si>
    <t xml:space="preserve">Across-beam at 20 m</t>
  </si>
  <si>
    <t xml:space="preserve">Across-beam at 35 m</t>
  </si>
  <si>
    <t xml:space="preserve">Worked example 15.6 — why the OS0 must be synchronized</t>
  </si>
  <si>
    <t xml:space="preserve">Given: Synced &lt; 1 ms; internal clock drift &lt; 20 ppm.</t>
  </si>
  <si>
    <t xml:space="preserve">Sync error</t>
  </si>
  <si>
    <t xml:space="preserve">Walking speed</t>
  </si>
  <si>
    <t xml:space="preserve">Driving speed</t>
  </si>
  <si>
    <t xml:space="preserve">Clock drift</t>
  </si>
  <si>
    <t xml:space="preserve">ppm</t>
  </si>
  <si>
    <t xml:space="preserve">Free-running time</t>
  </si>
  <si>
    <t xml:space="preserve">Walking</t>
  </si>
  <si>
    <t xml:space="preserve">Driving</t>
  </si>
  <si>
    <t xml:space="preserve">Rotation during δt</t>
  </si>
  <si>
    <t xml:space="preserve">Turning, point at range</t>
  </si>
  <si>
    <t xml:space="preserve">Free-running offset</t>
  </si>
  <si>
    <t xml:space="preserve">Free-running error at driving speed</t>
  </si>
  <si>
    <t xml:space="preserve">Worked example 15.7 — scan skew inside one rotation</t>
  </si>
  <si>
    <t xml:space="preserve">Given: 1024 @ 10 Hz.</t>
  </si>
  <si>
    <t xml:space="preserve">Time per rotation</t>
  </si>
  <si>
    <t xml:space="preserve">Time per column</t>
  </si>
  <si>
    <t xml:space="preserve">µs</t>
  </si>
  <si>
    <t xml:space="preserve">Motion in one sweep</t>
  </si>
  <si>
    <t xml:space="preserve">Rotation in one sweep</t>
  </si>
  <si>
    <t xml:space="preserve">Smear at range if not de-skewed</t>
  </si>
  <si>
    <t xml:space="preserve">Worked example 15.8 — interior as-built of a mechanical room</t>
  </si>
  <si>
    <t xml:space="preserve">Given: 5 cm spacing on walls up to 15 m; 2 cm accuracy; walking survey.</t>
  </si>
  <si>
    <t xml:space="preserve">Required spacing</t>
  </si>
  <si>
    <t xml:space="preserve">Maximum range</t>
  </si>
  <si>
    <t xml:space="preserve">Close-up range</t>
  </si>
  <si>
    <t xml:space="preserve">Indoor SLAM trajectory</t>
  </si>
  <si>
    <t xml:space="preserve">Precision (bright wall)</t>
  </si>
  <si>
    <t xml:space="preserve">Encoder</t>
  </si>
  <si>
    <t xml:space="preserve">Data volume at 1024 mode</t>
  </si>
  <si>
    <t xml:space="preserve">GB/h</t>
  </si>
  <si>
    <t xml:space="preserve">Needed step</t>
  </si>
  <si>
    <t xml:space="preserve">Δθ = s/ρ</t>
  </si>
  <si>
    <t xml:space="preserve">Needed step (deg)</t>
  </si>
  <si>
    <t xml:space="preserve">Columns needed (≥)</t>
  </si>
  <si>
    <t xml:space="preserve">cols</t>
  </si>
  <si>
    <t xml:space="preserve">→ choose 2048 (0.176°)</t>
  </si>
  <si>
    <t xml:space="preserve">Spot at maximum range</t>
  </si>
  <si>
    <t xml:space="preserve">Spot at close-up range</t>
  </si>
  <si>
    <t xml:space="preserve">Encoder term (each axis)</t>
  </si>
  <si>
    <t xml:space="preserve">Budget total</t>
  </si>
  <si>
    <t xml:space="preserve">Points per second, 2048 @ 10 Hz × 128</t>
  </si>
  <si>
    <t xml:space="preserve">Data volume</t>
  </si>
  <si>
    <t xml:space="preserve">≈ 2 × 1024 mode</t>
  </si>
  <si>
    <t xml:space="preserve">Module 16 — MicroStrain 3DM-GX5 / GQ7 Case Study: worked examples</t>
  </si>
  <si>
    <t xml:space="preserve">Worked example 16.1 — the GX5's random walks</t>
  </si>
  <si>
    <t xml:space="preserve">Given: Gyro noise density 0.005 °/s/√Hz; accel noise density 25 µg/√Hz; one 70 s lap.</t>
  </si>
  <si>
    <t xml:space="preserve">Gyro noise density</t>
  </si>
  <si>
    <t xml:space="preserve">°/s/√Hz</t>
  </si>
  <si>
    <t xml:space="preserve">Accel noise density</t>
  </si>
  <si>
    <t xml:space="preserve">µg/√Hz</t>
  </si>
  <si>
    <t xml:space="preserve">Lap time</t>
  </si>
  <si>
    <t xml:space="preserve">Angle random walk</t>
  </si>
  <si>
    <t xml:space="preserve">°/√h</t>
  </si>
  <si>
    <t xml:space="preserve">ARW = 60 N</t>
  </si>
  <si>
    <t xml:space="preserve">Heading wander after one lap</t>
  </si>
  <si>
    <t xml:space="preserve">ARW √t</t>
  </si>
  <si>
    <t xml:space="preserve">Velocity random walk</t>
  </si>
  <si>
    <t xml:space="preserve">m/s/√s</t>
  </si>
  <si>
    <t xml:space="preserve">Velocity wander after one lap</t>
  </si>
  <si>
    <t xml:space="preserve">VRW √t</t>
  </si>
  <si>
    <t xml:space="preserve">Worked example 16.2 — Block Loop Run 1 — a traverse that closes perfectly and is still wrong</t>
  </si>
  <si>
    <t xml:space="preserve">Given: Rectangle A(1000,1000) → B → C → D → A; legs 200, 150, 200, 150 m at 090°, 180°, 270°, 000°. AHRS heading +0.8° on every leg; odometer 0.2% long.</t>
  </si>
  <si>
    <t xml:space="preserve">A easting</t>
  </si>
  <si>
    <t xml:space="preserve">A northing</t>
  </si>
  <si>
    <t xml:space="preserve">Heading error (every leg)</t>
  </si>
  <si>
    <t xml:space="preserve">Odometer scale error</t>
  </si>
  <si>
    <t xml:space="preserve">Leg 1 true length</t>
  </si>
  <si>
    <t xml:space="preserve">Leg 1 true azimuth</t>
  </si>
  <si>
    <t xml:space="preserve">Leg 2 true length</t>
  </si>
  <si>
    <t xml:space="preserve">Leg 2 true azimuth</t>
  </si>
  <si>
    <t xml:space="preserve">Leg 3 true length</t>
  </si>
  <si>
    <t xml:space="preserve">Leg 3 true azimuth</t>
  </si>
  <si>
    <t xml:space="preserve">Leg 4 true length</t>
  </si>
  <si>
    <t xml:space="preserve">Leg 4 true azimuth</t>
  </si>
  <si>
    <t xml:space="preserve">Leg 1 ΔE</t>
  </si>
  <si>
    <t xml:space="preserve">L(1+s) sin(α+δ)</t>
  </si>
  <si>
    <t xml:space="preserve">Leg 1 ΔN</t>
  </si>
  <si>
    <t xml:space="preserve">L(1+s) cos(α+δ)</t>
  </si>
  <si>
    <t xml:space="preserve">B′ easting</t>
  </si>
  <si>
    <t xml:space="preserve">B′ northing</t>
  </si>
  <si>
    <t xml:space="preserve">Leg 2 ΔE</t>
  </si>
  <si>
    <t xml:space="preserve">Leg 2 ΔN</t>
  </si>
  <si>
    <t xml:space="preserve">C′ easting</t>
  </si>
  <si>
    <t xml:space="preserve">C′ northing</t>
  </si>
  <si>
    <t xml:space="preserve">Leg 3 ΔE</t>
  </si>
  <si>
    <t xml:space="preserve">Leg 3 ΔN</t>
  </si>
  <si>
    <t xml:space="preserve">D′ easting</t>
  </si>
  <si>
    <t xml:space="preserve">D′ northing</t>
  </si>
  <si>
    <t xml:space="preserve">Leg 4 ΔE</t>
  </si>
  <si>
    <t xml:space="preserve">Leg 4 ΔN</t>
  </si>
  <si>
    <t xml:space="preserve">A′ easting</t>
  </si>
  <si>
    <t xml:space="preserve">A′ northing</t>
  </si>
  <si>
    <t xml:space="preserve">Misclosure ΣΔE</t>
  </si>
  <si>
    <t xml:space="preserve">Misclosure ΣΔN</t>
  </si>
  <si>
    <t xml:space="preserve">B′ error vs. true B</t>
  </si>
  <si>
    <t xml:space="preserve">C′ error vs. true C</t>
  </si>
  <si>
    <t xml:space="preserve">Worked example 16.3 — a local magnetic disturbance (Run 2) and the compass rule</t>
  </si>
  <si>
    <t xml:space="preserve">Given: Run 1 plus the steel bridge deflects leg B–C by −2.0° (leg error 0.8 − 2.0 = −1.2°).</t>
  </si>
  <si>
    <t xml:space="preserve">Extra deflection on leg 2</t>
  </si>
  <si>
    <t xml:space="preserve">Misclosure E</t>
  </si>
  <si>
    <t xml:space="preserve">Misclosure N</t>
  </si>
  <si>
    <t xml:space="preserve">Linear misclosure</t>
  </si>
  <si>
    <t xml:space="preserve">Traverse length</t>
  </si>
  <si>
    <t xml:space="preserve">Precision ratio 1 :</t>
  </si>
  <si>
    <t xml:space="preserve">Compass correction E at B</t>
  </si>
  <si>
    <t xml:space="preserve">−misclosure × cum. distance / total</t>
  </si>
  <si>
    <t xml:space="preserve">Compass correction N at B</t>
  </si>
  <si>
    <t xml:space="preserve">Adjusted B error vs. truth</t>
  </si>
  <si>
    <t xml:space="preserve">Compass correction E at C</t>
  </si>
  <si>
    <t xml:space="preserve">Compass correction N at C</t>
  </si>
  <si>
    <t xml:space="preserve">Adjusted C error vs. truth</t>
  </si>
  <si>
    <t xml:space="preserve">Compass correction E at D</t>
  </si>
  <si>
    <t xml:space="preserve">Compass correction N at D</t>
  </si>
  <si>
    <t xml:space="preserve">Adjusted D error vs. truth</t>
  </si>
  <si>
    <t xml:space="preserve">Worked example 16.4 — what does a typical lap look like? (hand check)</t>
  </si>
  <si>
    <t xml:space="preserve">Given: Independent heading error 0.8° on each leg; legs 200, 150, 200, 150 m. Book simulation (20,000 laps): mean 4.3 m, 95% below 8.6 m.</t>
  </si>
  <si>
    <t xml:space="preserve">Sideways on a 200 m leg</t>
  </si>
  <si>
    <t xml:space="preserve">L·δα</t>
  </si>
  <si>
    <t xml:space="preserve">Sideways on a 150 m leg</t>
  </si>
  <si>
    <t xml:space="preserve">RMS radial misclosure</t>
  </si>
  <si>
    <t xml:space="preserve">√(2·2.79² + 2·2.09²)</t>
  </si>
  <si>
    <t xml:space="preserve">Worked example 16.5 — could the IMU alone drive the loop?</t>
  </si>
  <si>
    <t xml:space="preserve">Given: GX5 IMU only; one 70 s lap at 10 m/s.</t>
  </si>
  <si>
    <t xml:space="preserve">Roll/pitch error</t>
  </si>
  <si>
    <t xml:space="preserve">Uncalibrated accel bias</t>
  </si>
  <si>
    <t xml:space="preserve">Uncalibrated gyro bias</t>
  </si>
  <si>
    <t xml:space="preserve">°/s</t>
  </si>
  <si>
    <t xml:space="preserve">Accel bias instability</t>
  </si>
  <si>
    <t xml:space="preserve">Gyro bias instability</t>
  </si>
  <si>
    <t xml:space="preserve">°/h</t>
  </si>
  <si>
    <t xml:space="preserve">Leaked gravity</t>
  </si>
  <si>
    <t xml:space="preserve">Tilt error after lap</t>
  </si>
  <si>
    <t xml:space="preserve">½at²</t>
  </si>
  <si>
    <t xml:space="preserve">Accel bias error</t>
  </si>
  <si>
    <t xml:space="preserve">Heading error after lap</t>
  </si>
  <si>
    <t xml:space="preserve">Gyro bias sideways error</t>
  </si>
  <si>
    <t xml:space="preserve">Best case: accel bias instability</t>
  </si>
  <si>
    <t xml:space="preserve">Best case: gyro 8°/h</t>
  </si>
  <si>
    <t xml:space="preserve">Worked example 16.6 — GX5-45 EKF: bounded, but meter-level</t>
  </si>
  <si>
    <t xml:space="preserve">Given: ±2 m RMS horizontal; ±5 m vertical; 20 s underpass.</t>
  </si>
  <si>
    <t xml:space="preserve">Horizontal RMS (radial)</t>
  </si>
  <si>
    <t xml:space="preserve">Underpass time</t>
  </si>
  <si>
    <t xml:space="preserve">Filtered tilt</t>
  </si>
  <si>
    <t xml:space="preserve">Full tilt spec</t>
  </si>
  <si>
    <t xml:space="preserve">Time pulse</t>
  </si>
  <si>
    <t xml:space="preserve">Per-axis RMS</t>
  </si>
  <si>
    <t xml:space="preserve">95% horizontal radius</t>
  </si>
  <si>
    <t xml:space="preserve">2.448 × σ</t>
  </si>
  <si>
    <t xml:space="preserve">Start–end misclosure</t>
  </si>
  <si>
    <t xml:space="preserve">√2 σ</t>
  </si>
  <si>
    <t xml:space="preserve">Coast, filtered tilt</t>
  </si>
  <si>
    <t xml:space="preserve">½(g sin θ + ba)t²</t>
  </si>
  <si>
    <t xml:space="preserve">Coast, full tilt spec</t>
  </si>
  <si>
    <t xml:space="preserve">Time-pulse error</t>
  </si>
  <si>
    <t xml:space="preserve">µm</t>
  </si>
  <si>
    <t xml:space="preserve">Worked example 16.7 — dual-antenna heading on a backpack versus a truck</t>
  </si>
  <si>
    <t xml:space="preserve">Given: GQ7: 0.25° on a 1.5 m baseline.</t>
  </si>
  <si>
    <t xml:space="preserve">Datasheet heading</t>
  </si>
  <si>
    <t xml:space="preserve">Datasheet baseline</t>
  </si>
  <si>
    <t xml:space="preserve">Backpack baseline</t>
  </si>
  <si>
    <t xml:space="preserve">Vehicle baseline</t>
  </si>
  <si>
    <t xml:space="preserve">Relative GNSS precision</t>
  </si>
  <si>
    <t xml:space="preserve">σrel = b·σψ</t>
  </si>
  <si>
    <t xml:space="preserve">Backpack heading</t>
  </si>
  <si>
    <t xml:space="preserve">σψ = σrel/b</t>
  </si>
  <si>
    <t xml:space="preserve">Vehicle heading</t>
  </si>
  <si>
    <t xml:space="preserve">Worked example 16.8 — single baseline versus VRS</t>
  </si>
  <si>
    <t xml:space="preserve">Given: GQ7 RTK 1 cm + 1 ppm.</t>
  </si>
  <si>
    <t xml:space="preserve">Constant term</t>
  </si>
  <si>
    <t xml:space="preserve">Distance term</t>
  </si>
  <si>
    <t xml:space="preserve">Nearest FPRN station</t>
  </si>
  <si>
    <t xml:space="preserve">Virtual station</t>
  </si>
  <si>
    <t xml:space="preserve">Single baseline</t>
  </si>
  <si>
    <t xml:space="preserve">a + ppm × D</t>
  </si>
  <si>
    <t xml:space="preserve">VRS / iMAX</t>
  </si>
  <si>
    <t xml:space="preserve">Worked example 16.9 — RTK traverse: centimeters instead of meters</t>
  </si>
  <si>
    <t xml:space="preserve">Given: VRS about 2 km away; 2 cm used in the budget; 700 m loop.</t>
  </si>
  <si>
    <t xml:space="preserve">Virtual station distance</t>
  </si>
  <si>
    <t xml:space="preserve">Budget value</t>
  </si>
  <si>
    <t xml:space="preserve">Loop length</t>
  </si>
  <si>
    <t xml:space="preserve">RTK error</t>
  </si>
  <si>
    <t xml:space="preserve">95% circle</t>
  </si>
  <si>
    <t xml:space="preserve">Precision 1 :</t>
  </si>
  <si>
    <t xml:space="preserve">Worked example 16.10 — 20 s and 60 s outages</t>
  </si>
  <si>
    <t xml:space="preserve">Given: Coast error = √[(σv t)² + (½ ba t²)² + (⅙ g bg t³)²].</t>
  </si>
  <si>
    <t xml:space="preserve">GX5-45 velocity σ</t>
  </si>
  <si>
    <t xml:space="preserve">GX5-45 accel bias</t>
  </si>
  <si>
    <t xml:space="preserve">GX5-45 gyro bias</t>
  </si>
  <si>
    <t xml:space="preserve">GQ7 velocity σ</t>
  </si>
  <si>
    <t xml:space="preserve">GQ7 accel bias</t>
  </si>
  <si>
    <t xml:space="preserve">GQ7 gyro bias</t>
  </si>
  <si>
    <t xml:space="preserve">GQ7 after RTK velocity σ</t>
  </si>
  <si>
    <t xml:space="preserve">GQ7 after RTK accel bias</t>
  </si>
  <si>
    <t xml:space="preserve">GQ7 after RTK gyro bias</t>
  </si>
  <si>
    <t xml:space="preserve">GX5-45, 20 s</t>
  </si>
  <si>
    <t xml:space="preserve">Book rounded the three terms first (2.0, 0.08, 0.51) and got 2.07; unrounded = 2.065</t>
  </si>
  <si>
    <t xml:space="preserve">GQ7, 20 s</t>
  </si>
  <si>
    <t xml:space="preserve">GQ7 + RTK velocity, 20 s</t>
  </si>
  <si>
    <t xml:space="preserve">GX5-45, 60 s</t>
  </si>
  <si>
    <t xml:space="preserve">GQ7 + RTK velocity, 60 s</t>
  </si>
  <si>
    <t xml:space="preserve">Module 17 — RIEGL VUX-240²⁴ at 500 ft: worked examples</t>
  </si>
  <si>
    <t xml:space="preserve">Worked example 17.1 — multiple-time-around (MTA) at 2400 kHz</t>
  </si>
  <si>
    <t xml:space="preserve">Pulse rate</t>
  </si>
  <si>
    <t xml:space="preserve">Range (500 ft)</t>
  </si>
  <si>
    <t xml:space="preserve">Lower pulse rate</t>
  </si>
  <si>
    <t xml:space="preserve">Unambiguous range</t>
  </si>
  <si>
    <t xml:space="preserve">c/(2 PRR)</t>
  </si>
  <si>
    <t xml:space="preserve">Range / zone depth</t>
  </si>
  <si>
    <t xml:space="preserve">MTA zone</t>
  </si>
  <si>
    <t xml:space="preserve">Zone depth at 300 kHz</t>
  </si>
  <si>
    <t xml:space="preserve">Worked example 17.2 — atmospheric correction</t>
  </si>
  <si>
    <t xml:space="preserve">Correction in ppm</t>
  </si>
  <si>
    <t xml:space="preserve">Correction at range</t>
  </si>
  <si>
    <t xml:space="preserve">ρ(n − 1)</t>
  </si>
  <si>
    <t xml:space="preserve">Worked example 17.3 — point density at 500 ft</t>
  </si>
  <si>
    <t xml:space="preserve">Altitude</t>
  </si>
  <si>
    <t xml:space="preserve">Half scan angle</t>
  </si>
  <si>
    <t xml:space="preserve">Measurement rate</t>
  </si>
  <si>
    <t xml:space="preserve">Aircraft speed</t>
  </si>
  <si>
    <t xml:space="preserve">kn</t>
  </si>
  <si>
    <t xml:space="preserve">UAS speed</t>
  </si>
  <si>
    <t xml:space="preserve">Swath</t>
  </si>
  <si>
    <t xml:space="preserve">2h tan θ</t>
  </si>
  <si>
    <t xml:space="preserve">Speed in m/s</t>
  </si>
  <si>
    <t xml:space="preserve">Density, aircraft</t>
  </si>
  <si>
    <t xml:space="preserve">pts/m²</t>
  </si>
  <si>
    <t xml:space="preserve">rate/(swath × v)</t>
  </si>
  <si>
    <t xml:space="preserve">Density, UAS</t>
  </si>
  <si>
    <t xml:space="preserve">Scaled to 1,100 ft</t>
  </si>
  <si>
    <t xml:space="preserve">∝ 1/altitude</t>
  </si>
  <si>
    <t xml:space="preserve">Point spacing (aircraft)</t>
  </si>
  <si>
    <t xml:space="preserve">1/√density</t>
  </si>
  <si>
    <t xml:space="preserve">Module 18 — Processing Pipeline: worked examples</t>
  </si>
  <si>
    <t xml:space="preserve">Worked example 18.1 — statistical outlier removal (SOR) on eight points</t>
  </si>
  <si>
    <t xml:space="preserve">Given: Mean-neighbor distances (m); α = 1.</t>
  </si>
  <si>
    <t xml:space="preserve">Point 1</t>
  </si>
  <si>
    <t xml:space="preserve">Point 2</t>
  </si>
  <si>
    <t xml:space="preserve">Point 3</t>
  </si>
  <si>
    <t xml:space="preserve">Point 4</t>
  </si>
  <si>
    <t xml:space="preserve">Point 5</t>
  </si>
  <si>
    <t xml:space="preserve">Point 6</t>
  </si>
  <si>
    <t xml:space="preserve">Point 7</t>
  </si>
  <si>
    <t xml:space="preserve">Point 8</t>
  </si>
  <si>
    <t xml:space="preserve">α</t>
  </si>
  <si>
    <t xml:space="preserve">Mean</t>
  </si>
  <si>
    <t xml:space="preserve">μ</t>
  </si>
  <si>
    <t xml:space="preserve">Standard deviation (population)</t>
  </si>
  <si>
    <t xml:space="preserve">σ</t>
  </si>
  <si>
    <t xml:space="preserve">Threshold</t>
  </si>
  <si>
    <t xml:space="preserve">μ + ασ</t>
  </si>
  <si>
    <t xml:space="preserve">Points removed</t>
  </si>
  <si>
    <t xml:space="preserve">Worked example 18.2 — stockpile volume</t>
  </si>
  <si>
    <t xml:space="preserve">Given: 3 × 3 grid of 2 m cells; heights above base (m).</t>
  </si>
  <si>
    <t xml:space="preserve">Cell 1 height</t>
  </si>
  <si>
    <t xml:space="preserve">Cell 2 height</t>
  </si>
  <si>
    <t xml:space="preserve">Cell 3 height</t>
  </si>
  <si>
    <t xml:space="preserve">Cell 4 height</t>
  </si>
  <si>
    <t xml:space="preserve">Cell 5 height</t>
  </si>
  <si>
    <t xml:space="preserve">Cell 6 height</t>
  </si>
  <si>
    <t xml:space="preserve">Cell 7 height</t>
  </si>
  <si>
    <t xml:space="preserve">Cell 8 height</t>
  </si>
  <si>
    <t xml:space="preserve">Cell 9 height</t>
  </si>
  <si>
    <t xml:space="preserve">Cell size</t>
  </si>
  <si>
    <t xml:space="preserve">Sum of heights</t>
  </si>
  <si>
    <t xml:space="preserve">Volume</t>
  </si>
  <si>
    <t xml:space="preserve">V = A Σh</t>
  </si>
  <si>
    <t xml:space="preserve">Volume in cubic yards</t>
  </si>
  <si>
    <t xml:space="preserve">yd³</t>
  </si>
  <si>
    <t xml:space="preserve">Module 19 — Florida Standards, FDOT and the New Datums: worked examples</t>
  </si>
  <si>
    <t xml:space="preserve">Worked example 19.1 — sealing a 40-tile LAZ delivery with a signature file</t>
  </si>
  <si>
    <t xml:space="preserve">Given: Hashes are computed by software (e.g. sha256sum or certutil -hashfile file SHA256); Excel only counts the lines.</t>
  </si>
  <si>
    <t xml:space="preserve">LAZ tiles</t>
  </si>
  <si>
    <t xml:space="preserve">Other files (TIN, CAD, trajectory, report)</t>
  </si>
  <si>
    <t xml:space="preserve">SHA-256 length</t>
  </si>
  <si>
    <t xml:space="preserve">bits</t>
  </si>
  <si>
    <t xml:space="preserve">Lines in the signature file</t>
  </si>
  <si>
    <t xml:space="preserve">Hex characters per hash</t>
  </si>
  <si>
    <t xml:space="preserve">4 bits per hex digit</t>
  </si>
  <si>
    <t xml:space="preserve">Worked example 19.2 — why the foot matters</t>
  </si>
  <si>
    <t xml:space="preserve">Given: State Plane easting 650,000 ft.</t>
  </si>
  <si>
    <t xml:space="preserve">Easting</t>
  </si>
  <si>
    <t xml:space="preserve">U.S. survey foot</t>
  </si>
  <si>
    <t xml:space="preserve">1200/3937</t>
  </si>
  <si>
    <t xml:space="preserve">Meters (U.S. survey foot)</t>
  </si>
  <si>
    <t xml:space="preserve">Meters (international foot)</t>
  </si>
  <si>
    <t xml:space="preserve">Difference</t>
  </si>
  <si>
    <t xml:space="preserve">Difference in feet</t>
  </si>
  <si>
    <t xml:space="preserve">Module 20 — Professional Practice: worked examples</t>
  </si>
  <si>
    <t xml:space="preserve">Worked example 20.1 — can the RIEGL case study be flown by drone?</t>
  </si>
  <si>
    <t xml:space="preserve">Given: VUX-240²⁴ 4.3 kg without IMU, up to 6.8 kg with IMU/GNSS; Part 107 limits 55 lb and 400 ft AGL.</t>
  </si>
  <si>
    <t xml:space="preserve">Scanner without IMU</t>
  </si>
  <si>
    <t xml:space="preserve">kg</t>
  </si>
  <si>
    <t xml:space="preserve">Scanner with IMU (max)</t>
  </si>
  <si>
    <t xml:space="preserve">Part 107 aircraft limit</t>
  </si>
  <si>
    <t xml:space="preserve">lb</t>
  </si>
  <si>
    <t xml:space="preserve">Planned altitude</t>
  </si>
  <si>
    <t xml:space="preserve">Part 107 altitude limit</t>
  </si>
  <si>
    <t xml:space="preserve">Weight without IMU</t>
  </si>
  <si>
    <t xml:space="preserve">Weight with IMU</t>
  </si>
  <si>
    <t xml:space="preserve">Waiver needed for altitude? (1 = yes)</t>
  </si>
  <si>
    <t xml:space="preserve">Nadir range at 400 ft</t>
  </si>
  <si>
    <t xml:space="preserve">Attitude terms shrink by</t>
  </si>
  <si>
    <t xml:space="preserve">Density at UAS speed</t>
  </si>
  <si>
    <t xml:space="preserve">Module 21 — Capstone: worked examples (sample dataset on the 'Dataset' sheet)</t>
  </si>
  <si>
    <t xml:space="preserve">Worked example 21.1 — drive speed from point spacing</t>
  </si>
  <si>
    <t xml:space="preserve">Given: Along-track spacing ≤ 0.25 m; 20 Hz; 4 channels sweep the road.</t>
  </si>
  <si>
    <t xml:space="preserve">Effective channels</t>
  </si>
  <si>
    <t xml:space="preserve">Chosen speed</t>
  </si>
  <si>
    <t xml:space="preserve">Maximum speed</t>
  </si>
  <si>
    <t xml:space="preserve">v ≤ Δ × f × Neff</t>
  </si>
  <si>
    <t xml:space="preserve">Spacing at chosen speed</t>
  </si>
  <si>
    <t xml:space="preserve">Chosen speed in mph</t>
  </si>
  <si>
    <t xml:space="preserve">mph</t>
  </si>
  <si>
    <t xml:space="preserve">Worked example 21.2 — the underpass: how bad is an unaided IMU?</t>
  </si>
  <si>
    <t xml:space="preserve">Given: 300 m underpass at 13 m/s; accel bias 0.5 mg; gyro 1°/h.</t>
  </si>
  <si>
    <t xml:space="preserve">Underpass length</t>
  </si>
  <si>
    <t xml:space="preserve">Outage time</t>
  </si>
  <si>
    <t xml:space="preserve">Accelerometer drift</t>
  </si>
  <si>
    <t xml:space="preserve">½ ba t²</t>
  </si>
  <si>
    <t xml:space="preserve">Book used t rounded to 23.1 s (1.307 m); unrounded t gives 1.305 m</t>
  </si>
  <si>
    <t xml:space="preserve">Gyro drift (lateral)</t>
  </si>
  <si>
    <t xml:space="preserve">½ v bg t²</t>
  </si>
  <si>
    <t xml:space="preserve">Worked example 21.3 — timing and calibration checks</t>
  </si>
  <si>
    <t xml:space="preserve">Given: PTP ±0.1 ms; boresight residual 0.02° at 30 m.</t>
  </si>
  <si>
    <t xml:space="preserve">Longest range</t>
  </si>
  <si>
    <t xml:space="preserve">Worked example 21.4 — vertical error budget (full budget in Module 14)</t>
  </si>
  <si>
    <t xml:space="preserve">Given: Same terms as Example 14.15.</t>
  </si>
  <si>
    <t xml:space="preserve">Worked example 21.5 — control and checkpoint layout</t>
  </si>
  <si>
    <t xml:space="preserve">Given: ASPRS minimum 30 checkpoints over 2.0 km; product 3 cm; survey ≤ 1.5 cm.</t>
  </si>
  <si>
    <t xml:space="preserve">Checkpoints</t>
  </si>
  <si>
    <t xml:space="preserve">Corridor length</t>
  </si>
  <si>
    <t xml:space="preserve">Product accuracy</t>
  </si>
  <si>
    <t xml:space="preserve">Survey accuracy</t>
  </si>
  <si>
    <t xml:space="preserve">Checkpoint spacing</t>
  </si>
  <si>
    <t xml:space="preserve">Survey is better by</t>
  </si>
  <si>
    <t xml:space="preserve">≥ 2×</t>
  </si>
  <si>
    <t xml:space="preserve">Worked example 21.6 — the accuracy results</t>
  </si>
  <si>
    <t xml:space="preserve">Given: RMSEz,data = 1.9 cm; RMSEx = 2.0, RMSEy = 1.7 cm; checkpoint survey 0.8 cm V, 1.0 cm H. Full 30-point computation on the 'Dataset' sheet.</t>
  </si>
  <si>
    <t xml:space="preserve">RMSE z (data)</t>
  </si>
  <si>
    <t xml:space="preserve">Checkpoint survey V</t>
  </si>
  <si>
    <t xml:space="preserve">Checkpoint survey H</t>
  </si>
  <si>
    <t xml:space="preserve">Vertical incl. checkpoint error</t>
  </si>
  <si>
    <t xml:space="preserve">Horizontal (data)</t>
  </si>
  <si>
    <t xml:space="preserve">Horizontal incl. checkpoint error</t>
  </si>
  <si>
    <t xml:space="preserve">Monte Carlo check of the 20 m backpack budget (Example 14.5)</t>
  </si>
  <si>
    <t xml:space="preserve">Simplified linear Monte Carlo: each error term is drawn as an independent normal value, NORMINV(RAND(), 0, σ), and the terms are added. The book's run used 100,000 draws through the full rotation equations. Press F9 to draw again.</t>
  </si>
  <si>
    <t xml:space="preserve">Horizontal σ from draws (cm)</t>
  </si>
  <si>
    <t xml:space="preserve">Vertical σ from draws (cm)</t>
  </si>
  <si>
    <t xml:space="preserve">σ (cm) →</t>
  </si>
  <si>
    <t xml:space="preserve">Draw #</t>
  </si>
  <si>
    <t xml:space="preserve">Position E</t>
  </si>
  <si>
    <t xml:space="preserve">Position N</t>
  </si>
  <si>
    <t xml:space="preserve">Yaw at 20 m</t>
  </si>
  <si>
    <t xml:space="preserve">Boresight H</t>
  </si>
  <si>
    <t xml:space="preserve">Lever arm H</t>
  </si>
  <si>
    <t xml:space="preserve">Encoder H</t>
  </si>
  <si>
    <t xml:space="preserve">HORIZONTAL</t>
  </si>
  <si>
    <t xml:space="preserve">Position U</t>
  </si>
  <si>
    <t xml:space="preserve">Roll at 20 m</t>
  </si>
  <si>
    <t xml:space="preserve">Boresight V</t>
  </si>
  <si>
    <t xml:space="preserve">Lever arm V</t>
  </si>
  <si>
    <t xml:space="preserve">Encoder V</t>
  </si>
  <si>
    <t xml:space="preserve">VERTICAL</t>
  </si>
  <si>
    <t xml:space="preserve">Module 21 sample project — 30 checkpoints and the filled-in accuracy report (simulated data)</t>
  </si>
  <si>
    <t xml:space="preserve">Inputs in blue come from sample_checkpoints.csv. Residual dZ = LiDAR − survey. Survey accuracy: 0.8 cm vertical, 1.0 cm horizontal.</t>
  </si>
  <si>
    <t xml:space="preserve">ID</t>
  </si>
  <si>
    <t xml:space="preserve">Station (m)</t>
  </si>
  <si>
    <t xml:space="preserve">Station (ft)</t>
  </si>
  <si>
    <t xml:space="preserve">Side</t>
  </si>
  <si>
    <t xml:space="preserve">Survey elev (m)</t>
  </si>
  <si>
    <t xml:space="preserve">LiDAR elev (m)</t>
  </si>
  <si>
    <t xml:space="preserve">dZ (cm)</t>
  </si>
  <si>
    <t xml:space="preserve">dZ (ft)</t>
  </si>
  <si>
    <t xml:space="preserve">dE (cm)</t>
  </si>
  <si>
    <t xml:space="preserve">dN (cm)</t>
  </si>
  <si>
    <t xml:space="preserve">dZ²</t>
  </si>
  <si>
    <t xml:space="preserve">dE²</t>
  </si>
  <si>
    <t xml:space="preserve">dN²</t>
  </si>
  <si>
    <t xml:space="preserve">CP01</t>
  </si>
  <si>
    <t xml:space="preserve">R</t>
  </si>
  <si>
    <t xml:space="preserve">CP02</t>
  </si>
  <si>
    <t xml:space="preserve">L</t>
  </si>
  <si>
    <t xml:space="preserve">CP03</t>
  </si>
  <si>
    <t xml:space="preserve">CP04</t>
  </si>
  <si>
    <t xml:space="preserve">CP05</t>
  </si>
  <si>
    <t xml:space="preserve">CP06</t>
  </si>
  <si>
    <t xml:space="preserve">CP07</t>
  </si>
  <si>
    <t xml:space="preserve">CP08</t>
  </si>
  <si>
    <t xml:space="preserve">CP09</t>
  </si>
  <si>
    <t xml:space="preserve">CP10</t>
  </si>
  <si>
    <t xml:space="preserve">CP11</t>
  </si>
  <si>
    <t xml:space="preserve">CP12</t>
  </si>
  <si>
    <t xml:space="preserve">CP13</t>
  </si>
  <si>
    <t xml:space="preserve">CP14</t>
  </si>
  <si>
    <t xml:space="preserve">CP15</t>
  </si>
  <si>
    <t xml:space="preserve">CP16</t>
  </si>
  <si>
    <t xml:space="preserve">CP17</t>
  </si>
  <si>
    <t xml:space="preserve">CP18</t>
  </si>
  <si>
    <t xml:space="preserve">CP19</t>
  </si>
  <si>
    <t xml:space="preserve">CP20</t>
  </si>
  <si>
    <t xml:space="preserve">CP21</t>
  </si>
  <si>
    <t xml:space="preserve">CP22</t>
  </si>
  <si>
    <t xml:space="preserve">CP23</t>
  </si>
  <si>
    <t xml:space="preserve">CP24</t>
  </si>
  <si>
    <t xml:space="preserve">CP25</t>
  </si>
  <si>
    <t xml:space="preserve">CP26</t>
  </si>
  <si>
    <t xml:space="preserve">CP27</t>
  </si>
  <si>
    <t xml:space="preserve">CP28</t>
  </si>
  <si>
    <t xml:space="preserve">CP29</t>
  </si>
  <si>
    <t xml:space="preserve">CP30</t>
  </si>
  <si>
    <t xml:space="preserve">Accuracy statistic</t>
  </si>
  <si>
    <t xml:space="preserve">Equation</t>
  </si>
  <si>
    <t xml:space="preserve">Number of checkpoints</t>
  </si>
  <si>
    <t xml:space="preserve">n (ASPRS minimum 30)</t>
  </si>
  <si>
    <t xml:space="preserve">Mean dZ (bias)</t>
  </si>
  <si>
    <t xml:space="preserve">Σ dZ / n</t>
  </si>
  <si>
    <t xml:space="preserve">Sum of squares dZ</t>
  </si>
  <si>
    <t xml:space="preserve">Σ dZ²</t>
  </si>
  <si>
    <t xml:space="preserve">√(Σ dZ²/n)</t>
  </si>
  <si>
    <t xml:space="preserve">RMSE x (data)</t>
  </si>
  <si>
    <t xml:space="preserve">RMSE y (data)</t>
  </si>
  <si>
    <t xml:space="preserve">RMSE H (data)</t>
  </si>
  <si>
    <t xml:space="preserve">Checkpoint survey accuracy, vertical</t>
  </si>
  <si>
    <t xml:space="preserve">Checkpoint survey accuracy, horizontal</t>
  </si>
  <si>
    <t xml:space="preserve">Final RMSE V (NVA) incl. checkpoint error</t>
  </si>
  <si>
    <t xml:space="preserve">√(RMSEz² + RMSEck²)</t>
  </si>
  <si>
    <t xml:space="preserve">Final RMSE H incl. checkpoint error</t>
  </si>
  <si>
    <t xml:space="preserve">Largest |dZ|</t>
  </si>
  <si>
    <t xml:space="preserve">Blunder threshold 3 × RMSE z</t>
  </si>
  <si>
    <t xml:space="preserve">Residuals over threshold</t>
  </si>
  <si>
    <t xml:space="preserve">Vertical specification</t>
  </si>
  <si>
    <t xml:space="preserve">Horizontal specification</t>
  </si>
  <si>
    <t xml:space="preserve">Vertical passes? (1 = yes)</t>
  </si>
  <si>
    <t xml:space="preserve">Horizontal passes? (1 = yes)</t>
  </si>
  <si>
    <t xml:space="preserve">Accuracy statement (built from the cells above)</t>
  </si>
</sst>
</file>

<file path=xl/styles.xml><?xml version="1.0" encoding="utf-8"?>
<styleSheet xmlns="http://schemas.openxmlformats.org/spreadsheetml/2006/main">
  <numFmts count="23">
    <numFmt numFmtId="164" formatCode="General"/>
    <numFmt numFmtId="165" formatCode="0.0000&quot; ft/s&quot;"/>
    <numFmt numFmtId="166" formatCode="0.000"/>
    <numFmt numFmtId="167" formatCode="0.0000&quot; ft&quot;"/>
    <numFmt numFmtId="168" formatCode="0.000000"/>
    <numFmt numFmtId="169" formatCode="0.000E+00"/>
    <numFmt numFmtId="170" formatCode="0.0000"/>
    <numFmt numFmtId="171" formatCode="0.00"/>
    <numFmt numFmtId="172" formatCode="0"/>
    <numFmt numFmtId="173" formatCode="#,##0"/>
    <numFmt numFmtId="174" formatCode="0.00E+00"/>
    <numFmt numFmtId="175" formatCode="0.0"/>
    <numFmt numFmtId="176" formatCode="0.00000"/>
    <numFmt numFmtId="177" formatCode="0.00000000"/>
    <numFmt numFmtId="178" formatCode="0.0000000"/>
    <numFmt numFmtId="179" formatCode="0.0000&quot; ft²&quot;"/>
    <numFmt numFmtId="180" formatCode="0.0000&quot; ft³&quot;"/>
    <numFmt numFmtId="181" formatCode="0.0%"/>
    <numFmt numFmtId="182" formatCode="0.0000&quot; pts/ft²&quot;"/>
    <numFmt numFmtId="183" formatCode="0.0000000000"/>
    <numFmt numFmtId="184" formatCode="#,##0.000"/>
    <numFmt numFmtId="185" formatCode="0%"/>
    <numFmt numFmtId="186" formatCode="0.000&quot; ft&quot;"/>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1"/>
      <color theme="1"/>
      <name val="Arial"/>
      <family val="0"/>
      <charset val="1"/>
    </font>
    <font>
      <i val="true"/>
      <sz val="11"/>
      <color rgb="FF444444"/>
      <name val="Arial"/>
      <family val="0"/>
      <charset val="1"/>
    </font>
    <font>
      <b val="true"/>
      <sz val="11"/>
      <name val="Arial"/>
      <family val="0"/>
      <charset val="1"/>
    </font>
    <font>
      <b val="true"/>
      <sz val="11"/>
      <color rgb="FFFFFFFF"/>
      <name val="Arial"/>
      <family val="0"/>
      <charset val="1"/>
    </font>
    <font>
      <u val="single"/>
      <sz val="11"/>
      <color rgb="FF0563C1"/>
      <name val="Arial"/>
      <family val="0"/>
      <charset val="1"/>
    </font>
    <font>
      <b val="true"/>
      <sz val="14"/>
      <color rgb="FF1F3864"/>
      <name val="Arial"/>
      <family val="0"/>
      <charset val="1"/>
    </font>
    <font>
      <sz val="11"/>
      <color rgb="FF000000"/>
      <name val="Arial"/>
      <family val="0"/>
      <charset val="1"/>
    </font>
    <font>
      <sz val="11"/>
      <color rgb="FF0000FF"/>
      <name val="Arial"/>
      <family val="0"/>
      <charset val="1"/>
    </font>
    <font>
      <b val="true"/>
      <sz val="11"/>
      <color rgb="FF833C0B"/>
      <name val="Arial"/>
      <family val="0"/>
      <charset val="1"/>
    </font>
    <font>
      <sz val="11"/>
      <color rgb="FF008000"/>
      <name val="Arial"/>
      <family val="0"/>
      <charset val="1"/>
    </font>
  </fonts>
  <fills count="6">
    <fill>
      <patternFill patternType="none"/>
    </fill>
    <fill>
      <patternFill patternType="gray125"/>
    </fill>
    <fill>
      <patternFill patternType="solid">
        <fgColor rgb="FF1F3864"/>
        <bgColor rgb="FF333399"/>
      </patternFill>
    </fill>
    <fill>
      <patternFill patternType="solid">
        <fgColor rgb="FFC55A11"/>
        <bgColor rgb="FF833C0B"/>
      </patternFill>
    </fill>
    <fill>
      <patternFill patternType="solid">
        <fgColor rgb="FFFFF2CC"/>
        <bgColor rgb="FFFBE5D6"/>
      </patternFill>
    </fill>
    <fill>
      <patternFill patternType="solid">
        <fgColor rgb="FFFBE5D6"/>
        <bgColor rgb="FFFFF2CC"/>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bottom" textRotation="0" wrapText="true" indent="1"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72" fontId="11" fillId="0" borderId="1" xfId="0" applyFont="true" applyBorder="true" applyAlignment="false" applyProtection="false">
      <alignment horizontal="general" vertical="bottom" textRotation="0" wrapText="false" indent="0" shrinkToFit="false"/>
      <protection locked="true" hidden="false"/>
    </xf>
    <xf numFmtId="173" fontId="11" fillId="0" borderId="1" xfId="0" applyFont="true" applyBorder="true" applyAlignment="false" applyProtection="false">
      <alignment horizontal="general" vertical="bottom" textRotation="0" wrapText="false" indent="0" shrinkToFit="false"/>
      <protection locked="true" hidden="false"/>
    </xf>
    <xf numFmtId="174" fontId="11" fillId="0" borderId="1" xfId="0" applyFont="true" applyBorder="true" applyAlignment="false" applyProtection="false">
      <alignment horizontal="general" vertical="bottom" textRotation="0" wrapText="false" indent="0" shrinkToFit="false"/>
      <protection locked="true" hidden="false"/>
    </xf>
    <xf numFmtId="175" fontId="11" fillId="0" borderId="1" xfId="0" applyFont="true" applyBorder="true" applyAlignment="false" applyProtection="false">
      <alignment horizontal="general" vertical="bottom" textRotation="0" wrapText="false" indent="0" shrinkToFit="false"/>
      <protection locked="true" hidden="false"/>
    </xf>
    <xf numFmtId="176" fontId="11" fillId="0" borderId="1" xfId="0" applyFont="true" applyBorder="true" applyAlignment="false" applyProtection="false">
      <alignment horizontal="general" vertical="bottom" textRotation="0" wrapText="false" indent="0" shrinkToFit="false"/>
      <protection locked="true" hidden="false"/>
    </xf>
    <xf numFmtId="164" fontId="13" fillId="5" borderId="0" xfId="0" applyFont="true" applyBorder="true" applyAlignment="true" applyProtection="false">
      <alignment horizontal="general" vertical="top" textRotation="0" wrapText="true" indent="0" shrinkToFit="false"/>
      <protection locked="true" hidden="false"/>
    </xf>
    <xf numFmtId="177" fontId="11" fillId="0" borderId="1" xfId="0" applyFont="true" applyBorder="true" applyAlignment="false" applyProtection="false">
      <alignment horizontal="general" vertical="bottom" textRotation="0" wrapText="false" indent="0" shrinkToFit="false"/>
      <protection locked="true" hidden="false"/>
    </xf>
    <xf numFmtId="178" fontId="11" fillId="0" borderId="1" xfId="0" applyFont="true" applyBorder="true" applyAlignment="false" applyProtection="false">
      <alignment horizontal="general" vertical="bottom" textRotation="0" wrapText="false" indent="0" shrinkToFit="false"/>
      <protection locked="true" hidden="false"/>
    </xf>
    <xf numFmtId="166" fontId="14" fillId="0" borderId="1" xfId="0" applyFont="true" applyBorder="true" applyAlignment="false" applyProtection="false">
      <alignment horizontal="general" vertical="bottom" textRotation="0" wrapText="false" indent="0" shrinkToFit="false"/>
      <protection locked="true" hidden="false"/>
    </xf>
    <xf numFmtId="179" fontId="11" fillId="0" borderId="1" xfId="0" applyFont="true" applyBorder="true" applyAlignment="false" applyProtection="false">
      <alignment horizontal="general" vertical="bottom" textRotation="0" wrapText="false" indent="0" shrinkToFit="false"/>
      <protection locked="true" hidden="false"/>
    </xf>
    <xf numFmtId="170" fontId="14" fillId="0" borderId="1" xfId="0" applyFont="true" applyBorder="true" applyAlignment="false" applyProtection="false">
      <alignment horizontal="general" vertical="bottom" textRotation="0" wrapText="false" indent="0" shrinkToFit="false"/>
      <protection locked="true" hidden="false"/>
    </xf>
    <xf numFmtId="168" fontId="14" fillId="0" borderId="1" xfId="0" applyFont="true" applyBorder="true" applyAlignment="false" applyProtection="false">
      <alignment horizontal="general" vertical="bottom" textRotation="0" wrapText="false" indent="0" shrinkToFit="false"/>
      <protection locked="true" hidden="false"/>
    </xf>
    <xf numFmtId="171" fontId="14" fillId="0" borderId="1" xfId="0" applyFont="true" applyBorder="true" applyAlignment="false" applyProtection="false">
      <alignment horizontal="general" vertical="bottom" textRotation="0" wrapText="false" indent="0" shrinkToFit="false"/>
      <protection locked="true" hidden="false"/>
    </xf>
    <xf numFmtId="180" fontId="11" fillId="0" borderId="1" xfId="0" applyFont="true" applyBorder="true" applyAlignment="false" applyProtection="false">
      <alignment horizontal="general" vertical="bottom" textRotation="0" wrapText="false" indent="0" shrinkToFit="false"/>
      <protection locked="true" hidden="false"/>
    </xf>
    <xf numFmtId="175" fontId="14" fillId="0" borderId="1" xfId="0" applyFont="true" applyBorder="true" applyAlignment="false" applyProtection="false">
      <alignment horizontal="general" vertical="bottom" textRotation="0" wrapText="false" indent="0" shrinkToFit="false"/>
      <protection locked="true" hidden="false"/>
    </xf>
    <xf numFmtId="181" fontId="11" fillId="0" borderId="1" xfId="0" applyFont="true" applyBorder="true" applyAlignment="false" applyProtection="false">
      <alignment horizontal="general" vertical="bottom" textRotation="0" wrapText="false" indent="0" shrinkToFit="false"/>
      <protection locked="true" hidden="false"/>
    </xf>
    <xf numFmtId="172" fontId="14" fillId="0" borderId="1" xfId="0" applyFont="true" applyBorder="true" applyAlignment="false" applyProtection="false">
      <alignment horizontal="general" vertical="bottom" textRotation="0" wrapText="false" indent="0" shrinkToFit="false"/>
      <protection locked="true" hidden="false"/>
    </xf>
    <xf numFmtId="182" fontId="11" fillId="0" borderId="1" xfId="0" applyFont="true" applyBorder="true" applyAlignment="false" applyProtection="false">
      <alignment horizontal="general" vertical="bottom" textRotation="0" wrapText="false" indent="0" shrinkToFit="false"/>
      <protection locked="true" hidden="false"/>
    </xf>
    <xf numFmtId="183" fontId="11" fillId="0" borderId="1" xfId="0" applyFont="true" applyBorder="true" applyAlignment="false" applyProtection="false">
      <alignment horizontal="general" vertical="bottom" textRotation="0" wrapText="false" indent="0" shrinkToFit="false"/>
      <protection locked="true" hidden="false"/>
    </xf>
    <xf numFmtId="184" fontId="11" fillId="0" borderId="1" xfId="0" applyFont="true" applyBorder="true" applyAlignment="false" applyProtection="false">
      <alignment horizontal="general" vertical="bottom" textRotation="0" wrapText="false" indent="0" shrinkToFit="false"/>
      <protection locked="true" hidden="false"/>
    </xf>
    <xf numFmtId="185" fontId="11" fillId="0" borderId="1" xfId="0" applyFont="true" applyBorder="tru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6" fontId="12" fillId="4" borderId="0" xfId="0" applyFont="true" applyBorder="false" applyAlignment="false" applyProtection="false">
      <alignment horizontal="general" vertical="bottom" textRotation="0" wrapText="false" indent="0" shrinkToFit="false"/>
      <protection locked="true" hidden="false"/>
    </xf>
    <xf numFmtId="166" fontId="11" fillId="4"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86" fontId="5" fillId="0" borderId="0" xfId="0" applyFont="true" applyBorder="false" applyAlignment="false" applyProtection="false">
      <alignment horizontal="general" vertical="bottom" textRotation="0" wrapText="false" indent="0" shrinkToFit="false"/>
      <protection locked="true" hidden="false"/>
    </xf>
    <xf numFmtId="171" fontId="12"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5D6"/>
      <rgbColor rgb="FF3366FF"/>
      <rgbColor rgb="FF33CCCC"/>
      <rgbColor rgb="FF99CC00"/>
      <rgbColor rgb="FFFFCC00"/>
      <rgbColor rgb="FFFF9900"/>
      <rgbColor rgb="FFC55A11"/>
      <rgbColor rgb="FF666699"/>
      <rgbColor rgb="FF969696"/>
      <rgbColor rgb="FF1F3864"/>
      <rgbColor rgb="FF339966"/>
      <rgbColor rgb="FF003300"/>
      <rgbColor rgb="FF333300"/>
      <rgbColor rgb="FF833C0B"/>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LiDAR_Worked_Examples.xlsx" TargetMode="External"/><Relationship Id="rId2" Type="http://schemas.openxmlformats.org/officeDocument/2006/relationships/hyperlink" Target="LiDAR_Worked_Examples.xlsx" TargetMode="External"/><Relationship Id="rId3" Type="http://schemas.openxmlformats.org/officeDocument/2006/relationships/hyperlink" Target="LiDAR_Worked_Examples.xlsx" TargetMode="External"/><Relationship Id="rId4" Type="http://schemas.openxmlformats.org/officeDocument/2006/relationships/hyperlink" Target="LiDAR_Worked_Examples.xlsx" TargetMode="External"/><Relationship Id="rId5" Type="http://schemas.openxmlformats.org/officeDocument/2006/relationships/hyperlink" Target="LiDAR_Worked_Examples.xlsx" TargetMode="External"/><Relationship Id="rId6" Type="http://schemas.openxmlformats.org/officeDocument/2006/relationships/hyperlink" Target="LiDAR_Worked_Examples.xlsx" TargetMode="External"/><Relationship Id="rId7" Type="http://schemas.openxmlformats.org/officeDocument/2006/relationships/hyperlink" Target="LiDAR_Worked_Examples.xlsx" TargetMode="External"/><Relationship Id="rId8" Type="http://schemas.openxmlformats.org/officeDocument/2006/relationships/hyperlink" Target="LiDAR_Worked_Examples.xlsx" TargetMode="External"/><Relationship Id="rId9" Type="http://schemas.openxmlformats.org/officeDocument/2006/relationships/hyperlink" Target="LiDAR_Worked_Examples.xlsx" TargetMode="External"/><Relationship Id="rId10" Type="http://schemas.openxmlformats.org/officeDocument/2006/relationships/hyperlink" Target="LiDAR_Worked_Examples.xlsx" TargetMode="External"/><Relationship Id="rId11" Type="http://schemas.openxmlformats.org/officeDocument/2006/relationships/hyperlink" Target="LiDAR_Worked_Examples.xlsx" TargetMode="External"/><Relationship Id="rId12" Type="http://schemas.openxmlformats.org/officeDocument/2006/relationships/hyperlink" Target="LiDAR_Worked_Examples.xlsx" TargetMode="External"/><Relationship Id="rId13" Type="http://schemas.openxmlformats.org/officeDocument/2006/relationships/hyperlink" Target="LiDAR_Worked_Examples.xlsx" TargetMode="External"/><Relationship Id="rId14" Type="http://schemas.openxmlformats.org/officeDocument/2006/relationships/hyperlink" Target="LiDAR_Worked_Examples.xlsx" TargetMode="External"/><Relationship Id="rId15" Type="http://schemas.openxmlformats.org/officeDocument/2006/relationships/hyperlink" Target="LiDAR_Worked_Examples.xlsx" TargetMode="External"/><Relationship Id="rId16" Type="http://schemas.openxmlformats.org/officeDocument/2006/relationships/hyperlink" Target="LiDAR_Worked_Examples.xlsx" TargetMode="External"/><Relationship Id="rId17" Type="http://schemas.openxmlformats.org/officeDocument/2006/relationships/hyperlink" Target="LiDAR_Worked_Examples.xlsx" TargetMode="External"/><Relationship Id="rId18" Type="http://schemas.openxmlformats.org/officeDocument/2006/relationships/hyperlink" Target="LiDAR_Worked_Examples.xlsx" TargetMode="External"/><Relationship Id="rId19" Type="http://schemas.openxmlformats.org/officeDocument/2006/relationships/hyperlink" Target="LiDAR_Worked_Examples.xlsx" TargetMode="External"/><Relationship Id="rId20" Type="http://schemas.openxmlformats.org/officeDocument/2006/relationships/hyperlink" Target="LiDAR_Worked_Examples.xlsx" TargetMode="External"/><Relationship Id="rId21" Type="http://schemas.openxmlformats.org/officeDocument/2006/relationships/hyperlink" Target="LiDAR_Worked_Examples.xlsx" TargetMode="External"/><Relationship Id="rId22" Type="http://schemas.openxmlformats.org/officeDocument/2006/relationships/hyperlink" Target="LiDAR_Worked_Examples.xlsx" TargetMode="External"/><Relationship Id="rId23" Type="http://schemas.openxmlformats.org/officeDocument/2006/relationships/hyperlink" Target="LiDAR_Worked_Examples.xlsx" TargetMode="External"/><Relationship Id="rId24" Type="http://schemas.openxmlformats.org/officeDocument/2006/relationships/hyperlink" Target="LiDAR_Worked_Examples.xlsx" TargetMode="External"/><Relationship Id="rId25" Type="http://schemas.openxmlformats.org/officeDocument/2006/relationships/hyperlink" Target="LiDAR_Worked_Examples.xlsx" TargetMode="External"/><Relationship Id="rId26" Type="http://schemas.openxmlformats.org/officeDocument/2006/relationships/hyperlink" Target="LiDAR_Worked_Examples.xlsx" TargetMode="External"/><Relationship Id="rId27" Type="http://schemas.openxmlformats.org/officeDocument/2006/relationships/hyperlink" Target="LiDAR_Worked_Examples.xlsx" TargetMode="External"/><Relationship Id="rId28" Type="http://schemas.openxmlformats.org/officeDocument/2006/relationships/hyperlink" Target="LiDAR_Worked_Examples.xlsx" TargetMode="External"/><Relationship Id="rId29" Type="http://schemas.openxmlformats.org/officeDocument/2006/relationships/hyperlink" Target="LiDAR_Worked_Examples.xlsx" TargetMode="External"/><Relationship Id="rId30" Type="http://schemas.openxmlformats.org/officeDocument/2006/relationships/hyperlink" Target="LiDAR_Worked_Examples.xlsx" TargetMode="External"/><Relationship Id="rId31" Type="http://schemas.openxmlformats.org/officeDocument/2006/relationships/hyperlink" Target="LiDAR_Worked_Examples.xlsx" TargetMode="External"/><Relationship Id="rId32" Type="http://schemas.openxmlformats.org/officeDocument/2006/relationships/hyperlink" Target="LiDAR_Worked_Examples.xlsx" TargetMode="External"/><Relationship Id="rId33" Type="http://schemas.openxmlformats.org/officeDocument/2006/relationships/hyperlink" Target="LiDAR_Worked_Examples.xlsx" TargetMode="External"/><Relationship Id="rId34" Type="http://schemas.openxmlformats.org/officeDocument/2006/relationships/hyperlink" Target="LiDAR_Worked_Examples.xlsx" TargetMode="External"/><Relationship Id="rId35" Type="http://schemas.openxmlformats.org/officeDocument/2006/relationships/hyperlink" Target="LiDAR_Worked_Examples.xlsx" TargetMode="External"/><Relationship Id="rId36" Type="http://schemas.openxmlformats.org/officeDocument/2006/relationships/hyperlink" Target="LiDAR_Worked_Examples.xlsx" TargetMode="External"/><Relationship Id="rId37" Type="http://schemas.openxmlformats.org/officeDocument/2006/relationships/hyperlink" Target="LiDAR_Worked_Examples.xlsx" TargetMode="External"/><Relationship Id="rId38" Type="http://schemas.openxmlformats.org/officeDocument/2006/relationships/hyperlink" Target="LiDAR_Worked_Examples.xlsx" TargetMode="External"/><Relationship Id="rId39" Type="http://schemas.openxmlformats.org/officeDocument/2006/relationships/hyperlink" Target="LiDAR_Worked_Examples.xlsx" TargetMode="External"/><Relationship Id="rId40" Type="http://schemas.openxmlformats.org/officeDocument/2006/relationships/hyperlink" Target="LiDAR_Worked_Examples.xlsx" TargetMode="External"/><Relationship Id="rId41" Type="http://schemas.openxmlformats.org/officeDocument/2006/relationships/hyperlink" Target="LiDAR_Worked_Examples.xlsx" TargetMode="External"/><Relationship Id="rId42" Type="http://schemas.openxmlformats.org/officeDocument/2006/relationships/hyperlink" Target="LiDAR_Worked_Examples.xlsx" TargetMode="External"/><Relationship Id="rId43" Type="http://schemas.openxmlformats.org/officeDocument/2006/relationships/hyperlink" Target="LiDAR_Worked_Examples.xlsx" TargetMode="External"/><Relationship Id="rId44" Type="http://schemas.openxmlformats.org/officeDocument/2006/relationships/hyperlink" Target="LiDAR_Worked_Examples.xlsx" TargetMode="External"/><Relationship Id="rId45" Type="http://schemas.openxmlformats.org/officeDocument/2006/relationships/hyperlink" Target="LiDAR_Worked_Examples.xlsx" TargetMode="External"/><Relationship Id="rId46" Type="http://schemas.openxmlformats.org/officeDocument/2006/relationships/hyperlink" Target="LiDAR_Worked_Examples.xlsx" TargetMode="External"/><Relationship Id="rId47" Type="http://schemas.openxmlformats.org/officeDocument/2006/relationships/hyperlink" Target="LiDAR_Worked_Examples.xlsx" TargetMode="External"/><Relationship Id="rId48" Type="http://schemas.openxmlformats.org/officeDocument/2006/relationships/hyperlink" Target="LiDAR_Worked_Examples.xlsx" TargetMode="External"/><Relationship Id="rId49" Type="http://schemas.openxmlformats.org/officeDocument/2006/relationships/hyperlink" Target="LiDAR_Worked_Examples.xlsx" TargetMode="External"/><Relationship Id="rId50" Type="http://schemas.openxmlformats.org/officeDocument/2006/relationships/hyperlink" Target="LiDAR_Worked_Examples.xlsx" TargetMode="External"/><Relationship Id="rId51" Type="http://schemas.openxmlformats.org/officeDocument/2006/relationships/hyperlink" Target="LiDAR_Worked_Examples.xlsx" TargetMode="External"/><Relationship Id="rId52" Type="http://schemas.openxmlformats.org/officeDocument/2006/relationships/hyperlink" Target="LiDAR_Worked_Examples.xlsx" TargetMode="External"/><Relationship Id="rId53" Type="http://schemas.openxmlformats.org/officeDocument/2006/relationships/hyperlink" Target="LiDAR_Worked_Examples.xlsx" TargetMode="External"/><Relationship Id="rId54" Type="http://schemas.openxmlformats.org/officeDocument/2006/relationships/hyperlink" Target="LiDAR_Worked_Examples.xlsx" TargetMode="External"/><Relationship Id="rId55" Type="http://schemas.openxmlformats.org/officeDocument/2006/relationships/hyperlink" Target="LiDAR_Worked_Examples.xlsx" TargetMode="External"/><Relationship Id="rId56" Type="http://schemas.openxmlformats.org/officeDocument/2006/relationships/hyperlink" Target="LiDAR_Worked_Examples.xlsx" TargetMode="External"/><Relationship Id="rId57" Type="http://schemas.openxmlformats.org/officeDocument/2006/relationships/hyperlink" Target="LiDAR_Worked_Examples.xlsx" TargetMode="External"/><Relationship Id="rId58" Type="http://schemas.openxmlformats.org/officeDocument/2006/relationships/hyperlink" Target="LiDAR_Worked_Examples.xlsx" TargetMode="External"/><Relationship Id="rId59" Type="http://schemas.openxmlformats.org/officeDocument/2006/relationships/hyperlink" Target="LiDAR_Worked_Examples.xlsx" TargetMode="External"/><Relationship Id="rId60" Type="http://schemas.openxmlformats.org/officeDocument/2006/relationships/hyperlink" Target="LiDAR_Worked_Examples.xlsx" TargetMode="External"/><Relationship Id="rId61" Type="http://schemas.openxmlformats.org/officeDocument/2006/relationships/hyperlink" Target="LiDAR_Worked_Examples.xlsx" TargetMode="External"/><Relationship Id="rId62" Type="http://schemas.openxmlformats.org/officeDocument/2006/relationships/hyperlink" Target="LiDAR_Worked_Examples.xlsx" TargetMode="External"/><Relationship Id="rId63" Type="http://schemas.openxmlformats.org/officeDocument/2006/relationships/hyperlink" Target="LiDAR_Worked_Examples.xlsx" TargetMode="External"/><Relationship Id="rId64" Type="http://schemas.openxmlformats.org/officeDocument/2006/relationships/hyperlink" Target="LiDAR_Worked_Examples.xlsx" TargetMode="External"/><Relationship Id="rId65" Type="http://schemas.openxmlformats.org/officeDocument/2006/relationships/hyperlink" Target="LiDAR_Worked_Examples.xlsx" TargetMode="External"/><Relationship Id="rId66" Type="http://schemas.openxmlformats.org/officeDocument/2006/relationships/hyperlink" Target="LiDAR_Worked_Examples.xlsx" TargetMode="External"/><Relationship Id="rId67" Type="http://schemas.openxmlformats.org/officeDocument/2006/relationships/hyperlink" Target="LiDAR_Worked_Examples.xlsx" TargetMode="External"/><Relationship Id="rId68" Type="http://schemas.openxmlformats.org/officeDocument/2006/relationships/hyperlink" Target="LiDAR_Worked_Examples.xlsx" TargetMode="External"/><Relationship Id="rId69" Type="http://schemas.openxmlformats.org/officeDocument/2006/relationships/hyperlink" Target="LiDAR_Worked_Examples.xlsx" TargetMode="External"/><Relationship Id="rId70" Type="http://schemas.openxmlformats.org/officeDocument/2006/relationships/hyperlink" Target="LiDAR_Worked_Examples.xlsx" TargetMode="External"/><Relationship Id="rId71" Type="http://schemas.openxmlformats.org/officeDocument/2006/relationships/hyperlink" Target="LiDAR_Worked_Examples.xlsx" TargetMode="External"/><Relationship Id="rId72" Type="http://schemas.openxmlformats.org/officeDocument/2006/relationships/hyperlink" Target="LiDAR_Worked_Examples.xlsx" TargetMode="External"/><Relationship Id="rId73" Type="http://schemas.openxmlformats.org/officeDocument/2006/relationships/hyperlink" Target="LiDAR_Worked_Examples.xlsx" TargetMode="External"/><Relationship Id="rId74" Type="http://schemas.openxmlformats.org/officeDocument/2006/relationships/hyperlink" Target="LiDAR_Worked_Examples.xlsx" TargetMode="External"/><Relationship Id="rId75" Type="http://schemas.openxmlformats.org/officeDocument/2006/relationships/hyperlink" Target="LiDAR_Worked_Examples.xlsx" TargetMode="External"/><Relationship Id="rId76" Type="http://schemas.openxmlformats.org/officeDocument/2006/relationships/hyperlink" Target="LiDAR_Worked_Examples.xlsx" TargetMode="External"/><Relationship Id="rId77" Type="http://schemas.openxmlformats.org/officeDocument/2006/relationships/hyperlink" Target="LiDAR_Worked_Examples.xlsx" TargetMode="External"/><Relationship Id="rId78" Type="http://schemas.openxmlformats.org/officeDocument/2006/relationships/hyperlink" Target="LiDAR_Worked_Examples.xlsx" TargetMode="External"/><Relationship Id="rId79" Type="http://schemas.openxmlformats.org/officeDocument/2006/relationships/hyperlink" Target="LiDAR_Worked_Examples.xlsx" TargetMode="External"/><Relationship Id="rId80" Type="http://schemas.openxmlformats.org/officeDocument/2006/relationships/hyperlink" Target="LiDAR_Worked_Examples.xlsx" TargetMode="External"/><Relationship Id="rId81" Type="http://schemas.openxmlformats.org/officeDocument/2006/relationships/hyperlink" Target="LiDAR_Worked_Examples.xlsx" TargetMode="External"/><Relationship Id="rId82" Type="http://schemas.openxmlformats.org/officeDocument/2006/relationships/hyperlink" Target="LiDAR_Worked_Examples.xlsx" TargetMode="External"/><Relationship Id="rId83" Type="http://schemas.openxmlformats.org/officeDocument/2006/relationships/hyperlink" Target="LiDAR_Worked_Examples.xlsx" TargetMode="External"/><Relationship Id="rId84" Type="http://schemas.openxmlformats.org/officeDocument/2006/relationships/hyperlink" Target="LiDAR_Worked_Examples.xlsx" TargetMode="External"/><Relationship Id="rId85" Type="http://schemas.openxmlformats.org/officeDocument/2006/relationships/hyperlink" Target="LiDAR_Worked_Examples.xlsx" TargetMode="External"/><Relationship Id="rId86" Type="http://schemas.openxmlformats.org/officeDocument/2006/relationships/hyperlink" Target="LiDAR_Worked_Examples.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3"/>
  <sheetViews>
    <sheetView showFormulas="false" showGridLines="true" showRowColHeaders="true" showZeros="true" rightToLeft="false" tabSelected="true" showOutlineSymbols="true" defaultGridColor="true" view="normal" topLeftCell="A18"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70"/>
    <col collapsed="false" customWidth="true" hidden="false" outlineLevel="0" max="4" min="4" style="0" width="14"/>
    <col collapsed="false" customWidth="true" hidden="false" outlineLevel="0" max="5" min="5" style="0" width="16"/>
  </cols>
  <sheetData>
    <row r="1" customFormat="false" ht="19.7" hidden="false" customHeight="false" outlineLevel="0" collapsed="false">
      <c r="A1" s="1" t="s">
        <v>0</v>
      </c>
      <c r="B1" s="2"/>
      <c r="C1" s="2"/>
      <c r="D1" s="2"/>
      <c r="E1" s="2"/>
    </row>
    <row r="2" customFormat="false" ht="15" hidden="false" customHeight="false" outlineLevel="0" collapsed="false">
      <c r="A2" s="3" t="s">
        <v>1</v>
      </c>
      <c r="B2" s="2"/>
      <c r="C2" s="2"/>
      <c r="D2" s="2"/>
      <c r="E2" s="2"/>
    </row>
    <row r="3" customFormat="false" ht="15" hidden="false" customHeight="false" outlineLevel="0" collapsed="false">
      <c r="A3" s="2"/>
      <c r="B3" s="2"/>
      <c r="C3" s="2"/>
      <c r="D3" s="2"/>
      <c r="E3" s="2"/>
    </row>
    <row r="4" customFormat="false" ht="30" hidden="false" customHeight="true" outlineLevel="0" collapsed="false">
      <c r="A4" s="4" t="s">
        <v>2</v>
      </c>
      <c r="B4" s="4"/>
      <c r="C4" s="4"/>
      <c r="D4" s="4"/>
      <c r="E4" s="4"/>
    </row>
    <row r="5" customFormat="false" ht="30" hidden="false" customHeight="true" outlineLevel="0" collapsed="false">
      <c r="A5" s="4" t="s">
        <v>3</v>
      </c>
      <c r="B5" s="4"/>
      <c r="C5" s="4"/>
      <c r="D5" s="4"/>
      <c r="E5" s="4"/>
    </row>
    <row r="6" customFormat="false" ht="30" hidden="false" customHeight="true" outlineLevel="0" collapsed="false">
      <c r="A6" s="4" t="s">
        <v>4</v>
      </c>
      <c r="B6" s="4"/>
      <c r="C6" s="4"/>
      <c r="D6" s="4"/>
      <c r="E6" s="4"/>
    </row>
    <row r="7" customFormat="false" ht="30" hidden="false" customHeight="true" outlineLevel="0" collapsed="false">
      <c r="A7" s="4" t="s">
        <v>5</v>
      </c>
      <c r="B7" s="4"/>
      <c r="C7" s="4"/>
      <c r="D7" s="4"/>
      <c r="E7" s="4"/>
    </row>
    <row r="8" customFormat="false" ht="30" hidden="false" customHeight="true" outlineLevel="0" collapsed="false">
      <c r="A8" s="4" t="s">
        <v>6</v>
      </c>
      <c r="B8" s="4"/>
      <c r="C8" s="4"/>
      <c r="D8" s="4"/>
      <c r="E8" s="4"/>
    </row>
    <row r="9" customFormat="false" ht="30" hidden="false" customHeight="true" outlineLevel="0" collapsed="false">
      <c r="A9" s="4" t="s">
        <v>7</v>
      </c>
      <c r="B9" s="4"/>
      <c r="C9" s="4"/>
      <c r="D9" s="4"/>
      <c r="E9" s="4"/>
    </row>
    <row r="10" customFormat="false" ht="30" hidden="false" customHeight="true" outlineLevel="0" collapsed="false">
      <c r="A10" s="4" t="s">
        <v>8</v>
      </c>
      <c r="B10" s="4"/>
      <c r="C10" s="4"/>
      <c r="D10" s="4"/>
      <c r="E10" s="4"/>
    </row>
    <row r="11" customFormat="false" ht="15" hidden="false" customHeight="false" outlineLevel="0" collapsed="false">
      <c r="A11" s="2"/>
      <c r="B11" s="2"/>
      <c r="C11" s="2"/>
      <c r="D11" s="2"/>
      <c r="E11" s="2"/>
    </row>
    <row r="12" customFormat="false" ht="15" hidden="false" customHeight="false" outlineLevel="0" collapsed="false">
      <c r="A12" s="2"/>
      <c r="B12" s="2"/>
      <c r="C12" s="5" t="s">
        <v>9</v>
      </c>
      <c r="D12" s="2"/>
      <c r="E12" s="2"/>
    </row>
    <row r="13" customFormat="false" ht="15" hidden="false" customHeight="false" outlineLevel="0" collapsed="false">
      <c r="A13" s="2"/>
      <c r="B13" s="2"/>
      <c r="C13" s="2" t="s">
        <v>10</v>
      </c>
      <c r="D13" s="5" t="n">
        <f aca="false">COUNTIF('M02 Math'!F:F,"OK")+COUNTIF('M03 Time of Flight'!F:F,"OK")+COUNTIF('M04 Beam'!F:F,"OK")+COUNTIF('M05 Polar'!F:F,"OK")+COUNTIF('M06 Rotation'!F:F,"OK")+COUNTIF('M07 IMU'!F:F,"OK")+COUNTIF('M08 Timing'!F:F,"OK")+COUNTIF('M09 Calibration'!F:F,"OK")+COUNTIF('M10 SLAM'!F:F,"OK")+COUNTIF('M11 Scan Matching'!F:F,"OK")+COUNTIF('M12 Factor Graphs'!F:F,"OK")+COUNTIF('M13 Accuracy'!F:F,"OK")+COUNTIF('M14 Error Budgets'!F:F,"OK")+COUNTIF('M15 Ouster OS0'!F:F,"OK")+COUNTIF('M16 GX5-GQ7'!F:F,"OK")+COUNTIF('M17 RIEGL'!F:F,"OK")+COUNTIF('M18 Processing'!F:F,"OK")+COUNTIF('M19 Florida'!F:F,"OK")+COUNTIF('M20 Practice'!F:F,"OK")+COUNTIF('M21 Capstone'!F:F,"OK")+COUNTIF(Dataset!F:F,"OK")</f>
        <v>501</v>
      </c>
      <c r="E13" s="2"/>
    </row>
    <row r="14" customFormat="false" ht="15" hidden="false" customHeight="false" outlineLevel="0" collapsed="false">
      <c r="A14" s="2"/>
      <c r="B14" s="2"/>
      <c r="C14" s="2" t="s">
        <v>11</v>
      </c>
      <c r="D14" s="5" t="n">
        <f aca="false">COUNTIF('M02 Math'!F:F,"CHECK")+COUNTIF('M03 Time of Flight'!F:F,"CHECK")+COUNTIF('M04 Beam'!F:F,"CHECK")+COUNTIF('M05 Polar'!F:F,"CHECK")+COUNTIF('M06 Rotation'!F:F,"CHECK")+COUNTIF('M07 IMU'!F:F,"CHECK")+COUNTIF('M08 Timing'!F:F,"CHECK")+COUNTIF('M09 Calibration'!F:F,"CHECK")+COUNTIF('M10 SLAM'!F:F,"CHECK")+COUNTIF('M11 Scan Matching'!F:F,"CHECK")+COUNTIF('M12 Factor Graphs'!F:F,"CHECK")+COUNTIF('M13 Accuracy'!F:F,"CHECK")+COUNTIF('M14 Error Budgets'!F:F,"CHECK")+COUNTIF('M15 Ouster OS0'!F:F,"CHECK")+COUNTIF('M16 GX5-GQ7'!F:F,"CHECK")+COUNTIF('M17 RIEGL'!F:F,"CHECK")+COUNTIF('M18 Processing'!F:F,"CHECK")+COUNTIF('M19 Florida'!F:F,"CHECK")+COUNTIF('M20 Practice'!F:F,"CHECK")+COUNTIF('M21 Capstone'!F:F,"CHECK")+COUNTIF(Dataset!F:F,"CHECK")</f>
        <v>0</v>
      </c>
      <c r="E14" s="2"/>
    </row>
    <row r="15" customFormat="false" ht="15" hidden="false" customHeight="false" outlineLevel="0" collapsed="false">
      <c r="A15" s="2"/>
      <c r="B15" s="2"/>
      <c r="C15" s="2" t="s">
        <v>12</v>
      </c>
      <c r="D15" s="5" t="n">
        <v>86</v>
      </c>
      <c r="E15" s="2"/>
    </row>
    <row r="16" customFormat="false" ht="15" hidden="false" customHeight="false" outlineLevel="0" collapsed="false">
      <c r="A16" s="2"/>
      <c r="B16" s="2"/>
      <c r="C16" s="2"/>
      <c r="D16" s="2"/>
      <c r="E16" s="2"/>
    </row>
    <row r="17" customFormat="false" ht="26.85" hidden="false" customHeight="false" outlineLevel="0" collapsed="false">
      <c r="A17" s="6" t="s">
        <v>13</v>
      </c>
      <c r="B17" s="6" t="s">
        <v>14</v>
      </c>
      <c r="C17" s="6" t="s">
        <v>15</v>
      </c>
      <c r="D17" s="6" t="s">
        <v>16</v>
      </c>
      <c r="E17" s="6" t="s">
        <v>17</v>
      </c>
    </row>
    <row r="18" customFormat="false" ht="15" hidden="false" customHeight="false" outlineLevel="0" collapsed="false">
      <c r="A18" s="2" t="s">
        <v>18</v>
      </c>
      <c r="B18" s="2" t="s">
        <v>19</v>
      </c>
      <c r="C18" s="7" t="s">
        <v>20</v>
      </c>
      <c r="D18" s="2" t="n">
        <v>1</v>
      </c>
      <c r="E18" s="5" t="str">
        <f aca="false">IF(COUNTIF('M02 Math'!F6:F10,"CHECK")&gt;0,"CHECK",IF(COUNTIF('M02 Math'!F6:F10,"OK")&gt;0,"OK","no book values"))</f>
        <v>OK</v>
      </c>
    </row>
    <row r="19" customFormat="false" ht="15" hidden="false" customHeight="false" outlineLevel="0" collapsed="false">
      <c r="A19" s="2" t="s">
        <v>21</v>
      </c>
      <c r="B19" s="2" t="s">
        <v>19</v>
      </c>
      <c r="C19" s="7" t="s">
        <v>22</v>
      </c>
      <c r="D19" s="2" t="n">
        <v>3</v>
      </c>
      <c r="E19" s="5" t="str">
        <f aca="false">IF(COUNTIF('M02 Math'!F12:F18,"CHECK")&gt;0,"CHECK",IF(COUNTIF('M02 Math'!F12:F18,"OK")&gt;0,"OK","no book values"))</f>
        <v>OK</v>
      </c>
    </row>
    <row r="20" customFormat="false" ht="15" hidden="false" customHeight="false" outlineLevel="0" collapsed="false">
      <c r="A20" s="2" t="s">
        <v>23</v>
      </c>
      <c r="B20" s="2" t="s">
        <v>19</v>
      </c>
      <c r="C20" s="7" t="s">
        <v>24</v>
      </c>
      <c r="D20" s="2" t="n">
        <v>3</v>
      </c>
      <c r="E20" s="5" t="str">
        <f aca="false">IF(COUNTIF('M02 Math'!F20:F26,"CHECK")&gt;0,"CHECK",IF(COUNTIF('M02 Math'!F20:F26,"OK")&gt;0,"OK","no book values"))</f>
        <v>OK</v>
      </c>
    </row>
    <row r="21" customFormat="false" ht="15" hidden="false" customHeight="false" outlineLevel="0" collapsed="false">
      <c r="A21" s="2" t="s">
        <v>25</v>
      </c>
      <c r="B21" s="2" t="s">
        <v>19</v>
      </c>
      <c r="C21" s="7" t="s">
        <v>26</v>
      </c>
      <c r="D21" s="2" t="n">
        <v>7</v>
      </c>
      <c r="E21" s="5" t="str">
        <f aca="false">IF(COUNTIF('M02 Math'!F28:F42,"CHECK")&gt;0,"CHECK",IF(COUNTIF('M02 Math'!F28:F42,"OK")&gt;0,"OK","no book values"))</f>
        <v>OK</v>
      </c>
    </row>
    <row r="22" customFormat="false" ht="15" hidden="false" customHeight="false" outlineLevel="0" collapsed="false">
      <c r="A22" s="2" t="s">
        <v>27</v>
      </c>
      <c r="B22" s="2" t="s">
        <v>19</v>
      </c>
      <c r="C22" s="7" t="s">
        <v>28</v>
      </c>
      <c r="D22" s="2" t="n">
        <v>3</v>
      </c>
      <c r="E22" s="5" t="str">
        <f aca="false">IF(COUNTIF('M02 Math'!F44:F60,"CHECK")&gt;0,"CHECK",IF(COUNTIF('M02 Math'!F44:F60,"OK")&gt;0,"OK","no book values"))</f>
        <v>OK</v>
      </c>
    </row>
    <row r="23" customFormat="false" ht="15" hidden="false" customHeight="false" outlineLevel="0" collapsed="false">
      <c r="A23" s="2" t="s">
        <v>29</v>
      </c>
      <c r="B23" s="2" t="s">
        <v>19</v>
      </c>
      <c r="C23" s="7" t="s">
        <v>30</v>
      </c>
      <c r="D23" s="2" t="n">
        <v>5</v>
      </c>
      <c r="E23" s="5" t="str">
        <f aca="false">IF(COUNTIF('M02 Math'!F62:F73,"CHECK")&gt;0,"CHECK",IF(COUNTIF('M02 Math'!F62:F73,"OK")&gt;0,"OK","no book values"))</f>
        <v>OK</v>
      </c>
    </row>
    <row r="24" customFormat="false" ht="15" hidden="false" customHeight="false" outlineLevel="0" collapsed="false">
      <c r="A24" s="2" t="s">
        <v>31</v>
      </c>
      <c r="B24" s="2" t="s">
        <v>32</v>
      </c>
      <c r="C24" s="7" t="s">
        <v>33</v>
      </c>
      <c r="D24" s="2" t="n">
        <v>4</v>
      </c>
      <c r="E24" s="5" t="str">
        <f aca="false">IF(COUNTIF('M03 Time of Flight'!F6:F14,"CHECK")&gt;0,"CHECK",IF(COUNTIF('M03 Time of Flight'!F6:F14,"OK")&gt;0,"OK","no book values"))</f>
        <v>OK</v>
      </c>
    </row>
    <row r="25" customFormat="false" ht="15" hidden="false" customHeight="false" outlineLevel="0" collapsed="false">
      <c r="A25" s="2" t="s">
        <v>34</v>
      </c>
      <c r="B25" s="2" t="s">
        <v>32</v>
      </c>
      <c r="C25" s="7" t="s">
        <v>35</v>
      </c>
      <c r="D25" s="2" t="n">
        <v>3</v>
      </c>
      <c r="E25" s="5" t="str">
        <f aca="false">IF(COUNTIF('M03 Time of Flight'!F16:F22,"CHECK")&gt;0,"CHECK",IF(COUNTIF('M03 Time of Flight'!F16:F22,"OK")&gt;0,"OK","no book values"))</f>
        <v>OK</v>
      </c>
    </row>
    <row r="26" customFormat="false" ht="15" hidden="false" customHeight="false" outlineLevel="0" collapsed="false">
      <c r="A26" s="2" t="s">
        <v>36</v>
      </c>
      <c r="B26" s="2" t="s">
        <v>32</v>
      </c>
      <c r="C26" s="7" t="s">
        <v>37</v>
      </c>
      <c r="D26" s="2" t="n">
        <v>6</v>
      </c>
      <c r="E26" s="5" t="str">
        <f aca="false">IF(COUNTIF('M03 Time of Flight'!F24:F35,"CHECK")&gt;0,"CHECK",IF(COUNTIF('M03 Time of Flight'!F24:F35,"OK")&gt;0,"OK","no book values"))</f>
        <v>OK</v>
      </c>
    </row>
    <row r="27" customFormat="false" ht="15" hidden="false" customHeight="false" outlineLevel="0" collapsed="false">
      <c r="A27" s="2" t="s">
        <v>38</v>
      </c>
      <c r="B27" s="2" t="s">
        <v>39</v>
      </c>
      <c r="C27" s="7" t="s">
        <v>40</v>
      </c>
      <c r="D27" s="2" t="n">
        <v>2</v>
      </c>
      <c r="E27" s="5" t="str">
        <f aca="false">IF(COUNTIF('M04 Beam'!F6:F13,"CHECK")&gt;0,"CHECK",IF(COUNTIF('M04 Beam'!F6:F13,"OK")&gt;0,"OK","no book values"))</f>
        <v>OK</v>
      </c>
    </row>
    <row r="28" customFormat="false" ht="15" hidden="false" customHeight="false" outlineLevel="0" collapsed="false">
      <c r="A28" s="2" t="s">
        <v>41</v>
      </c>
      <c r="B28" s="2" t="s">
        <v>39</v>
      </c>
      <c r="C28" s="7" t="s">
        <v>42</v>
      </c>
      <c r="D28" s="2" t="n">
        <v>2</v>
      </c>
      <c r="E28" s="5" t="str">
        <f aca="false">IF(COUNTIF('M04 Beam'!F15:F24,"CHECK")&gt;0,"CHECK",IF(COUNTIF('M04 Beam'!F15:F24,"OK")&gt;0,"OK","no book values"))</f>
        <v>OK</v>
      </c>
    </row>
    <row r="29" customFormat="false" ht="15" hidden="false" customHeight="false" outlineLevel="0" collapsed="false">
      <c r="A29" s="2" t="s">
        <v>43</v>
      </c>
      <c r="B29" s="2" t="s">
        <v>39</v>
      </c>
      <c r="C29" s="7" t="s">
        <v>44</v>
      </c>
      <c r="D29" s="2" t="n">
        <v>3</v>
      </c>
      <c r="E29" s="5" t="str">
        <f aca="false">IF(COUNTIF('M04 Beam'!F26:F35,"CHECK")&gt;0,"CHECK",IF(COUNTIF('M04 Beam'!F26:F35,"OK")&gt;0,"OK","no book values"))</f>
        <v>OK</v>
      </c>
    </row>
    <row r="30" customFormat="false" ht="15" hidden="false" customHeight="false" outlineLevel="0" collapsed="false">
      <c r="A30" s="2" t="s">
        <v>45</v>
      </c>
      <c r="B30" s="2" t="s">
        <v>46</v>
      </c>
      <c r="C30" s="7" t="s">
        <v>47</v>
      </c>
      <c r="D30" s="2" t="n">
        <v>5</v>
      </c>
      <c r="E30" s="5" t="str">
        <f aca="false">IF(COUNTIF('M05 Polar'!F6:F15,"CHECK")&gt;0,"CHECK",IF(COUNTIF('M05 Polar'!F6:F15,"OK")&gt;0,"OK","no book values"))</f>
        <v>OK</v>
      </c>
    </row>
    <row r="31" customFormat="false" ht="15" hidden="false" customHeight="false" outlineLevel="0" collapsed="false">
      <c r="A31" s="2" t="s">
        <v>48</v>
      </c>
      <c r="B31" s="2" t="s">
        <v>46</v>
      </c>
      <c r="C31" s="7" t="s">
        <v>49</v>
      </c>
      <c r="D31" s="2" t="n">
        <v>5</v>
      </c>
      <c r="E31" s="5" t="str">
        <f aca="false">IF(COUNTIF('M05 Polar'!F17:F29,"CHECK")&gt;0,"CHECK",IF(COUNTIF('M05 Polar'!F17:F29,"OK")&gt;0,"OK","no book values"))</f>
        <v>OK</v>
      </c>
    </row>
    <row r="32" customFormat="false" ht="15" hidden="false" customHeight="false" outlineLevel="0" collapsed="false">
      <c r="A32" s="2" t="s">
        <v>50</v>
      </c>
      <c r="B32" s="2" t="s">
        <v>51</v>
      </c>
      <c r="C32" s="7" t="s">
        <v>52</v>
      </c>
      <c r="D32" s="2" t="n">
        <v>3</v>
      </c>
      <c r="E32" s="5" t="str">
        <f aca="false">IF(COUNTIF('M06 Rotation'!F6:F17,"CHECK")&gt;0,"CHECK",IF(COUNTIF('M06 Rotation'!F6:F17,"OK")&gt;0,"OK","no book values"))</f>
        <v>OK</v>
      </c>
    </row>
    <row r="33" customFormat="false" ht="15" hidden="false" customHeight="false" outlineLevel="0" collapsed="false">
      <c r="A33" s="2" t="s">
        <v>53</v>
      </c>
      <c r="B33" s="2" t="s">
        <v>51</v>
      </c>
      <c r="C33" s="7" t="s">
        <v>54</v>
      </c>
      <c r="D33" s="2" t="n">
        <v>3</v>
      </c>
      <c r="E33" s="5" t="str">
        <f aca="false">IF(COUNTIF('M06 Rotation'!F19:F25,"CHECK")&gt;0,"CHECK",IF(COUNTIF('M06 Rotation'!F19:F25,"OK")&gt;0,"OK","no book values"))</f>
        <v>OK</v>
      </c>
    </row>
    <row r="34" customFormat="false" ht="15" hidden="false" customHeight="false" outlineLevel="0" collapsed="false">
      <c r="A34" s="2" t="s">
        <v>55</v>
      </c>
      <c r="B34" s="2" t="s">
        <v>51</v>
      </c>
      <c r="C34" s="7" t="s">
        <v>56</v>
      </c>
      <c r="D34" s="2" t="n">
        <v>5</v>
      </c>
      <c r="E34" s="5" t="str">
        <f aca="false">IF(COUNTIF('M06 Rotation'!F27:F36,"CHECK")&gt;0,"CHECK",IF(COUNTIF('M06 Rotation'!F27:F36,"OK")&gt;0,"OK","no book values"))</f>
        <v>OK</v>
      </c>
    </row>
    <row r="35" customFormat="false" ht="15" hidden="false" customHeight="false" outlineLevel="0" collapsed="false">
      <c r="A35" s="2" t="s">
        <v>57</v>
      </c>
      <c r="B35" s="2" t="s">
        <v>51</v>
      </c>
      <c r="C35" s="7" t="s">
        <v>58</v>
      </c>
      <c r="D35" s="2" t="n">
        <v>4</v>
      </c>
      <c r="E35" s="5" t="str">
        <f aca="false">IF(COUNTIF('M06 Rotation'!F38:F44,"CHECK")&gt;0,"CHECK",IF(COUNTIF('M06 Rotation'!F38:F44,"OK")&gt;0,"OK","no book values"))</f>
        <v>OK</v>
      </c>
    </row>
    <row r="36" customFormat="false" ht="15" hidden="false" customHeight="false" outlineLevel="0" collapsed="false">
      <c r="A36" s="2" t="s">
        <v>59</v>
      </c>
      <c r="B36" s="2" t="s">
        <v>60</v>
      </c>
      <c r="C36" s="7" t="s">
        <v>61</v>
      </c>
      <c r="D36" s="2" t="n">
        <v>4</v>
      </c>
      <c r="E36" s="5" t="str">
        <f aca="false">IF(COUNTIF('M07 IMU'!F6:F17,"CHECK")&gt;0,"CHECK",IF(COUNTIF('M07 IMU'!F6:F17,"OK")&gt;0,"OK","no book values"))</f>
        <v>OK</v>
      </c>
    </row>
    <row r="37" customFormat="false" ht="15" hidden="false" customHeight="false" outlineLevel="0" collapsed="false">
      <c r="A37" s="2" t="s">
        <v>62</v>
      </c>
      <c r="B37" s="2" t="s">
        <v>60</v>
      </c>
      <c r="C37" s="7" t="s">
        <v>63</v>
      </c>
      <c r="D37" s="2" t="n">
        <v>7</v>
      </c>
      <c r="E37" s="5" t="str">
        <f aca="false">IF(COUNTIF('M07 IMU'!F19:F33,"CHECK")&gt;0,"CHECK",IF(COUNTIF('M07 IMU'!F19:F33,"OK")&gt;0,"OK","no book values"))</f>
        <v>OK</v>
      </c>
    </row>
    <row r="38" customFormat="false" ht="15" hidden="false" customHeight="false" outlineLevel="0" collapsed="false">
      <c r="A38" s="2" t="s">
        <v>64</v>
      </c>
      <c r="B38" s="2" t="s">
        <v>60</v>
      </c>
      <c r="C38" s="7" t="s">
        <v>65</v>
      </c>
      <c r="D38" s="2" t="n">
        <v>3</v>
      </c>
      <c r="E38" s="5" t="str">
        <f aca="false">IF(COUNTIF('M07 IMU'!F35:F41,"CHECK")&gt;0,"CHECK",IF(COUNTIF('M07 IMU'!F35:F41,"OK")&gt;0,"OK","no book values"))</f>
        <v>OK</v>
      </c>
    </row>
    <row r="39" customFormat="false" ht="15" hidden="false" customHeight="false" outlineLevel="0" collapsed="false">
      <c r="A39" s="2" t="s">
        <v>66</v>
      </c>
      <c r="B39" s="2" t="s">
        <v>60</v>
      </c>
      <c r="C39" s="7" t="s">
        <v>67</v>
      </c>
      <c r="D39" s="2" t="n">
        <v>6</v>
      </c>
      <c r="E39" s="5" t="str">
        <f aca="false">IF(COUNTIF('M07 IMU'!F43:F54,"CHECK")&gt;0,"CHECK",IF(COUNTIF('M07 IMU'!F43:F54,"OK")&gt;0,"OK","no book values"))</f>
        <v>OK</v>
      </c>
    </row>
    <row r="40" customFormat="false" ht="15" hidden="false" customHeight="false" outlineLevel="0" collapsed="false">
      <c r="A40" s="2" t="s">
        <v>68</v>
      </c>
      <c r="B40" s="2" t="s">
        <v>69</v>
      </c>
      <c r="C40" s="7" t="s">
        <v>70</v>
      </c>
      <c r="D40" s="2" t="n">
        <v>3</v>
      </c>
      <c r="E40" s="5" t="str">
        <f aca="false">IF(COUNTIF('M08 Timing'!F6:F14,"CHECK")&gt;0,"CHECK",IF(COUNTIF('M08 Timing'!F6:F14,"OK")&gt;0,"OK","no book values"))</f>
        <v>OK</v>
      </c>
    </row>
    <row r="41" customFormat="false" ht="15" hidden="false" customHeight="false" outlineLevel="0" collapsed="false">
      <c r="A41" s="2" t="s">
        <v>71</v>
      </c>
      <c r="B41" s="2" t="s">
        <v>69</v>
      </c>
      <c r="C41" s="7" t="s">
        <v>72</v>
      </c>
      <c r="D41" s="2" t="n">
        <v>3</v>
      </c>
      <c r="E41" s="5" t="str">
        <f aca="false">IF(COUNTIF('M08 Timing'!F16:F23,"CHECK")&gt;0,"CHECK",IF(COUNTIF('M08 Timing'!F16:F23,"OK")&gt;0,"OK","no book values"))</f>
        <v>OK</v>
      </c>
    </row>
    <row r="42" customFormat="false" ht="15" hidden="false" customHeight="false" outlineLevel="0" collapsed="false">
      <c r="A42" s="2" t="s">
        <v>73</v>
      </c>
      <c r="B42" s="2" t="s">
        <v>74</v>
      </c>
      <c r="C42" s="7" t="s">
        <v>75</v>
      </c>
      <c r="D42" s="2" t="n">
        <v>2</v>
      </c>
      <c r="E42" s="5" t="str">
        <f aca="false">IF(COUNTIF('M09 Calibration'!F6:F11,"CHECK")&gt;0,"CHECK",IF(COUNTIF('M09 Calibration'!F6:F11,"OK")&gt;0,"OK","no book values"))</f>
        <v>OK</v>
      </c>
    </row>
    <row r="43" customFormat="false" ht="15" hidden="false" customHeight="false" outlineLevel="0" collapsed="false">
      <c r="A43" s="2" t="s">
        <v>76</v>
      </c>
      <c r="B43" s="2" t="s">
        <v>74</v>
      </c>
      <c r="C43" s="7" t="s">
        <v>77</v>
      </c>
      <c r="D43" s="2" t="n">
        <v>24</v>
      </c>
      <c r="E43" s="5" t="str">
        <f aca="false">IF(COUNTIF('M09 Calibration'!F13:F62,"CHECK")&gt;0,"CHECK",IF(COUNTIF('M09 Calibration'!F13:F62,"OK")&gt;0,"OK","no book values"))</f>
        <v>OK</v>
      </c>
    </row>
    <row r="44" customFormat="false" ht="15" hidden="false" customHeight="false" outlineLevel="0" collapsed="false">
      <c r="A44" s="2" t="s">
        <v>78</v>
      </c>
      <c r="B44" s="2" t="s">
        <v>79</v>
      </c>
      <c r="C44" s="7" t="s">
        <v>80</v>
      </c>
      <c r="D44" s="2" t="n">
        <v>7</v>
      </c>
      <c r="E44" s="5" t="str">
        <f aca="false">IF(COUNTIF('M10 SLAM'!F6:F20,"CHECK")&gt;0,"CHECK",IF(COUNTIF('M10 SLAM'!F6:F20,"OK")&gt;0,"OK","no book values"))</f>
        <v>OK</v>
      </c>
    </row>
    <row r="45" customFormat="false" ht="15" hidden="false" customHeight="false" outlineLevel="0" collapsed="false">
      <c r="A45" s="2" t="s">
        <v>81</v>
      </c>
      <c r="B45" s="2" t="s">
        <v>79</v>
      </c>
      <c r="C45" s="7" t="s">
        <v>82</v>
      </c>
      <c r="D45" s="2" t="n">
        <v>6</v>
      </c>
      <c r="E45" s="5" t="str">
        <f aca="false">IF(COUNTIF('M10 SLAM'!F22:F33,"CHECK")&gt;0,"CHECK",IF(COUNTIF('M10 SLAM'!F22:F33,"OK")&gt;0,"OK","no book values"))</f>
        <v>OK</v>
      </c>
    </row>
    <row r="46" customFormat="false" ht="15" hidden="false" customHeight="false" outlineLevel="0" collapsed="false">
      <c r="A46" s="2" t="s">
        <v>83</v>
      </c>
      <c r="B46" s="2" t="s">
        <v>79</v>
      </c>
      <c r="C46" s="7" t="s">
        <v>84</v>
      </c>
      <c r="D46" s="2" t="n">
        <v>17</v>
      </c>
      <c r="E46" s="5" t="str">
        <f aca="false">IF(COUNTIF('M10 SLAM'!F35:F59,"CHECK")&gt;0,"CHECK",IF(COUNTIF('M10 SLAM'!F35:F59,"OK")&gt;0,"OK","no book values"))</f>
        <v>OK</v>
      </c>
    </row>
    <row r="47" customFormat="false" ht="15" hidden="false" customHeight="false" outlineLevel="0" collapsed="false">
      <c r="A47" s="2" t="s">
        <v>85</v>
      </c>
      <c r="B47" s="2" t="s">
        <v>79</v>
      </c>
      <c r="C47" s="7" t="s">
        <v>86</v>
      </c>
      <c r="D47" s="2" t="n">
        <v>28</v>
      </c>
      <c r="E47" s="5" t="str">
        <f aca="false">IF(COUNTIF('M10 SLAM'!F61:F109,"CHECK")&gt;0,"CHECK",IF(COUNTIF('M10 SLAM'!F61:F109,"OK")&gt;0,"OK","no book values"))</f>
        <v>OK</v>
      </c>
    </row>
    <row r="48" customFormat="false" ht="15" hidden="false" customHeight="false" outlineLevel="0" collapsed="false">
      <c r="A48" s="2" t="s">
        <v>87</v>
      </c>
      <c r="B48" s="2" t="s">
        <v>88</v>
      </c>
      <c r="C48" s="7" t="s">
        <v>89</v>
      </c>
      <c r="D48" s="2" t="n">
        <v>13</v>
      </c>
      <c r="E48" s="5" t="str">
        <f aca="false">IF(COUNTIF('M11 Scan Matching'!F6:F36,"CHECK")&gt;0,"CHECK",IF(COUNTIF('M11 Scan Matching'!F6:F36,"OK")&gt;0,"OK","no book values"))</f>
        <v>OK</v>
      </c>
    </row>
    <row r="49" customFormat="false" ht="15" hidden="false" customHeight="false" outlineLevel="0" collapsed="false">
      <c r="A49" s="2" t="s">
        <v>90</v>
      </c>
      <c r="B49" s="2" t="s">
        <v>88</v>
      </c>
      <c r="C49" s="7" t="s">
        <v>91</v>
      </c>
      <c r="D49" s="2" t="n">
        <v>2</v>
      </c>
      <c r="E49" s="5" t="str">
        <f aca="false">IF(COUNTIF('M11 Scan Matching'!F38:F52,"CHECK")&gt;0,"CHECK",IF(COUNTIF('M11 Scan Matching'!F38:F52,"OK")&gt;0,"OK","no book values"))</f>
        <v>OK</v>
      </c>
    </row>
    <row r="50" customFormat="false" ht="15" hidden="false" customHeight="false" outlineLevel="0" collapsed="false">
      <c r="A50" s="2" t="s">
        <v>92</v>
      </c>
      <c r="B50" s="2" t="s">
        <v>88</v>
      </c>
      <c r="C50" s="7" t="s">
        <v>93</v>
      </c>
      <c r="D50" s="2" t="n">
        <v>8</v>
      </c>
      <c r="E50" s="5" t="str">
        <f aca="false">IF(COUNTIF('M11 Scan Matching'!F54:F84,"CHECK")&gt;0,"CHECK",IF(COUNTIF('M11 Scan Matching'!F54:F84,"OK")&gt;0,"OK","no book values"))</f>
        <v>OK</v>
      </c>
    </row>
    <row r="51" customFormat="false" ht="15" hidden="false" customHeight="false" outlineLevel="0" collapsed="false">
      <c r="A51" s="2" t="s">
        <v>94</v>
      </c>
      <c r="B51" s="2" t="s">
        <v>95</v>
      </c>
      <c r="C51" s="7" t="s">
        <v>96</v>
      </c>
      <c r="D51" s="2" t="n">
        <v>11</v>
      </c>
      <c r="E51" s="5" t="str">
        <f aca="false">IF(COUNTIF('M12 Factor Graphs'!F6:F22,"CHECK")&gt;0,"CHECK",IF(COUNTIF('M12 Factor Graphs'!F6:F22,"OK")&gt;0,"OK","no book values"))</f>
        <v>OK</v>
      </c>
    </row>
    <row r="52" customFormat="false" ht="15" hidden="false" customHeight="false" outlineLevel="0" collapsed="false">
      <c r="A52" s="2" t="s">
        <v>97</v>
      </c>
      <c r="B52" s="2" t="s">
        <v>95</v>
      </c>
      <c r="C52" s="7" t="s">
        <v>98</v>
      </c>
      <c r="D52" s="2" t="n">
        <v>4</v>
      </c>
      <c r="E52" s="5" t="str">
        <f aca="false">IF(COUNTIF('M12 Factor Graphs'!F24:F38,"CHECK")&gt;0,"CHECK",IF(COUNTIF('M12 Factor Graphs'!F24:F38,"OK")&gt;0,"OK","no book values"))</f>
        <v>OK</v>
      </c>
    </row>
    <row r="53" customFormat="false" ht="15" hidden="false" customHeight="false" outlineLevel="0" collapsed="false">
      <c r="A53" s="2" t="s">
        <v>99</v>
      </c>
      <c r="B53" s="2" t="s">
        <v>95</v>
      </c>
      <c r="C53" s="7" t="s">
        <v>100</v>
      </c>
      <c r="D53" s="2" t="n">
        <v>2</v>
      </c>
      <c r="E53" s="5" t="str">
        <f aca="false">IF(COUNTIF('M12 Factor Graphs'!F40:F47,"CHECK")&gt;0,"CHECK",IF(COUNTIF('M12 Factor Graphs'!F40:F47,"OK")&gt;0,"OK","no book values"))</f>
        <v>OK</v>
      </c>
    </row>
    <row r="54" customFormat="false" ht="15" hidden="false" customHeight="false" outlineLevel="0" collapsed="false">
      <c r="A54" s="2" t="s">
        <v>101</v>
      </c>
      <c r="B54" s="2" t="s">
        <v>102</v>
      </c>
      <c r="C54" s="7" t="s">
        <v>103</v>
      </c>
      <c r="D54" s="2" t="n">
        <v>6</v>
      </c>
      <c r="E54" s="5" t="str">
        <f aca="false">IF(COUNTIF('M13 Accuracy'!F6:F24,"CHECK")&gt;0,"CHECK",IF(COUNTIF('M13 Accuracy'!F6:F24,"OK")&gt;0,"OK","no book values"))</f>
        <v>OK</v>
      </c>
    </row>
    <row r="55" customFormat="false" ht="15" hidden="false" customHeight="false" outlineLevel="0" collapsed="false">
      <c r="A55" s="2" t="s">
        <v>104</v>
      </c>
      <c r="B55" s="2" t="s">
        <v>102</v>
      </c>
      <c r="C55" s="7" t="s">
        <v>105</v>
      </c>
      <c r="D55" s="2" t="n">
        <v>1</v>
      </c>
      <c r="E55" s="5" t="str">
        <f aca="false">IF(COUNTIF('M13 Accuracy'!F26:F30,"CHECK")&gt;0,"CHECK",IF(COUNTIF('M13 Accuracy'!F26:F30,"OK")&gt;0,"OK","no book values"))</f>
        <v>OK</v>
      </c>
    </row>
    <row r="56" customFormat="false" ht="15" hidden="false" customHeight="false" outlineLevel="0" collapsed="false">
      <c r="A56" s="2" t="s">
        <v>106</v>
      </c>
      <c r="B56" s="2" t="s">
        <v>107</v>
      </c>
      <c r="C56" s="7" t="s">
        <v>108</v>
      </c>
      <c r="D56" s="2" t="n">
        <v>9</v>
      </c>
      <c r="E56" s="5" t="str">
        <f aca="false">IF(COUNTIF('M14 Error Budgets'!F6:F20,"CHECK")&gt;0,"CHECK",IF(COUNTIF('M14 Error Budgets'!F6:F20,"OK")&gt;0,"OK","no book values"))</f>
        <v>OK</v>
      </c>
    </row>
    <row r="57" customFormat="false" ht="15" hidden="false" customHeight="false" outlineLevel="0" collapsed="false">
      <c r="A57" s="2" t="s">
        <v>109</v>
      </c>
      <c r="B57" s="2" t="s">
        <v>107</v>
      </c>
      <c r="C57" s="7" t="s">
        <v>110</v>
      </c>
      <c r="D57" s="2" t="n">
        <v>4</v>
      </c>
      <c r="E57" s="5" t="str">
        <f aca="false">IF(COUNTIF('M14 Error Budgets'!F22:F32,"CHECK")&gt;0,"CHECK",IF(COUNTIF('M14 Error Budgets'!F22:F32,"OK")&gt;0,"OK","no book values"))</f>
        <v>OK</v>
      </c>
    </row>
    <row r="58" customFormat="false" ht="15" hidden="false" customHeight="false" outlineLevel="0" collapsed="false">
      <c r="A58" s="2" t="s">
        <v>111</v>
      </c>
      <c r="B58" s="2" t="s">
        <v>107</v>
      </c>
      <c r="C58" s="7" t="s">
        <v>112</v>
      </c>
      <c r="D58" s="2" t="n">
        <v>25</v>
      </c>
      <c r="E58" s="5" t="str">
        <f aca="false">IF(COUNTIF('M14 Error Budgets'!F34:F68,"CHECK")&gt;0,"CHECK",IF(COUNTIF('M14 Error Budgets'!F34:F68,"OK")&gt;0,"OK","no book values"))</f>
        <v>OK</v>
      </c>
    </row>
    <row r="59" customFormat="false" ht="15" hidden="false" customHeight="false" outlineLevel="0" collapsed="false">
      <c r="A59" s="2" t="s">
        <v>113</v>
      </c>
      <c r="B59" s="2" t="s">
        <v>107</v>
      </c>
      <c r="C59" s="7" t="s">
        <v>114</v>
      </c>
      <c r="D59" s="2" t="n">
        <v>11</v>
      </c>
      <c r="E59" s="5" t="str">
        <f aca="false">IF(COUNTIF('M14 Error Budgets'!F70:F93,"CHECK")&gt;0,"CHECK",IF(COUNTIF('M14 Error Budgets'!F70:F93,"OK")&gt;0,"OK","no book values"))</f>
        <v>OK</v>
      </c>
    </row>
    <row r="60" customFormat="false" ht="15" hidden="false" customHeight="false" outlineLevel="0" collapsed="false">
      <c r="A60" s="2" t="s">
        <v>115</v>
      </c>
      <c r="B60" s="2" t="s">
        <v>107</v>
      </c>
      <c r="C60" s="7" t="s">
        <v>116</v>
      </c>
      <c r="D60" s="2" t="n">
        <v>3</v>
      </c>
      <c r="E60" s="5" t="str">
        <f aca="false">IF(COUNTIF('M14 Error Budgets'!F95:F99,"CHECK")&gt;0,"CHECK",IF(COUNTIF('M14 Error Budgets'!F95:F99,"OK")&gt;0,"OK","no book values"))</f>
        <v>OK</v>
      </c>
    </row>
    <row r="61" customFormat="false" ht="15" hidden="false" customHeight="false" outlineLevel="0" collapsed="false">
      <c r="A61" s="2" t="s">
        <v>117</v>
      </c>
      <c r="B61" s="2" t="s">
        <v>107</v>
      </c>
      <c r="C61" s="7" t="s">
        <v>118</v>
      </c>
      <c r="D61" s="2" t="n">
        <v>2</v>
      </c>
      <c r="E61" s="5" t="str">
        <f aca="false">IF(COUNTIF('M14 Error Budgets'!F101:F107,"CHECK")&gt;0,"CHECK",IF(COUNTIF('M14 Error Budgets'!F101:F107,"OK")&gt;0,"OK","no book values"))</f>
        <v>OK</v>
      </c>
    </row>
    <row r="62" customFormat="false" ht="15" hidden="false" customHeight="false" outlineLevel="0" collapsed="false">
      <c r="A62" s="2" t="s">
        <v>119</v>
      </c>
      <c r="B62" s="2" t="s">
        <v>107</v>
      </c>
      <c r="C62" s="7" t="s">
        <v>120</v>
      </c>
      <c r="D62" s="2" t="n">
        <v>3</v>
      </c>
      <c r="E62" s="5" t="str">
        <f aca="false">IF(COUNTIF('M14 Error Budgets'!F109:F119,"CHECK")&gt;0,"CHECK",IF(COUNTIF('M14 Error Budgets'!F109:F119,"OK")&gt;0,"OK","no book values"))</f>
        <v>OK</v>
      </c>
    </row>
    <row r="63" customFormat="false" ht="15" hidden="false" customHeight="false" outlineLevel="0" collapsed="false">
      <c r="A63" s="2" t="s">
        <v>121</v>
      </c>
      <c r="B63" s="2" t="s">
        <v>107</v>
      </c>
      <c r="C63" s="7" t="s">
        <v>122</v>
      </c>
      <c r="D63" s="2" t="n">
        <v>6</v>
      </c>
      <c r="E63" s="5" t="str">
        <f aca="false">IF(COUNTIF('M14 Error Budgets'!F121:F136,"CHECK")&gt;0,"CHECK",IF(COUNTIF('M14 Error Budgets'!F121:F136,"OK")&gt;0,"OK","no book values"))</f>
        <v>OK</v>
      </c>
    </row>
    <row r="64" customFormat="false" ht="15" hidden="false" customHeight="false" outlineLevel="0" collapsed="false">
      <c r="A64" s="2" t="s">
        <v>123</v>
      </c>
      <c r="B64" s="2" t="s">
        <v>107</v>
      </c>
      <c r="C64" s="7" t="s">
        <v>124</v>
      </c>
      <c r="D64" s="2" t="n">
        <v>8</v>
      </c>
      <c r="E64" s="5" t="str">
        <f aca="false">IF(COUNTIF('M14 Error Budgets'!F138:F155,"CHECK")&gt;0,"CHECK",IF(COUNTIF('M14 Error Budgets'!F138:F155,"OK")&gt;0,"OK","no book values"))</f>
        <v>OK</v>
      </c>
    </row>
    <row r="65" customFormat="false" ht="15" hidden="false" customHeight="false" outlineLevel="0" collapsed="false">
      <c r="A65" s="2" t="s">
        <v>125</v>
      </c>
      <c r="B65" s="2" t="s">
        <v>107</v>
      </c>
      <c r="C65" s="7" t="s">
        <v>126</v>
      </c>
      <c r="D65" s="2" t="n">
        <v>3</v>
      </c>
      <c r="E65" s="5" t="str">
        <f aca="false">IF(COUNTIF('M14 Error Budgets'!F157:F167,"CHECK")&gt;0,"CHECK",IF(COUNTIF('M14 Error Budgets'!F157:F167,"OK")&gt;0,"OK","no book values"))</f>
        <v>OK</v>
      </c>
    </row>
    <row r="66" customFormat="false" ht="15" hidden="false" customHeight="false" outlineLevel="0" collapsed="false">
      <c r="A66" s="2" t="s">
        <v>127</v>
      </c>
      <c r="B66" s="2" t="s">
        <v>107</v>
      </c>
      <c r="C66" s="7" t="s">
        <v>128</v>
      </c>
      <c r="D66" s="2" t="n">
        <v>3</v>
      </c>
      <c r="E66" s="5" t="str">
        <f aca="false">IF(COUNTIF('M14 Error Budgets'!F169:F178,"CHECK")&gt;0,"CHECK",IF(COUNTIF('M14 Error Budgets'!F169:F178,"OK")&gt;0,"OK","no book values"))</f>
        <v>OK</v>
      </c>
    </row>
    <row r="67" customFormat="false" ht="15" hidden="false" customHeight="false" outlineLevel="0" collapsed="false">
      <c r="A67" s="2" t="s">
        <v>129</v>
      </c>
      <c r="B67" s="2" t="s">
        <v>107</v>
      </c>
      <c r="C67" s="7" t="s">
        <v>130</v>
      </c>
      <c r="D67" s="2" t="n">
        <v>9</v>
      </c>
      <c r="E67" s="5" t="str">
        <f aca="false">IF(COUNTIF('M14 Error Budgets'!F180:F198,"CHECK")&gt;0,"CHECK",IF(COUNTIF('M14 Error Budgets'!F180:F198,"OK")&gt;0,"OK","no book values"))</f>
        <v>OK</v>
      </c>
    </row>
    <row r="68" customFormat="false" ht="15" hidden="false" customHeight="false" outlineLevel="0" collapsed="false">
      <c r="A68" s="2" t="s">
        <v>131</v>
      </c>
      <c r="B68" s="2" t="s">
        <v>107</v>
      </c>
      <c r="C68" s="7" t="s">
        <v>132</v>
      </c>
      <c r="D68" s="2" t="n">
        <v>8</v>
      </c>
      <c r="E68" s="5" t="str">
        <f aca="false">IF(COUNTIF('M14 Error Budgets'!F200:F210,"CHECK")&gt;0,"CHECK",IF(COUNTIF('M14 Error Budgets'!F200:F210,"OK")&gt;0,"OK","no book values"))</f>
        <v>OK</v>
      </c>
    </row>
    <row r="69" customFormat="false" ht="15" hidden="false" customHeight="false" outlineLevel="0" collapsed="false">
      <c r="A69" s="2" t="s">
        <v>133</v>
      </c>
      <c r="B69" s="2" t="s">
        <v>107</v>
      </c>
      <c r="C69" s="7" t="s">
        <v>134</v>
      </c>
      <c r="D69" s="2" t="n">
        <v>6</v>
      </c>
      <c r="E69" s="5" t="str">
        <f aca="false">IF(COUNTIF('M14 Error Budgets'!F212:F223,"CHECK")&gt;0,"CHECK",IF(COUNTIF('M14 Error Budgets'!F212:F223,"OK")&gt;0,"OK","no book values"))</f>
        <v>OK</v>
      </c>
    </row>
    <row r="70" customFormat="false" ht="15" hidden="false" customHeight="false" outlineLevel="0" collapsed="false">
      <c r="A70" s="2" t="s">
        <v>135</v>
      </c>
      <c r="B70" s="2" t="s">
        <v>107</v>
      </c>
      <c r="C70" s="7" t="s">
        <v>136</v>
      </c>
      <c r="D70" s="2" t="n">
        <v>4</v>
      </c>
      <c r="E70" s="5" t="str">
        <f aca="false">IF(COUNTIF('M14 Error Budgets'!F225:F239,"CHECK")&gt;0,"CHECK",IF(COUNTIF('M14 Error Budgets'!F225:F239,"OK")&gt;0,"OK","no book values"))</f>
        <v>OK</v>
      </c>
    </row>
    <row r="71" customFormat="false" ht="15" hidden="false" customHeight="false" outlineLevel="0" collapsed="false">
      <c r="A71" s="2" t="s">
        <v>137</v>
      </c>
      <c r="B71" s="2" t="s">
        <v>138</v>
      </c>
      <c r="C71" s="7" t="s">
        <v>139</v>
      </c>
      <c r="D71" s="2" t="n">
        <v>6</v>
      </c>
      <c r="E71" s="5" t="str">
        <f aca="false">IF(COUNTIF('M15 Ouster OS0'!F6:F17,"CHECK")&gt;0,"CHECK",IF(COUNTIF('M15 Ouster OS0'!F6:F17,"OK")&gt;0,"OK","no book values"))</f>
        <v>OK</v>
      </c>
    </row>
    <row r="72" customFormat="false" ht="15" hidden="false" customHeight="false" outlineLevel="0" collapsed="false">
      <c r="A72" s="2" t="s">
        <v>140</v>
      </c>
      <c r="B72" s="2" t="s">
        <v>138</v>
      </c>
      <c r="C72" s="7" t="s">
        <v>141</v>
      </c>
      <c r="D72" s="2" t="n">
        <v>5</v>
      </c>
      <c r="E72" s="5" t="str">
        <f aca="false">IF(COUNTIF('M15 Ouster OS0'!F19:F28,"CHECK")&gt;0,"CHECK",IF(COUNTIF('M15 Ouster OS0'!F19:F28,"OK")&gt;0,"OK","no book values"))</f>
        <v>OK</v>
      </c>
    </row>
    <row r="73" customFormat="false" ht="15" hidden="false" customHeight="false" outlineLevel="0" collapsed="false">
      <c r="A73" s="2" t="s">
        <v>142</v>
      </c>
      <c r="B73" s="2" t="s">
        <v>138</v>
      </c>
      <c r="C73" s="7" t="s">
        <v>143</v>
      </c>
      <c r="D73" s="2" t="n">
        <v>4</v>
      </c>
      <c r="E73" s="5" t="str">
        <f aca="false">IF(COUNTIF('M15 Ouster OS0'!F30:F38,"CHECK")&gt;0,"CHECK",IF(COUNTIF('M15 Ouster OS0'!F30:F38,"OK")&gt;0,"OK","no book values"))</f>
        <v>OK</v>
      </c>
    </row>
    <row r="74" customFormat="false" ht="15" hidden="false" customHeight="false" outlineLevel="0" collapsed="false">
      <c r="A74" s="2" t="s">
        <v>144</v>
      </c>
      <c r="B74" s="2" t="s">
        <v>138</v>
      </c>
      <c r="C74" s="7" t="s">
        <v>145</v>
      </c>
      <c r="D74" s="2" t="n">
        <v>4</v>
      </c>
      <c r="E74" s="5" t="str">
        <f aca="false">IF(COUNTIF('M15 Ouster OS0'!F40:F51,"CHECK")&gt;0,"CHECK",IF(COUNTIF('M15 Ouster OS0'!F40:F51,"OK")&gt;0,"OK","no book values"))</f>
        <v>OK</v>
      </c>
    </row>
    <row r="75" customFormat="false" ht="15" hidden="false" customHeight="false" outlineLevel="0" collapsed="false">
      <c r="A75" s="2" t="s">
        <v>146</v>
      </c>
      <c r="B75" s="2" t="s">
        <v>138</v>
      </c>
      <c r="C75" s="7" t="s">
        <v>147</v>
      </c>
      <c r="D75" s="2" t="n">
        <v>4</v>
      </c>
      <c r="E75" s="5" t="str">
        <f aca="false">IF(COUNTIF('M15 Ouster OS0'!F53:F58,"CHECK")&gt;0,"CHECK",IF(COUNTIF('M15 Ouster OS0'!F53:F58,"OK")&gt;0,"OK","no book values"))</f>
        <v>OK</v>
      </c>
    </row>
    <row r="76" customFormat="false" ht="15" hidden="false" customHeight="false" outlineLevel="0" collapsed="false">
      <c r="A76" s="2" t="s">
        <v>148</v>
      </c>
      <c r="B76" s="2" t="s">
        <v>138</v>
      </c>
      <c r="C76" s="7" t="s">
        <v>149</v>
      </c>
      <c r="D76" s="2" t="n">
        <v>6</v>
      </c>
      <c r="E76" s="5" t="str">
        <f aca="false">IF(COUNTIF('M15 Ouster OS0'!F60:F74,"CHECK")&gt;0,"CHECK",IF(COUNTIF('M15 Ouster OS0'!F60:F74,"OK")&gt;0,"OK","no book values"))</f>
        <v>OK</v>
      </c>
    </row>
    <row r="77" customFormat="false" ht="15" hidden="false" customHeight="false" outlineLevel="0" collapsed="false">
      <c r="A77" s="2" t="s">
        <v>150</v>
      </c>
      <c r="B77" s="2" t="s">
        <v>138</v>
      </c>
      <c r="C77" s="7" t="s">
        <v>151</v>
      </c>
      <c r="D77" s="2" t="n">
        <v>5</v>
      </c>
      <c r="E77" s="5" t="str">
        <f aca="false">IF(COUNTIF('M15 Ouster OS0'!F76:F87,"CHECK")&gt;0,"CHECK",IF(COUNTIF('M15 Ouster OS0'!F76:F87,"OK")&gt;0,"OK","no book values"))</f>
        <v>OK</v>
      </c>
    </row>
    <row r="78" customFormat="false" ht="15" hidden="false" customHeight="false" outlineLevel="0" collapsed="false">
      <c r="A78" s="2" t="s">
        <v>152</v>
      </c>
      <c r="B78" s="2" t="s">
        <v>138</v>
      </c>
      <c r="C78" s="7" t="s">
        <v>153</v>
      </c>
      <c r="D78" s="2" t="n">
        <v>10</v>
      </c>
      <c r="E78" s="5" t="str">
        <f aca="false">IF(COUNTIF('M15 Ouster OS0'!F89:F110,"CHECK")&gt;0,"CHECK",IF(COUNTIF('M15 Ouster OS0'!F89:F110,"OK")&gt;0,"OK","no book values"))</f>
        <v>OK</v>
      </c>
    </row>
    <row r="79" customFormat="false" ht="15" hidden="false" customHeight="false" outlineLevel="0" collapsed="false">
      <c r="A79" s="2" t="s">
        <v>154</v>
      </c>
      <c r="B79" s="2" t="s">
        <v>155</v>
      </c>
      <c r="C79" s="7" t="s">
        <v>156</v>
      </c>
      <c r="D79" s="2" t="n">
        <v>4</v>
      </c>
      <c r="E79" s="5" t="str">
        <f aca="false">IF(COUNTIF('M16 GX5-GQ7'!F6:F15,"CHECK")&gt;0,"CHECK",IF(COUNTIF('M16 GX5-GQ7'!F6:F15,"OK")&gt;0,"OK","no book values"))</f>
        <v>OK</v>
      </c>
    </row>
    <row r="80" customFormat="false" ht="15" hidden="false" customHeight="false" outlineLevel="0" collapsed="false">
      <c r="A80" s="2" t="s">
        <v>157</v>
      </c>
      <c r="B80" s="2" t="s">
        <v>155</v>
      </c>
      <c r="C80" s="7" t="s">
        <v>158</v>
      </c>
      <c r="D80" s="2" t="n">
        <v>10</v>
      </c>
      <c r="E80" s="5" t="str">
        <f aca="false">IF(COUNTIF('M16 GX5-GQ7'!F17:F50,"CHECK")&gt;0,"CHECK",IF(COUNTIF('M16 GX5-GQ7'!F17:F50,"OK")&gt;0,"OK","no book values"))</f>
        <v>OK</v>
      </c>
    </row>
    <row r="81" customFormat="false" ht="15" hidden="false" customHeight="false" outlineLevel="0" collapsed="false">
      <c r="A81" s="2" t="s">
        <v>159</v>
      </c>
      <c r="B81" s="2" t="s">
        <v>155</v>
      </c>
      <c r="C81" s="7" t="s">
        <v>160</v>
      </c>
      <c r="D81" s="2" t="n">
        <v>19</v>
      </c>
      <c r="E81" s="5" t="str">
        <f aca="false">IF(COUNTIF('M16 GX5-GQ7'!F52:F84,"CHECK")&gt;0,"CHECK",IF(COUNTIF('M16 GX5-GQ7'!F52:F84,"OK")&gt;0,"OK","no book values"))</f>
        <v>OK</v>
      </c>
    </row>
    <row r="82" customFormat="false" ht="15" hidden="false" customHeight="false" outlineLevel="0" collapsed="false">
      <c r="A82" s="2" t="s">
        <v>161</v>
      </c>
      <c r="B82" s="2" t="s">
        <v>155</v>
      </c>
      <c r="C82" s="7" t="s">
        <v>162</v>
      </c>
      <c r="D82" s="2" t="n">
        <v>4</v>
      </c>
      <c r="E82" s="5" t="str">
        <f aca="false">IF(COUNTIF('M16 GX5-GQ7'!F86:F92,"CHECK")&gt;0,"CHECK",IF(COUNTIF('M16 GX5-GQ7'!F86:F92,"OK")&gt;0,"OK","no book values"))</f>
        <v>OK</v>
      </c>
    </row>
    <row r="83" customFormat="false" ht="15" hidden="false" customHeight="false" outlineLevel="0" collapsed="false">
      <c r="A83" s="2" t="s">
        <v>163</v>
      </c>
      <c r="B83" s="2" t="s">
        <v>155</v>
      </c>
      <c r="C83" s="7" t="s">
        <v>164</v>
      </c>
      <c r="D83" s="2" t="n">
        <v>8</v>
      </c>
      <c r="E83" s="5" t="str">
        <f aca="false">IF(COUNTIF('M16 GX5-GQ7'!F94:F111,"CHECK")&gt;0,"CHECK",IF(COUNTIF('M16 GX5-GQ7'!F94:F111,"OK")&gt;0,"OK","no book values"))</f>
        <v>OK</v>
      </c>
    </row>
    <row r="84" customFormat="false" ht="15" hidden="false" customHeight="false" outlineLevel="0" collapsed="false">
      <c r="A84" s="2" t="s">
        <v>165</v>
      </c>
      <c r="B84" s="2" t="s">
        <v>155</v>
      </c>
      <c r="C84" s="7" t="s">
        <v>166</v>
      </c>
      <c r="D84" s="2" t="n">
        <v>6</v>
      </c>
      <c r="E84" s="5" t="str">
        <f aca="false">IF(COUNTIF('M16 GX5-GQ7'!F113:F128,"CHECK")&gt;0,"CHECK",IF(COUNTIF('M16 GX5-GQ7'!F113:F128,"OK")&gt;0,"OK","no book values"))</f>
        <v>OK</v>
      </c>
    </row>
    <row r="85" customFormat="false" ht="15" hidden="false" customHeight="false" outlineLevel="0" collapsed="false">
      <c r="A85" s="2" t="s">
        <v>167</v>
      </c>
      <c r="B85" s="2" t="s">
        <v>155</v>
      </c>
      <c r="C85" s="7" t="s">
        <v>168</v>
      </c>
      <c r="D85" s="2" t="n">
        <v>3</v>
      </c>
      <c r="E85" s="5" t="str">
        <f aca="false">IF(COUNTIF('M16 GX5-GQ7'!F130:F138,"CHECK")&gt;0,"CHECK",IF(COUNTIF('M16 GX5-GQ7'!F130:F138,"OK")&gt;0,"OK","no book values"))</f>
        <v>OK</v>
      </c>
    </row>
    <row r="86" customFormat="false" ht="15" hidden="false" customHeight="false" outlineLevel="0" collapsed="false">
      <c r="A86" s="2" t="s">
        <v>169</v>
      </c>
      <c r="B86" s="2" t="s">
        <v>155</v>
      </c>
      <c r="C86" s="7" t="s">
        <v>170</v>
      </c>
      <c r="D86" s="2" t="n">
        <v>2</v>
      </c>
      <c r="E86" s="5" t="str">
        <f aca="false">IF(COUNTIF('M16 GX5-GQ7'!F140:F147,"CHECK")&gt;0,"CHECK",IF(COUNTIF('M16 GX5-GQ7'!F140:F147,"OK")&gt;0,"OK","no book values"))</f>
        <v>OK</v>
      </c>
    </row>
    <row r="87" customFormat="false" ht="15" hidden="false" customHeight="false" outlineLevel="0" collapsed="false">
      <c r="A87" s="2" t="s">
        <v>171</v>
      </c>
      <c r="B87" s="2" t="s">
        <v>155</v>
      </c>
      <c r="C87" s="7" t="s">
        <v>172</v>
      </c>
      <c r="D87" s="2" t="n">
        <v>4</v>
      </c>
      <c r="E87" s="5" t="str">
        <f aca="false">IF(COUNTIF('M16 GX5-GQ7'!F149:F158,"CHECK")&gt;0,"CHECK",IF(COUNTIF('M16 GX5-GQ7'!F149:F158,"OK")&gt;0,"OK","no book values"))</f>
        <v>OK</v>
      </c>
    </row>
    <row r="88" customFormat="false" ht="15" hidden="false" customHeight="false" outlineLevel="0" collapsed="false">
      <c r="A88" s="2" t="s">
        <v>173</v>
      </c>
      <c r="B88" s="2" t="s">
        <v>155</v>
      </c>
      <c r="C88" s="7" t="s">
        <v>174</v>
      </c>
      <c r="D88" s="2" t="n">
        <v>5</v>
      </c>
      <c r="E88" s="5" t="str">
        <f aca="false">IF(COUNTIF('M16 GX5-GQ7'!F160:F176,"CHECK")&gt;0,"CHECK",IF(COUNTIF('M16 GX5-GQ7'!F160:F176,"OK")&gt;0,"OK","no book values"))</f>
        <v>OK</v>
      </c>
    </row>
    <row r="89" customFormat="false" ht="15" hidden="false" customHeight="false" outlineLevel="0" collapsed="false">
      <c r="A89" s="2" t="s">
        <v>175</v>
      </c>
      <c r="B89" s="2" t="s">
        <v>176</v>
      </c>
      <c r="C89" s="7" t="s">
        <v>177</v>
      </c>
      <c r="D89" s="2" t="n">
        <v>4</v>
      </c>
      <c r="E89" s="5" t="str">
        <f aca="false">IF(COUNTIF('M17 RIEGL'!F6:F14,"CHECK")&gt;0,"CHECK",IF(COUNTIF('M17 RIEGL'!F6:F14,"OK")&gt;0,"OK","no book values"))</f>
        <v>OK</v>
      </c>
    </row>
    <row r="90" customFormat="false" ht="15" hidden="false" customHeight="false" outlineLevel="0" collapsed="false">
      <c r="A90" s="2" t="s">
        <v>178</v>
      </c>
      <c r="B90" s="2" t="s">
        <v>176</v>
      </c>
      <c r="C90" s="7" t="s">
        <v>179</v>
      </c>
      <c r="D90" s="2" t="n">
        <v>2</v>
      </c>
      <c r="E90" s="5" t="str">
        <f aca="false">IF(COUNTIF('M17 RIEGL'!F16:F20,"CHECK")&gt;0,"CHECK",IF(COUNTIF('M17 RIEGL'!F16:F20,"OK")&gt;0,"OK","no book values"))</f>
        <v>OK</v>
      </c>
    </row>
    <row r="91" customFormat="false" ht="15" hidden="false" customHeight="false" outlineLevel="0" collapsed="false">
      <c r="A91" s="2" t="s">
        <v>180</v>
      </c>
      <c r="B91" s="2" t="s">
        <v>176</v>
      </c>
      <c r="C91" s="7" t="s">
        <v>181</v>
      </c>
      <c r="D91" s="2" t="n">
        <v>6</v>
      </c>
      <c r="E91" s="5" t="str">
        <f aca="false">IF(COUNTIF('M17 RIEGL'!F22:F33,"CHECK")&gt;0,"CHECK",IF(COUNTIF('M17 RIEGL'!F22:F33,"OK")&gt;0,"OK","no book values"))</f>
        <v>OK</v>
      </c>
    </row>
    <row r="92" customFormat="false" ht="15" hidden="false" customHeight="false" outlineLevel="0" collapsed="false">
      <c r="A92" s="2" t="s">
        <v>182</v>
      </c>
      <c r="B92" s="2" t="s">
        <v>183</v>
      </c>
      <c r="C92" s="7" t="s">
        <v>184</v>
      </c>
      <c r="D92" s="2" t="n">
        <v>4</v>
      </c>
      <c r="E92" s="5" t="str">
        <f aca="false">IF(COUNTIF('M18 Processing'!F6:F20,"CHECK")&gt;0,"CHECK",IF(COUNTIF('M18 Processing'!F6:F20,"OK")&gt;0,"OK","no book values"))</f>
        <v>OK</v>
      </c>
    </row>
    <row r="93" customFormat="false" ht="15" hidden="false" customHeight="false" outlineLevel="0" collapsed="false">
      <c r="A93" s="2" t="s">
        <v>185</v>
      </c>
      <c r="B93" s="2" t="s">
        <v>183</v>
      </c>
      <c r="C93" s="7" t="s">
        <v>186</v>
      </c>
      <c r="D93" s="2" t="n">
        <v>4</v>
      </c>
      <c r="E93" s="5" t="str">
        <f aca="false">IF(COUNTIF('M18 Processing'!F22:F37,"CHECK")&gt;0,"CHECK",IF(COUNTIF('M18 Processing'!F22:F37,"OK")&gt;0,"OK","no book values"))</f>
        <v>OK</v>
      </c>
    </row>
    <row r="94" customFormat="false" ht="15" hidden="false" customHeight="false" outlineLevel="0" collapsed="false">
      <c r="A94" s="2" t="s">
        <v>187</v>
      </c>
      <c r="B94" s="2" t="s">
        <v>188</v>
      </c>
      <c r="C94" s="7" t="s">
        <v>189</v>
      </c>
      <c r="D94" s="2" t="n">
        <v>2</v>
      </c>
      <c r="E94" s="5" t="str">
        <f aca="false">IF(COUNTIF('M19 Florida'!F6:F12,"CHECK")&gt;0,"CHECK",IF(COUNTIF('M19 Florida'!F6:F12,"OK")&gt;0,"OK","no book values"))</f>
        <v>OK</v>
      </c>
    </row>
    <row r="95" customFormat="false" ht="15" hidden="false" customHeight="false" outlineLevel="0" collapsed="false">
      <c r="A95" s="2" t="s">
        <v>190</v>
      </c>
      <c r="B95" s="2" t="s">
        <v>188</v>
      </c>
      <c r="C95" s="7" t="s">
        <v>191</v>
      </c>
      <c r="D95" s="2" t="n">
        <v>5</v>
      </c>
      <c r="E95" s="5" t="str">
        <f aca="false">IF(COUNTIF('M19 Florida'!F14:F21,"CHECK")&gt;0,"CHECK",IF(COUNTIF('M19 Florida'!F14:F21,"OK")&gt;0,"OK","no book values"))</f>
        <v>OK</v>
      </c>
    </row>
    <row r="96" customFormat="false" ht="15" hidden="false" customHeight="false" outlineLevel="0" collapsed="false">
      <c r="A96" s="2" t="s">
        <v>192</v>
      </c>
      <c r="B96" s="2" t="s">
        <v>193</v>
      </c>
      <c r="C96" s="7" t="s">
        <v>194</v>
      </c>
      <c r="D96" s="2" t="n">
        <v>7</v>
      </c>
      <c r="E96" s="5" t="str">
        <f aca="false">IF(COUNTIF('M20 Practice'!F6:F22,"CHECK")&gt;0,"CHECK",IF(COUNTIF('M20 Practice'!F6:F22,"OK")&gt;0,"OK","no book values"))</f>
        <v>OK</v>
      </c>
    </row>
    <row r="97" customFormat="false" ht="15" hidden="false" customHeight="false" outlineLevel="0" collapsed="false">
      <c r="A97" s="2" t="s">
        <v>195</v>
      </c>
      <c r="B97" s="2" t="s">
        <v>196</v>
      </c>
      <c r="C97" s="7" t="s">
        <v>197</v>
      </c>
      <c r="D97" s="2" t="n">
        <v>3</v>
      </c>
      <c r="E97" s="5" t="str">
        <f aca="false">IF(COUNTIF('M21 Capstone'!F6:F14,"CHECK")&gt;0,"CHECK",IF(COUNTIF('M21 Capstone'!F6:F14,"OK")&gt;0,"OK","no book values"))</f>
        <v>OK</v>
      </c>
    </row>
    <row r="98" customFormat="false" ht="15" hidden="false" customHeight="false" outlineLevel="0" collapsed="false">
      <c r="A98" s="2" t="s">
        <v>198</v>
      </c>
      <c r="B98" s="2" t="s">
        <v>196</v>
      </c>
      <c r="C98" s="7" t="s">
        <v>199</v>
      </c>
      <c r="D98" s="2" t="n">
        <v>3</v>
      </c>
      <c r="E98" s="5" t="str">
        <f aca="false">IF(COUNTIF('M21 Capstone'!F16:F24,"CHECK")&gt;0,"CHECK",IF(COUNTIF('M21 Capstone'!F16:F24,"OK")&gt;0,"OK","no book values"))</f>
        <v>OK</v>
      </c>
    </row>
    <row r="99" customFormat="false" ht="15" hidden="false" customHeight="false" outlineLevel="0" collapsed="false">
      <c r="A99" s="2" t="s">
        <v>200</v>
      </c>
      <c r="B99" s="2" t="s">
        <v>196</v>
      </c>
      <c r="C99" s="7" t="s">
        <v>201</v>
      </c>
      <c r="D99" s="2" t="n">
        <v>2</v>
      </c>
      <c r="E99" s="5" t="str">
        <f aca="false">IF(COUNTIF('M21 Capstone'!F26:F33,"CHECK")&gt;0,"CHECK",IF(COUNTIF('M21 Capstone'!F26:F33,"OK")&gt;0,"OK","no book values"))</f>
        <v>OK</v>
      </c>
    </row>
    <row r="100" customFormat="false" ht="15" hidden="false" customHeight="false" outlineLevel="0" collapsed="false">
      <c r="A100" s="2" t="s">
        <v>202</v>
      </c>
      <c r="B100" s="2" t="s">
        <v>196</v>
      </c>
      <c r="C100" s="7" t="s">
        <v>203</v>
      </c>
      <c r="D100" s="2" t="n">
        <v>3</v>
      </c>
      <c r="E100" s="5" t="str">
        <f aca="false">IF(COUNTIF('M21 Capstone'!F35:F47,"CHECK")&gt;0,"CHECK",IF(COUNTIF('M21 Capstone'!F35:F47,"OK")&gt;0,"OK","no book values"))</f>
        <v>OK</v>
      </c>
    </row>
    <row r="101" customFormat="false" ht="15" hidden="false" customHeight="false" outlineLevel="0" collapsed="false">
      <c r="A101" s="2" t="s">
        <v>204</v>
      </c>
      <c r="B101" s="2" t="s">
        <v>196</v>
      </c>
      <c r="C101" s="7" t="s">
        <v>205</v>
      </c>
      <c r="D101" s="2" t="n">
        <v>2</v>
      </c>
      <c r="E101" s="5" t="str">
        <f aca="false">IF(COUNTIF('M21 Capstone'!F49:F56,"CHECK")&gt;0,"CHECK",IF(COUNTIF('M21 Capstone'!F49:F56,"OK")&gt;0,"OK","no book values"))</f>
        <v>OK</v>
      </c>
    </row>
    <row r="102" customFormat="false" ht="15" hidden="false" customHeight="false" outlineLevel="0" collapsed="false">
      <c r="A102" s="2" t="s">
        <v>206</v>
      </c>
      <c r="B102" s="2" t="s">
        <v>196</v>
      </c>
      <c r="C102" s="7" t="s">
        <v>207</v>
      </c>
      <c r="D102" s="2" t="n">
        <v>3</v>
      </c>
      <c r="E102" s="5" t="str">
        <f aca="false">IF(COUNTIF('M21 Capstone'!F58:F67,"CHECK")&gt;0,"CHECK",IF(COUNTIF('M21 Capstone'!F58:F67,"OK")&gt;0,"OK","no book values"))</f>
        <v>OK</v>
      </c>
    </row>
    <row r="103" customFormat="false" ht="15" hidden="false" customHeight="false" outlineLevel="0" collapsed="false">
      <c r="A103" s="2" t="s">
        <v>208</v>
      </c>
      <c r="B103" s="2" t="s">
        <v>209</v>
      </c>
      <c r="C103" s="7" t="s">
        <v>210</v>
      </c>
      <c r="D103" s="2" t="n">
        <v>14</v>
      </c>
      <c r="E103" s="5" t="str">
        <f aca="false">IF(COUNTIF(Dataset!F36:F54,"CHECK")&gt;0,"CHECK",IF(COUNTIF(Dataset!F36:F54,"OK")&gt;0,"OK","no book values"))</f>
        <v>OK</v>
      </c>
    </row>
  </sheetData>
  <mergeCells count="7">
    <mergeCell ref="A4:E4"/>
    <mergeCell ref="A5:E5"/>
    <mergeCell ref="A6:E6"/>
    <mergeCell ref="A7:E7"/>
    <mergeCell ref="A8:E8"/>
    <mergeCell ref="A9:E9"/>
    <mergeCell ref="A10:E10"/>
  </mergeCells>
  <hyperlinks>
    <hyperlink ref="C18" r:id="rId1" location="'M02%20Math'!A6" display="multiplying with powers of ten"/>
    <hyperlink ref="C19" r:id="rId2" location="'M02%20Math'!A12" display="a tiny angle at a long range"/>
    <hyperlink ref="C20" r:id="rId3" location="'M02%20Math'!A20" display="a 3-4-5 triangle"/>
    <hyperlink ref="C21" r:id="rId4" location="'M02%20Math'!A28" display="dot and cross products"/>
    <hyperlink ref="C22" r:id="rId5" location="'M02%20Math'!A44" display="matrix times vector"/>
    <hyperlink ref="C23" r:id="rId6" location="'M02%20Math'!A62" display="five elevation errors"/>
    <hyperlink ref="C24" r:id="rId7" location="'M03%20Time%20of%20Flight'!A6" display="range from a 400 ns echo"/>
    <hyperlink ref="C25" r:id="rId8" location="'M03%20Time%20of%20Flight'!A16" display="how fast can we fire?"/>
    <hyperlink ref="C26" r:id="rId9" location="'M03%20Time%20of%20Flight'!A24" display="phase measurement"/>
    <hyperlink ref="C27" r:id="rId10" location="'M04%20Beam'!A6" display="spot size at 50 m and 100 m"/>
    <hyperlink ref="C28" r:id="rId11" location="'M04%20Beam'!A15" display="comparing two targets"/>
    <hyperlink ref="C29" r:id="rId12" location="'M04%20Beam'!A26" display="how far can I see dark asphalt?"/>
    <hyperlink ref="C30" r:id="rId13" location="'M05%20Polar'!A6" display="one laser return to sensor coordinates"/>
    <hyperlink ref="C31" r:id="rId14" location="'M05%20Polar'!A17" display="planning a corridor survey"/>
    <hyperlink ref="C32" r:id="rId15" location="'M06%20Rotation'!A6" display="checking a frame with the cross product"/>
    <hyperlink ref="C33" r:id="rId16" location="'M06%20Rotation'!A19" display="rotate (3, 4) by 30°"/>
    <hyperlink ref="C34" r:id="rId17" location="'M06%20Rotation'!A27" display="one gyro step"/>
    <hyperlink ref="C35" r:id="rId18" location="'M06%20Rotation'!A38" display="0.05° heading error at 80 m"/>
    <hyperlink ref="C36" r:id="rId19" location="'M07%20IMU'!A6" display="one strapdown step along a road"/>
    <hyperlink ref="C37" r:id="rId20" location="'M07%20IMU'!A19" display="tactical IMU coasting through a tunnel"/>
    <hyperlink ref="C38" r:id="rId21" location="'M07%20IMU'!A35" display="0.1° tilt error"/>
    <hyperlink ref="C39" r:id="rId22" location="'M07%20IMU'!A43" display="preintegration in one dimension"/>
    <hyperlink ref="C40" r:id="rId23" location="'M08%20Timing'!A6" display="a 1 ms clock offset"/>
    <hyperlink ref="C41" r:id="rId24" location="'M08%20Timing'!A16" display="how big is the skew?"/>
    <hyperlink ref="C42" r:id="rId25" location="'M09%20Calibration'!A6" display="boresight residual at mapping range"/>
    <hyperlink ref="C43" r:id="rId26" location="'M09%20Calibration'!A13" display="direct georeferencing, every step"/>
    <hyperlink ref="C44" r:id="rId27" location="'M10%20SLAM'!A6" display="predicting the next pose"/>
    <hyperlink ref="C45" r:id="rId28" location="'M10%20SLAM'!A22" display="1-D Kalman update"/>
    <hyperlink ref="C46" r:id="rId29" location="'M10%20SLAM'!A35" display="EKF prediction for our motion"/>
    <hyperlink ref="C47" r:id="rId30" location="'M10%20SLAM'!A61" display="EKF correction with a pole at (25, 8)"/>
    <hyperlink ref="C48" r:id="rId31" location="'M11%20Scan%20Matching'!A6" display="best fit of four matched points (with continuation)"/>
    <hyperlink ref="C49" r:id="rId32" location="'M11%20Scan%20Matching'!A38" display="edge or plane?"/>
    <hyperlink ref="C50" r:id="rId33" location="'M11%20Scan%20Matching'!A54" display="edge and plane distances"/>
    <hyperlink ref="C51" r:id="rId34" location="'M12%20Factor%20Graphs'!A6" display="1-D pose graph with a GPS misclosure"/>
    <hyperlink ref="C52" r:id="rId35" location="'M12%20Factor%20Graphs'!A24" display="giving a camera image its pose"/>
    <hyperlink ref="C53" r:id="rId36" location="'M12%20Factor%20Graphs'!A40" display="why the camera needs calibration and timing too"/>
    <hyperlink ref="C54" r:id="rId37" location="'M13%20Accuracy'!A6" display="vertical accuracy from ten checkpoints"/>
    <hyperlink ref="C55" r:id="rId38" location="'M13%20Accuracy'!A26" display="horizontal accuracy"/>
    <hyperlink ref="C56" r:id="rId39" location="'M14%20Error%20Budgets'!A6" display="height of a ground point seen by a scanner"/>
    <hyperlink ref="C57" r:id="rId40" location="'M14%20Error%20Budgets'!A22" display="curb height from one sensor — correlation helps"/>
    <hyperlink ref="C58" r:id="rId41" location="'M14%20Error%20Budgets'!A34" display="the error ellipsoid of one laser point"/>
    <hyperlink ref="C59" r:id="rId42" location="'M14%20Error%20Budgets'!A70" display="full error budget of a backpack point at 20 m"/>
    <hyperlink ref="C60" r:id="rId43" location="'M14%20Error%20Budgets'!A95" display="Monte Carlo check of the 20 m budget"/>
    <hyperlink ref="C61" r:id="rId44" location="'M14%20Error%20Budgets'!A101" display="fitting a plane to a target"/>
    <hyperlink ref="C62" r:id="rId45" location="'M14%20Error%20Budgets'!A109" display="stockpile volume error"/>
    <hyperlink ref="C63" r:id="rId46" location="'M14%20Error%20Budgets'!A121" display="RSS budget for a 5 cm (0.16 ft, 1σ) job"/>
    <hyperlink ref="C64" r:id="rId47" location="'M14%20Error%20Budgets'!A138" display="what accuracy can an OS0 backpack deliver?"/>
    <hyperlink ref="C65" r:id="rId48" location="'M14%20Error%20Budgets'!A157" display="georeferencing an OS0 point with the GX5-45 alone"/>
    <hyperlink ref="C66" r:id="rId49" location="'M14%20Error%20Budgets'!A169" display="the same point with the GQ7 and RTK"/>
    <hyperlink ref="C67" r:id="rId50" location="'M14%20Error%20Budgets'!A180" display="RiLOC-F, Case A — nadir return from 500 ft AGL"/>
    <hyperlink ref="C68" r:id="rId51" location="'M14%20Error%20Budgets'!A200" display="RiLOC-F, Case B — 500 ft slant return at the 37.5° edge"/>
    <hyperlink ref="C69" r:id="rId52" location="'M14%20Error%20Budgets'!A212" display="what ground control and strip adjustment buy you"/>
    <hyperlink ref="C70" r:id="rId53" location="'M14%20Error%20Budgets'!A225" display="capstone vertical error budget, 3 cm (0.10 ft) specification"/>
    <hyperlink ref="C71" r:id="rId54" location="'M15%20Ouster%20OS0'!A6" display="spacing on a building face"/>
    <hyperlink ref="C72" r:id="rId55" location="'M15%20Ouster%20OS0'!A19" display="does 4096 mode make the map sharper?"/>
    <hyperlink ref="C73" r:id="rId56" location="'M15%20Ouster%20OS0'!A30" display="does the data profile matter?"/>
    <hyperlink ref="C74" r:id="rId57" location="'M15%20Ouster%20OS0'!A40" display="total range error on dark asphalt"/>
    <hyperlink ref="C75" r:id="rId58" location="'M15%20Ouster%20OS0'!A53" display="the ±0.01° encoder spec"/>
    <hyperlink ref="C76" r:id="rId59" location="'M15%20Ouster%20OS0'!A60" display="why the OS0 must be synchronized"/>
    <hyperlink ref="C77" r:id="rId60" location="'M15%20Ouster%20OS0'!A76" display="scan skew inside one rotation"/>
    <hyperlink ref="C78" r:id="rId61" location="'M15%20Ouster%20OS0'!A89" display="interior as-built of a mechanical room"/>
    <hyperlink ref="C79" r:id="rId62" location="'M16%20GX5-GQ7'!A6" display="the GX5's random walks"/>
    <hyperlink ref="C80" r:id="rId63" location="'M16%20GX5-GQ7'!A17" display="Block Loop Run 1 — a traverse that closes perfectly and is still wrong"/>
    <hyperlink ref="C81" r:id="rId64" location="'M16%20GX5-GQ7'!A52" display="a local magnetic disturbance (Run 2) and the compass rule"/>
    <hyperlink ref="C82" r:id="rId65" location="'M16%20GX5-GQ7'!A86" display="what does a typical lap look like? (hand check)"/>
    <hyperlink ref="C83" r:id="rId66" location="'M16%20GX5-GQ7'!A94" display="could the IMU alone drive the loop?"/>
    <hyperlink ref="C84" r:id="rId67" location="'M16%20GX5-GQ7'!A113" display="GX5-45 EKF: bounded, but meter-level"/>
    <hyperlink ref="C85" r:id="rId68" location="'M16%20GX5-GQ7'!A130" display="dual-antenna heading on a backpack versus a truck"/>
    <hyperlink ref="C86" r:id="rId69" location="'M16%20GX5-GQ7'!A140" display="single baseline versus VRS"/>
    <hyperlink ref="C87" r:id="rId70" location="'M16%20GX5-GQ7'!A149" display="RTK traverse: centimeters instead of meters"/>
    <hyperlink ref="C88" r:id="rId71" location="'M16%20GX5-GQ7'!A160" display="20 s and 60 s outages"/>
    <hyperlink ref="C89" r:id="rId72" location="'M17%20RIEGL'!A6" display="multiple-time-around (MTA) at 2400 kHz"/>
    <hyperlink ref="C90" r:id="rId73" location="'M17%20RIEGL'!A16" display="atmospheric correction"/>
    <hyperlink ref="C91" r:id="rId74" location="'M17%20RIEGL'!A22" display="point density at 500 ft"/>
    <hyperlink ref="C92" r:id="rId75" location="'M18%20Processing'!A6" display="statistical outlier removal (SOR) on eight points"/>
    <hyperlink ref="C93" r:id="rId76" location="'M18%20Processing'!A22" display="stockpile volume"/>
    <hyperlink ref="C94" r:id="rId77" location="'M19%20Florida'!A6" display="sealing a 40-tile LAZ delivery with a signature file"/>
    <hyperlink ref="C95" r:id="rId78" location="'M19%20Florida'!A14" display="why the foot matters"/>
    <hyperlink ref="C96" r:id="rId79" location="'M20%20Practice'!A6" display="can the RIEGL case study be flown by drone?"/>
    <hyperlink ref="C97" r:id="rId80" location="'M21%20Capstone'!A6" display="drive speed from point spacing"/>
    <hyperlink ref="C98" r:id="rId81" location="'M21%20Capstone'!A16" display="the underpass: how bad is an unaided IMU?"/>
    <hyperlink ref="C99" r:id="rId82" location="'M21%20Capstone'!A26" display="timing and calibration checks"/>
    <hyperlink ref="C100" r:id="rId83" location="'M21%20Capstone'!A35" display="vertical error budget (full budget in Module 14)"/>
    <hyperlink ref="C101" r:id="rId84" location="'M21%20Capstone'!A49" display="control and checkpoint layout"/>
    <hyperlink ref="C102" r:id="rId85" location="'M21%20Capstone'!A58" display="the accuracy results"/>
    <hyperlink ref="C103" r:id="rId86" location="'Dataset'!A36" display="sample project: 30 checkpoints and accuracy repor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211</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222</v>
      </c>
      <c r="B6" s="11"/>
      <c r="C6" s="11"/>
      <c r="D6" s="11"/>
      <c r="E6" s="11"/>
      <c r="F6" s="11"/>
      <c r="G6" s="11"/>
      <c r="H6" s="11"/>
      <c r="I6" s="11"/>
    </row>
    <row r="7" customFormat="false" ht="15" hidden="false" customHeight="true" outlineLevel="0" collapsed="false">
      <c r="A7" s="12" t="s">
        <v>223</v>
      </c>
      <c r="B7" s="12"/>
      <c r="C7" s="12"/>
      <c r="D7" s="12"/>
      <c r="E7" s="12"/>
      <c r="F7" s="12"/>
      <c r="G7" s="12"/>
      <c r="H7" s="12"/>
      <c r="I7" s="12"/>
    </row>
    <row r="8" customFormat="false" ht="15" hidden="false" customHeight="false" outlineLevel="0" collapsed="false">
      <c r="A8" s="13" t="s">
        <v>224</v>
      </c>
      <c r="B8" s="14" t="n">
        <v>299700000</v>
      </c>
      <c r="C8" s="15" t="s">
        <v>225</v>
      </c>
      <c r="D8" s="16" t="s">
        <v>226</v>
      </c>
      <c r="E8" s="17"/>
      <c r="F8" s="17"/>
      <c r="G8" s="18" t="n">
        <f aca="false">B8/0.3048</f>
        <v>983267716.535433</v>
      </c>
      <c r="H8" s="17"/>
      <c r="I8" s="19"/>
    </row>
    <row r="9" customFormat="false" ht="15" hidden="false" customHeight="false" outlineLevel="0" collapsed="false">
      <c r="A9" s="13" t="s">
        <v>227</v>
      </c>
      <c r="B9" s="14" t="n">
        <v>4E-007</v>
      </c>
      <c r="C9" s="15" t="s">
        <v>228</v>
      </c>
      <c r="D9" s="16" t="s">
        <v>226</v>
      </c>
      <c r="E9" s="17"/>
      <c r="F9" s="17"/>
      <c r="G9" s="17"/>
      <c r="H9" s="17"/>
      <c r="I9" s="19"/>
    </row>
    <row r="10" customFormat="false" ht="15" hidden="false" customHeight="false" outlineLevel="0" collapsed="false">
      <c r="A10" s="13" t="s">
        <v>229</v>
      </c>
      <c r="B10" s="20" t="n">
        <f aca="false">$B$8*$B$9</f>
        <v>119.88</v>
      </c>
      <c r="C10" s="15" t="s">
        <v>230</v>
      </c>
      <c r="D10" s="21" t="s">
        <v>231</v>
      </c>
      <c r="E10" s="15" t="n">
        <v>119.88</v>
      </c>
      <c r="F10" s="22" t="str">
        <f aca="false">IF(ABS(B10-E10)&lt;=H10,"OK","CHECK")</f>
        <v>OK</v>
      </c>
      <c r="G10" s="23" t="n">
        <f aca="false">B10/0.3048</f>
        <v>393.307086614173</v>
      </c>
      <c r="H10" s="24" t="n">
        <v>0.005</v>
      </c>
      <c r="I10" s="19"/>
    </row>
    <row r="11" customFormat="false" ht="15" hidden="false" customHeight="false" outlineLevel="0" collapsed="false">
      <c r="A11" s="2"/>
      <c r="B11" s="2"/>
      <c r="C11" s="2"/>
      <c r="D11" s="2"/>
      <c r="E11" s="2"/>
      <c r="F11" s="2"/>
      <c r="G11" s="2"/>
      <c r="H11" s="2"/>
      <c r="I11" s="2"/>
    </row>
    <row r="12" customFormat="false" ht="15" hidden="false" customHeight="false" outlineLevel="0" collapsed="false">
      <c r="A12" s="10" t="s">
        <v>232</v>
      </c>
      <c r="B12" s="11"/>
      <c r="C12" s="11"/>
      <c r="D12" s="11"/>
      <c r="E12" s="11"/>
      <c r="F12" s="11"/>
      <c r="G12" s="11"/>
      <c r="H12" s="11"/>
      <c r="I12" s="11"/>
    </row>
    <row r="13" customFormat="false" ht="15" hidden="false" customHeight="true" outlineLevel="0" collapsed="false">
      <c r="A13" s="12" t="s">
        <v>233</v>
      </c>
      <c r="B13" s="12"/>
      <c r="C13" s="12"/>
      <c r="D13" s="12"/>
      <c r="E13" s="12"/>
      <c r="F13" s="12"/>
      <c r="G13" s="12"/>
      <c r="H13" s="12"/>
      <c r="I13" s="12"/>
    </row>
    <row r="14" customFormat="false" ht="15" hidden="false" customHeight="false" outlineLevel="0" collapsed="false">
      <c r="A14" s="13" t="s">
        <v>234</v>
      </c>
      <c r="B14" s="14" t="n">
        <v>20</v>
      </c>
      <c r="C14" s="15" t="s">
        <v>235</v>
      </c>
      <c r="D14" s="16" t="s">
        <v>226</v>
      </c>
      <c r="E14" s="17"/>
      <c r="F14" s="17"/>
      <c r="G14" s="17"/>
      <c r="H14" s="17"/>
      <c r="I14" s="19"/>
    </row>
    <row r="15" customFormat="false" ht="15" hidden="false" customHeight="false" outlineLevel="0" collapsed="false">
      <c r="A15" s="13" t="s">
        <v>236</v>
      </c>
      <c r="B15" s="14" t="n">
        <v>100</v>
      </c>
      <c r="C15" s="15" t="s">
        <v>230</v>
      </c>
      <c r="D15" s="16" t="s">
        <v>226</v>
      </c>
      <c r="E15" s="17"/>
      <c r="F15" s="17"/>
      <c r="G15" s="23" t="n">
        <f aca="false">B15/0.3048</f>
        <v>328.083989501312</v>
      </c>
      <c r="H15" s="17"/>
      <c r="I15" s="19"/>
    </row>
    <row r="16" customFormat="false" ht="15" hidden="false" customHeight="false" outlineLevel="0" collapsed="false">
      <c r="A16" s="13" t="s">
        <v>237</v>
      </c>
      <c r="B16" s="25" t="n">
        <f aca="false">$B$14/3600</f>
        <v>0.00555555555555556</v>
      </c>
      <c r="C16" s="15" t="s">
        <v>238</v>
      </c>
      <c r="D16" s="21" t="s">
        <v>239</v>
      </c>
      <c r="E16" s="15" t="n">
        <v>0.005556</v>
      </c>
      <c r="F16" s="22" t="str">
        <f aca="false">IF(ABS(B16-E16)&lt;=H16,"OK","CHECK")</f>
        <v>OK</v>
      </c>
      <c r="G16" s="17"/>
      <c r="H16" s="24" t="n">
        <v>1E-006</v>
      </c>
      <c r="I16" s="19"/>
    </row>
    <row r="17" customFormat="false" ht="15" hidden="false" customHeight="false" outlineLevel="0" collapsed="false">
      <c r="A17" s="13" t="s">
        <v>240</v>
      </c>
      <c r="B17" s="26" t="n">
        <f aca="false">RADIANS($B$16)</f>
        <v>9.69627362219072E-005</v>
      </c>
      <c r="C17" s="15" t="s">
        <v>241</v>
      </c>
      <c r="D17" s="21" t="s">
        <v>242</v>
      </c>
      <c r="E17" s="15" t="n">
        <v>9.7E-005</v>
      </c>
      <c r="F17" s="22" t="str">
        <f aca="false">IF(ABS(B17-E17)&lt;=H17,"OK","CHECK")</f>
        <v>OK</v>
      </c>
      <c r="G17" s="17"/>
      <c r="H17" s="24" t="n">
        <v>5E-007</v>
      </c>
      <c r="I17" s="19"/>
    </row>
    <row r="18" customFormat="false" ht="15" hidden="false" customHeight="false" outlineLevel="0" collapsed="false">
      <c r="A18" s="13" t="s">
        <v>243</v>
      </c>
      <c r="B18" s="27" t="n">
        <f aca="false">$B$15*$B$17</f>
        <v>0.00969627362219072</v>
      </c>
      <c r="C18" s="15" t="s">
        <v>230</v>
      </c>
      <c r="D18" s="21" t="s">
        <v>244</v>
      </c>
      <c r="E18" s="15" t="n">
        <v>0.0097</v>
      </c>
      <c r="F18" s="22" t="str">
        <f aca="false">IF(ABS(B18-E18)&lt;=H18,"OK","CHECK")</f>
        <v>OK</v>
      </c>
      <c r="G18" s="23" t="n">
        <f aca="false">B18/0.3048</f>
        <v>0.0318119213326467</v>
      </c>
      <c r="H18" s="24" t="n">
        <v>5E-005</v>
      </c>
      <c r="I18" s="19"/>
    </row>
    <row r="19" customFormat="false" ht="15" hidden="false" customHeight="false" outlineLevel="0" collapsed="false">
      <c r="A19" s="2"/>
      <c r="B19" s="2"/>
      <c r="C19" s="2"/>
      <c r="D19" s="2"/>
      <c r="E19" s="2"/>
      <c r="F19" s="2"/>
      <c r="G19" s="2"/>
      <c r="H19" s="2"/>
      <c r="I19" s="2"/>
    </row>
    <row r="20" customFormat="false" ht="15" hidden="false" customHeight="false" outlineLevel="0" collapsed="false">
      <c r="A20" s="10" t="s">
        <v>245</v>
      </c>
      <c r="B20" s="11"/>
      <c r="C20" s="11"/>
      <c r="D20" s="11"/>
      <c r="E20" s="11"/>
      <c r="F20" s="11"/>
      <c r="G20" s="11"/>
      <c r="H20" s="11"/>
      <c r="I20" s="11"/>
    </row>
    <row r="21" customFormat="false" ht="15" hidden="false" customHeight="true" outlineLevel="0" collapsed="false">
      <c r="A21" s="12" t="s">
        <v>246</v>
      </c>
      <c r="B21" s="12"/>
      <c r="C21" s="12"/>
      <c r="D21" s="12"/>
      <c r="E21" s="12"/>
      <c r="F21" s="12"/>
      <c r="G21" s="12"/>
      <c r="H21" s="12"/>
      <c r="I21" s="12"/>
    </row>
    <row r="22" customFormat="false" ht="15" hidden="false" customHeight="false" outlineLevel="0" collapsed="false">
      <c r="A22" s="13" t="s">
        <v>247</v>
      </c>
      <c r="B22" s="14" t="n">
        <v>5</v>
      </c>
      <c r="C22" s="15" t="s">
        <v>230</v>
      </c>
      <c r="D22" s="16" t="s">
        <v>226</v>
      </c>
      <c r="E22" s="17"/>
      <c r="F22" s="17"/>
      <c r="G22" s="23" t="n">
        <f aca="false">B22/0.3048</f>
        <v>16.4041994750656</v>
      </c>
      <c r="H22" s="17"/>
      <c r="I22" s="19"/>
    </row>
    <row r="23" customFormat="false" ht="15" hidden="false" customHeight="false" outlineLevel="0" collapsed="false">
      <c r="A23" s="13" t="s">
        <v>248</v>
      </c>
      <c r="B23" s="14" t="n">
        <v>36.87</v>
      </c>
      <c r="C23" s="15" t="s">
        <v>238</v>
      </c>
      <c r="D23" s="16" t="s">
        <v>226</v>
      </c>
      <c r="E23" s="17"/>
      <c r="F23" s="17"/>
      <c r="G23" s="17"/>
      <c r="H23" s="17"/>
      <c r="I23" s="19"/>
    </row>
    <row r="24" customFormat="false" ht="15" hidden="false" customHeight="false" outlineLevel="0" collapsed="false">
      <c r="A24" s="13" t="s">
        <v>249</v>
      </c>
      <c r="B24" s="20" t="n">
        <f aca="false">$B$22*COS(RADIANS($B$23))</f>
        <v>3.99999464074254</v>
      </c>
      <c r="C24" s="15" t="s">
        <v>230</v>
      </c>
      <c r="D24" s="21" t="s">
        <v>250</v>
      </c>
      <c r="E24" s="15" t="n">
        <v>4</v>
      </c>
      <c r="F24" s="22" t="str">
        <f aca="false">IF(ABS(B24-E24)&lt;=H24,"OK","CHECK")</f>
        <v>OK</v>
      </c>
      <c r="G24" s="23" t="n">
        <f aca="false">B24/0.3048</f>
        <v>13.1233419971868</v>
      </c>
      <c r="H24" s="24" t="n">
        <v>0.0005</v>
      </c>
      <c r="I24" s="19"/>
    </row>
    <row r="25" customFormat="false" ht="15" hidden="false" customHeight="false" outlineLevel="0" collapsed="false">
      <c r="A25" s="13" t="s">
        <v>251</v>
      </c>
      <c r="B25" s="20" t="n">
        <f aca="false">$B$22*SIN(RADIANS($B$23))</f>
        <v>3.00000714566331</v>
      </c>
      <c r="C25" s="15" t="s">
        <v>230</v>
      </c>
      <c r="D25" s="21" t="s">
        <v>252</v>
      </c>
      <c r="E25" s="15" t="n">
        <v>3</v>
      </c>
      <c r="F25" s="22" t="str">
        <f aca="false">IF(ABS(B25-E25)&lt;=H25,"OK","CHECK")</f>
        <v>OK</v>
      </c>
      <c r="G25" s="23" t="n">
        <f aca="false">B25/0.3048</f>
        <v>9.84254312881664</v>
      </c>
      <c r="H25" s="24" t="n">
        <v>0.0005</v>
      </c>
      <c r="I25" s="19"/>
    </row>
    <row r="26" customFormat="false" ht="15" hidden="false" customHeight="false" outlineLevel="0" collapsed="false">
      <c r="A26" s="13" t="s">
        <v>253</v>
      </c>
      <c r="B26" s="20" t="n">
        <f aca="false">SQRT($B$24^2+$B$25^2)</f>
        <v>5</v>
      </c>
      <c r="C26" s="15" t="s">
        <v>230</v>
      </c>
      <c r="D26" s="21" t="s">
        <v>254</v>
      </c>
      <c r="E26" s="15" t="n">
        <v>5</v>
      </c>
      <c r="F26" s="22" t="str">
        <f aca="false">IF(ABS(B26-E26)&lt;=H26,"OK","CHECK")</f>
        <v>OK</v>
      </c>
      <c r="G26" s="23" t="n">
        <f aca="false">B26/0.3048</f>
        <v>16.4041994750656</v>
      </c>
      <c r="H26" s="24" t="n">
        <v>0.0005</v>
      </c>
      <c r="I26" s="19"/>
    </row>
    <row r="27" customFormat="false" ht="15" hidden="false" customHeight="false" outlineLevel="0" collapsed="false">
      <c r="A27" s="2"/>
      <c r="B27" s="2"/>
      <c r="C27" s="2"/>
      <c r="D27" s="2"/>
      <c r="E27" s="2"/>
      <c r="F27" s="2"/>
      <c r="G27" s="2"/>
      <c r="H27" s="2"/>
      <c r="I27" s="2"/>
    </row>
    <row r="28" customFormat="false" ht="15" hidden="false" customHeight="false" outlineLevel="0" collapsed="false">
      <c r="A28" s="10" t="s">
        <v>255</v>
      </c>
      <c r="B28" s="11"/>
      <c r="C28" s="11"/>
      <c r="D28" s="11"/>
      <c r="E28" s="11"/>
      <c r="F28" s="11"/>
      <c r="G28" s="11"/>
      <c r="H28" s="11"/>
      <c r="I28" s="11"/>
    </row>
    <row r="29" customFormat="false" ht="15" hidden="false" customHeight="true" outlineLevel="0" collapsed="false">
      <c r="A29" s="12" t="s">
        <v>256</v>
      </c>
      <c r="B29" s="12"/>
      <c r="C29" s="12"/>
      <c r="D29" s="12"/>
      <c r="E29" s="12"/>
      <c r="F29" s="12"/>
      <c r="G29" s="12"/>
      <c r="H29" s="12"/>
      <c r="I29" s="12"/>
    </row>
    <row r="30" customFormat="false" ht="15" hidden="false" customHeight="false" outlineLevel="0" collapsed="false">
      <c r="A30" s="13" t="s">
        <v>257</v>
      </c>
      <c r="B30" s="14" t="n">
        <v>1</v>
      </c>
      <c r="C30" s="15"/>
      <c r="D30" s="16" t="s">
        <v>226</v>
      </c>
      <c r="E30" s="17"/>
      <c r="F30" s="17"/>
      <c r="G30" s="17"/>
      <c r="H30" s="17"/>
      <c r="I30" s="19"/>
    </row>
    <row r="31" customFormat="false" ht="15" hidden="false" customHeight="false" outlineLevel="0" collapsed="false">
      <c r="A31" s="13" t="s">
        <v>258</v>
      </c>
      <c r="B31" s="14" t="n">
        <v>2</v>
      </c>
      <c r="C31" s="15"/>
      <c r="D31" s="16" t="s">
        <v>226</v>
      </c>
      <c r="E31" s="17"/>
      <c r="F31" s="17"/>
      <c r="G31" s="17"/>
      <c r="H31" s="17"/>
      <c r="I31" s="19"/>
    </row>
    <row r="32" customFormat="false" ht="15" hidden="false" customHeight="false" outlineLevel="0" collapsed="false">
      <c r="A32" s="13" t="s">
        <v>259</v>
      </c>
      <c r="B32" s="14" t="n">
        <v>0</v>
      </c>
      <c r="C32" s="15"/>
      <c r="D32" s="16" t="s">
        <v>226</v>
      </c>
      <c r="E32" s="17"/>
      <c r="F32" s="17"/>
      <c r="G32" s="17"/>
      <c r="H32" s="17"/>
      <c r="I32" s="19"/>
    </row>
    <row r="33" customFormat="false" ht="15" hidden="false" customHeight="false" outlineLevel="0" collapsed="false">
      <c r="A33" s="13" t="s">
        <v>260</v>
      </c>
      <c r="B33" s="14" t="n">
        <v>3</v>
      </c>
      <c r="C33" s="15"/>
      <c r="D33" s="16" t="s">
        <v>226</v>
      </c>
      <c r="E33" s="17"/>
      <c r="F33" s="17"/>
      <c r="G33" s="17"/>
      <c r="H33" s="17"/>
      <c r="I33" s="19"/>
    </row>
    <row r="34" customFormat="false" ht="15" hidden="false" customHeight="false" outlineLevel="0" collapsed="false">
      <c r="A34" s="13" t="s">
        <v>261</v>
      </c>
      <c r="B34" s="14" t="n">
        <v>0</v>
      </c>
      <c r="C34" s="15"/>
      <c r="D34" s="16" t="s">
        <v>226</v>
      </c>
      <c r="E34" s="17"/>
      <c r="F34" s="17"/>
      <c r="G34" s="17"/>
      <c r="H34" s="17"/>
      <c r="I34" s="19"/>
    </row>
    <row r="35" customFormat="false" ht="15" hidden="false" customHeight="false" outlineLevel="0" collapsed="false">
      <c r="A35" s="13" t="s">
        <v>262</v>
      </c>
      <c r="B35" s="14" t="n">
        <v>0</v>
      </c>
      <c r="C35" s="15"/>
      <c r="D35" s="16" t="s">
        <v>226</v>
      </c>
      <c r="E35" s="17"/>
      <c r="F35" s="17"/>
      <c r="G35" s="17"/>
      <c r="H35" s="17"/>
      <c r="I35" s="19"/>
    </row>
    <row r="36" customFormat="false" ht="15" hidden="false" customHeight="false" outlineLevel="0" collapsed="false">
      <c r="A36" s="13" t="s">
        <v>263</v>
      </c>
      <c r="B36" s="28" t="n">
        <f aca="false">$B$30*$B$33+$B$31*$B$34+$B$32*$B$35</f>
        <v>3</v>
      </c>
      <c r="C36" s="15"/>
      <c r="D36" s="21" t="s">
        <v>264</v>
      </c>
      <c r="E36" s="15" t="n">
        <v>3</v>
      </c>
      <c r="F36" s="22" t="str">
        <f aca="false">IF(ABS(B36-E36)&lt;=H36,"OK","CHECK")</f>
        <v>OK</v>
      </c>
      <c r="G36" s="17"/>
      <c r="H36" s="24" t="n">
        <v>1E-009</v>
      </c>
      <c r="I36" s="19"/>
    </row>
    <row r="37" customFormat="false" ht="15" hidden="false" customHeight="false" outlineLevel="0" collapsed="false">
      <c r="A37" s="13" t="s">
        <v>265</v>
      </c>
      <c r="B37" s="28" t="n">
        <f aca="false">$B$31*$B$35-$B$32*$B$34</f>
        <v>0</v>
      </c>
      <c r="C37" s="15"/>
      <c r="D37" s="21" t="s">
        <v>266</v>
      </c>
      <c r="E37" s="15" t="n">
        <v>0</v>
      </c>
      <c r="F37" s="22" t="str">
        <f aca="false">IF(ABS(B37-E37)&lt;=H37,"OK","CHECK")</f>
        <v>OK</v>
      </c>
      <c r="G37" s="17"/>
      <c r="H37" s="24" t="n">
        <v>1E-009</v>
      </c>
      <c r="I37" s="19"/>
    </row>
    <row r="38" customFormat="false" ht="15" hidden="false" customHeight="false" outlineLevel="0" collapsed="false">
      <c r="A38" s="13" t="s">
        <v>267</v>
      </c>
      <c r="B38" s="28" t="n">
        <f aca="false">$B$32*$B$33-$B$30*$B$35</f>
        <v>0</v>
      </c>
      <c r="C38" s="15"/>
      <c r="D38" s="21" t="s">
        <v>268</v>
      </c>
      <c r="E38" s="15" t="n">
        <v>0</v>
      </c>
      <c r="F38" s="22" t="str">
        <f aca="false">IF(ABS(B38-E38)&lt;=H38,"OK","CHECK")</f>
        <v>OK</v>
      </c>
      <c r="G38" s="17"/>
      <c r="H38" s="24" t="n">
        <v>1E-009</v>
      </c>
      <c r="I38" s="19"/>
    </row>
    <row r="39" customFormat="false" ht="15" hidden="false" customHeight="false" outlineLevel="0" collapsed="false">
      <c r="A39" s="13" t="s">
        <v>269</v>
      </c>
      <c r="B39" s="28" t="n">
        <f aca="false">$B$30*$B$34-$B$31*$B$33</f>
        <v>-6</v>
      </c>
      <c r="C39" s="15"/>
      <c r="D39" s="21" t="s">
        <v>270</v>
      </c>
      <c r="E39" s="15" t="n">
        <v>-6</v>
      </c>
      <c r="F39" s="22" t="str">
        <f aca="false">IF(ABS(B39-E39)&lt;=H39,"OK","CHECK")</f>
        <v>OK</v>
      </c>
      <c r="G39" s="17"/>
      <c r="H39" s="24" t="n">
        <v>1E-009</v>
      </c>
      <c r="I39" s="19"/>
    </row>
    <row r="40" customFormat="false" ht="15" hidden="false" customHeight="false" outlineLevel="0" collapsed="false">
      <c r="A40" s="13" t="s">
        <v>271</v>
      </c>
      <c r="B40" s="28" t="n">
        <f aca="false">SQRT($B$37^2+$B$38^2+$B$39^2)</f>
        <v>6</v>
      </c>
      <c r="C40" s="15"/>
      <c r="D40" s="21" t="s">
        <v>272</v>
      </c>
      <c r="E40" s="15" t="n">
        <v>6</v>
      </c>
      <c r="F40" s="22" t="str">
        <f aca="false">IF(ABS(B40-E40)&lt;=H40,"OK","CHECK")</f>
        <v>OK</v>
      </c>
      <c r="G40" s="17"/>
      <c r="H40" s="24" t="n">
        <v>1E-009</v>
      </c>
      <c r="I40" s="19"/>
    </row>
    <row r="41" customFormat="false" ht="15" hidden="false" customHeight="false" outlineLevel="0" collapsed="false">
      <c r="A41" s="13" t="s">
        <v>273</v>
      </c>
      <c r="B41" s="28" t="n">
        <f aca="false">SQRT($B$33^2+$B$34^2+$B$35^2)</f>
        <v>3</v>
      </c>
      <c r="C41" s="15"/>
      <c r="D41" s="21" t="s">
        <v>274</v>
      </c>
      <c r="E41" s="15" t="n">
        <v>3</v>
      </c>
      <c r="F41" s="22" t="str">
        <f aca="false">IF(ABS(B41-E41)&lt;=H41,"OK","CHECK")</f>
        <v>OK</v>
      </c>
      <c r="G41" s="17"/>
      <c r="H41" s="24" t="n">
        <v>1E-009</v>
      </c>
      <c r="I41" s="19"/>
    </row>
    <row r="42" customFormat="false" ht="15" hidden="false" customHeight="false" outlineLevel="0" collapsed="false">
      <c r="A42" s="13" t="s">
        <v>275</v>
      </c>
      <c r="B42" s="28" t="n">
        <f aca="false">$B$40/$B$41</f>
        <v>2</v>
      </c>
      <c r="C42" s="15"/>
      <c r="D42" s="21" t="s">
        <v>276</v>
      </c>
      <c r="E42" s="15" t="n">
        <v>2</v>
      </c>
      <c r="F42" s="22" t="str">
        <f aca="false">IF(ABS(B42-E42)&lt;=H42,"OK","CHECK")</f>
        <v>OK</v>
      </c>
      <c r="G42" s="17"/>
      <c r="H42" s="24" t="n">
        <v>1E-009</v>
      </c>
      <c r="I42" s="19"/>
    </row>
    <row r="43" customFormat="false" ht="15" hidden="false" customHeight="false" outlineLevel="0" collapsed="false">
      <c r="A43" s="2"/>
      <c r="B43" s="2"/>
      <c r="C43" s="2"/>
      <c r="D43" s="2"/>
      <c r="E43" s="2"/>
      <c r="F43" s="2"/>
      <c r="G43" s="2"/>
      <c r="H43" s="2"/>
      <c r="I43" s="2"/>
    </row>
    <row r="44" customFormat="false" ht="15" hidden="false" customHeight="false" outlineLevel="0" collapsed="false">
      <c r="A44" s="10" t="s">
        <v>277</v>
      </c>
      <c r="B44" s="11"/>
      <c r="C44" s="11"/>
      <c r="D44" s="11"/>
      <c r="E44" s="11"/>
      <c r="F44" s="11"/>
      <c r="G44" s="11"/>
      <c r="H44" s="11"/>
      <c r="I44" s="11"/>
    </row>
    <row r="45" customFormat="false" ht="15" hidden="false" customHeight="true" outlineLevel="0" collapsed="false">
      <c r="A45" s="12" t="s">
        <v>278</v>
      </c>
      <c r="B45" s="12"/>
      <c r="C45" s="12"/>
      <c r="D45" s="12"/>
      <c r="E45" s="12"/>
      <c r="F45" s="12"/>
      <c r="G45" s="12"/>
      <c r="H45" s="12"/>
      <c r="I45" s="12"/>
    </row>
    <row r="46" customFormat="false" ht="15" hidden="false" customHeight="false" outlineLevel="0" collapsed="false">
      <c r="A46" s="13" t="s">
        <v>279</v>
      </c>
      <c r="B46" s="14" t="n">
        <v>2</v>
      </c>
      <c r="C46" s="15"/>
      <c r="D46" s="16" t="s">
        <v>226</v>
      </c>
      <c r="E46" s="17"/>
      <c r="F46" s="17"/>
      <c r="G46" s="17"/>
      <c r="H46" s="17"/>
      <c r="I46" s="19"/>
    </row>
    <row r="47" customFormat="false" ht="15" hidden="false" customHeight="false" outlineLevel="0" collapsed="false">
      <c r="A47" s="13" t="s">
        <v>280</v>
      </c>
      <c r="B47" s="14" t="n">
        <v>0</v>
      </c>
      <c r="C47" s="15"/>
      <c r="D47" s="16" t="s">
        <v>226</v>
      </c>
      <c r="E47" s="17"/>
      <c r="F47" s="17"/>
      <c r="G47" s="17"/>
      <c r="H47" s="17"/>
      <c r="I47" s="19"/>
    </row>
    <row r="48" customFormat="false" ht="15" hidden="false" customHeight="false" outlineLevel="0" collapsed="false">
      <c r="A48" s="13" t="s">
        <v>281</v>
      </c>
      <c r="B48" s="14" t="n">
        <v>1</v>
      </c>
      <c r="C48" s="15"/>
      <c r="D48" s="16" t="s">
        <v>226</v>
      </c>
      <c r="E48" s="17"/>
      <c r="F48" s="17"/>
      <c r="G48" s="17"/>
      <c r="H48" s="17"/>
      <c r="I48" s="19"/>
    </row>
    <row r="49" customFormat="false" ht="15" hidden="false" customHeight="false" outlineLevel="0" collapsed="false">
      <c r="A49" s="13" t="s">
        <v>282</v>
      </c>
      <c r="B49" s="14" t="n">
        <v>0</v>
      </c>
      <c r="C49" s="15"/>
      <c r="D49" s="16" t="s">
        <v>226</v>
      </c>
      <c r="E49" s="17"/>
      <c r="F49" s="17"/>
      <c r="G49" s="17"/>
      <c r="H49" s="17"/>
      <c r="I49" s="19"/>
    </row>
    <row r="50" customFormat="false" ht="15" hidden="false" customHeight="false" outlineLevel="0" collapsed="false">
      <c r="A50" s="13" t="s">
        <v>283</v>
      </c>
      <c r="B50" s="14" t="n">
        <v>1</v>
      </c>
      <c r="C50" s="15"/>
      <c r="D50" s="16" t="s">
        <v>226</v>
      </c>
      <c r="E50" s="17"/>
      <c r="F50" s="17"/>
      <c r="G50" s="17"/>
      <c r="H50" s="17"/>
      <c r="I50" s="19"/>
    </row>
    <row r="51" customFormat="false" ht="15" hidden="false" customHeight="false" outlineLevel="0" collapsed="false">
      <c r="A51" s="13" t="s">
        <v>284</v>
      </c>
      <c r="B51" s="14" t="n">
        <v>0</v>
      </c>
      <c r="C51" s="15"/>
      <c r="D51" s="16" t="s">
        <v>226</v>
      </c>
      <c r="E51" s="17"/>
      <c r="F51" s="17"/>
      <c r="G51" s="17"/>
      <c r="H51" s="17"/>
      <c r="I51" s="19"/>
    </row>
    <row r="52" customFormat="false" ht="15" hidden="false" customHeight="false" outlineLevel="0" collapsed="false">
      <c r="A52" s="13" t="s">
        <v>285</v>
      </c>
      <c r="B52" s="14" t="n">
        <v>1</v>
      </c>
      <c r="C52" s="15"/>
      <c r="D52" s="16" t="s">
        <v>226</v>
      </c>
      <c r="E52" s="17"/>
      <c r="F52" s="17"/>
      <c r="G52" s="17"/>
      <c r="H52" s="17"/>
      <c r="I52" s="19"/>
    </row>
    <row r="53" customFormat="false" ht="15" hidden="false" customHeight="false" outlineLevel="0" collapsed="false">
      <c r="A53" s="13" t="s">
        <v>286</v>
      </c>
      <c r="B53" s="14" t="n">
        <v>0</v>
      </c>
      <c r="C53" s="15"/>
      <c r="D53" s="16" t="s">
        <v>226</v>
      </c>
      <c r="E53" s="17"/>
      <c r="F53" s="17"/>
      <c r="G53" s="17"/>
      <c r="H53" s="17"/>
      <c r="I53" s="19"/>
    </row>
    <row r="54" customFormat="false" ht="15" hidden="false" customHeight="false" outlineLevel="0" collapsed="false">
      <c r="A54" s="13" t="s">
        <v>287</v>
      </c>
      <c r="B54" s="14" t="n">
        <v>3</v>
      </c>
      <c r="C54" s="15"/>
      <c r="D54" s="16" t="s">
        <v>226</v>
      </c>
      <c r="E54" s="17"/>
      <c r="F54" s="17"/>
      <c r="G54" s="17"/>
      <c r="H54" s="17"/>
      <c r="I54" s="19"/>
    </row>
    <row r="55" customFormat="false" ht="15" hidden="false" customHeight="false" outlineLevel="0" collapsed="false">
      <c r="A55" s="13" t="s">
        <v>288</v>
      </c>
      <c r="B55" s="14" t="n">
        <v>1</v>
      </c>
      <c r="C55" s="15"/>
      <c r="D55" s="16" t="s">
        <v>226</v>
      </c>
      <c r="E55" s="17"/>
      <c r="F55" s="17"/>
      <c r="G55" s="17"/>
      <c r="H55" s="17"/>
      <c r="I55" s="19"/>
    </row>
    <row r="56" customFormat="false" ht="15" hidden="false" customHeight="false" outlineLevel="0" collapsed="false">
      <c r="A56" s="13" t="s">
        <v>289</v>
      </c>
      <c r="B56" s="14" t="n">
        <v>4</v>
      </c>
      <c r="C56" s="15"/>
      <c r="D56" s="16" t="s">
        <v>226</v>
      </c>
      <c r="E56" s="17"/>
      <c r="F56" s="17"/>
      <c r="G56" s="17"/>
      <c r="H56" s="17"/>
      <c r="I56" s="19"/>
    </row>
    <row r="57" customFormat="false" ht="15" hidden="false" customHeight="false" outlineLevel="0" collapsed="false">
      <c r="A57" s="13" t="s">
        <v>290</v>
      </c>
      <c r="B57" s="14" t="n">
        <v>2</v>
      </c>
      <c r="C57" s="15"/>
      <c r="D57" s="16" t="s">
        <v>226</v>
      </c>
      <c r="E57" s="17"/>
      <c r="F57" s="17"/>
      <c r="G57" s="17"/>
      <c r="H57" s="17"/>
      <c r="I57" s="19"/>
    </row>
    <row r="58" customFormat="false" ht="15" hidden="false" customHeight="false" outlineLevel="0" collapsed="false">
      <c r="A58" s="13" t="s">
        <v>291</v>
      </c>
      <c r="B58" s="28" t="n">
        <f aca="false">$B$46*$B$55+$B$47*$B$56+$B$48*$B$57</f>
        <v>4</v>
      </c>
      <c r="C58" s="15"/>
      <c r="D58" s="21" t="s">
        <v>292</v>
      </c>
      <c r="E58" s="15" t="n">
        <v>4</v>
      </c>
      <c r="F58" s="22" t="str">
        <f aca="false">IF(ABS(B58-E58)&lt;=H58,"OK","CHECK")</f>
        <v>OK</v>
      </c>
      <c r="G58" s="17"/>
      <c r="H58" s="24" t="n">
        <v>1E-009</v>
      </c>
      <c r="I58" s="19"/>
    </row>
    <row r="59" customFormat="false" ht="15" hidden="false" customHeight="false" outlineLevel="0" collapsed="false">
      <c r="A59" s="13" t="s">
        <v>293</v>
      </c>
      <c r="B59" s="28" t="n">
        <f aca="false">$B$49*$B$55+$B$50*$B$56+$B$51*$B$57</f>
        <v>4</v>
      </c>
      <c r="C59" s="15"/>
      <c r="D59" s="21" t="s">
        <v>294</v>
      </c>
      <c r="E59" s="15" t="n">
        <v>4</v>
      </c>
      <c r="F59" s="22" t="str">
        <f aca="false">IF(ABS(B59-E59)&lt;=H59,"OK","CHECK")</f>
        <v>OK</v>
      </c>
      <c r="G59" s="17"/>
      <c r="H59" s="24" t="n">
        <v>1E-009</v>
      </c>
      <c r="I59" s="19"/>
    </row>
    <row r="60" customFormat="false" ht="15" hidden="false" customHeight="false" outlineLevel="0" collapsed="false">
      <c r="A60" s="13" t="s">
        <v>295</v>
      </c>
      <c r="B60" s="28" t="n">
        <f aca="false">$B$52*$B$55+$B$53*$B$56+$B$54*$B$57</f>
        <v>7</v>
      </c>
      <c r="C60" s="15"/>
      <c r="D60" s="21" t="s">
        <v>296</v>
      </c>
      <c r="E60" s="15" t="n">
        <v>7</v>
      </c>
      <c r="F60" s="22" t="str">
        <f aca="false">IF(ABS(B60-E60)&lt;=H60,"OK","CHECK")</f>
        <v>OK</v>
      </c>
      <c r="G60" s="17"/>
      <c r="H60" s="24" t="n">
        <v>1E-009</v>
      </c>
      <c r="I60" s="19"/>
    </row>
    <row r="61" customFormat="false" ht="15" hidden="false" customHeight="false" outlineLevel="0" collapsed="false">
      <c r="A61" s="2"/>
      <c r="B61" s="2"/>
      <c r="C61" s="2"/>
      <c r="D61" s="2"/>
      <c r="E61" s="2"/>
      <c r="F61" s="2"/>
      <c r="G61" s="2"/>
      <c r="H61" s="2"/>
      <c r="I61" s="2"/>
    </row>
    <row r="62" customFormat="false" ht="15" hidden="false" customHeight="false" outlineLevel="0" collapsed="false">
      <c r="A62" s="10" t="s">
        <v>297</v>
      </c>
      <c r="B62" s="11"/>
      <c r="C62" s="11"/>
      <c r="D62" s="11"/>
      <c r="E62" s="11"/>
      <c r="F62" s="11"/>
      <c r="G62" s="11"/>
      <c r="H62" s="11"/>
      <c r="I62" s="11"/>
    </row>
    <row r="63" customFormat="false" ht="15" hidden="false" customHeight="true" outlineLevel="0" collapsed="false">
      <c r="A63" s="12" t="s">
        <v>298</v>
      </c>
      <c r="B63" s="12"/>
      <c r="C63" s="12"/>
      <c r="D63" s="12"/>
      <c r="E63" s="12"/>
      <c r="F63" s="12"/>
      <c r="G63" s="12"/>
      <c r="H63" s="12"/>
      <c r="I63" s="12"/>
    </row>
    <row r="64" customFormat="false" ht="15" hidden="false" customHeight="false" outlineLevel="0" collapsed="false">
      <c r="A64" s="13" t="s">
        <v>299</v>
      </c>
      <c r="B64" s="14" t="n">
        <v>2</v>
      </c>
      <c r="C64" s="15" t="s">
        <v>300</v>
      </c>
      <c r="D64" s="16" t="s">
        <v>226</v>
      </c>
      <c r="E64" s="17"/>
      <c r="F64" s="17"/>
      <c r="G64" s="23" t="n">
        <f aca="false">B64/30.48</f>
        <v>0.0656167979002625</v>
      </c>
      <c r="H64" s="17"/>
      <c r="I64" s="19"/>
    </row>
    <row r="65" customFormat="false" ht="15" hidden="false" customHeight="false" outlineLevel="0" collapsed="false">
      <c r="A65" s="13" t="s">
        <v>301</v>
      </c>
      <c r="B65" s="14" t="n">
        <v>-1</v>
      </c>
      <c r="C65" s="15" t="s">
        <v>300</v>
      </c>
      <c r="D65" s="16" t="s">
        <v>226</v>
      </c>
      <c r="E65" s="17"/>
      <c r="F65" s="17"/>
      <c r="G65" s="23" t="n">
        <f aca="false">B65/30.48</f>
        <v>-0.0328083989501312</v>
      </c>
      <c r="H65" s="17"/>
      <c r="I65" s="19"/>
    </row>
    <row r="66" customFormat="false" ht="15" hidden="false" customHeight="false" outlineLevel="0" collapsed="false">
      <c r="A66" s="13" t="s">
        <v>302</v>
      </c>
      <c r="B66" s="14" t="n">
        <v>3</v>
      </c>
      <c r="C66" s="15" t="s">
        <v>300</v>
      </c>
      <c r="D66" s="16" t="s">
        <v>226</v>
      </c>
      <c r="E66" s="17"/>
      <c r="F66" s="17"/>
      <c r="G66" s="23" t="n">
        <f aca="false">B66/30.48</f>
        <v>0.0984251968503937</v>
      </c>
      <c r="H66" s="17"/>
      <c r="I66" s="19"/>
    </row>
    <row r="67" customFormat="false" ht="15" hidden="false" customHeight="false" outlineLevel="0" collapsed="false">
      <c r="A67" s="13" t="s">
        <v>303</v>
      </c>
      <c r="B67" s="14" t="n">
        <v>0</v>
      </c>
      <c r="C67" s="15" t="s">
        <v>300</v>
      </c>
      <c r="D67" s="16" t="s">
        <v>226</v>
      </c>
      <c r="E67" s="17"/>
      <c r="F67" s="17"/>
      <c r="G67" s="23" t="n">
        <f aca="false">B67/30.48</f>
        <v>0</v>
      </c>
      <c r="H67" s="17"/>
      <c r="I67" s="19"/>
    </row>
    <row r="68" customFormat="false" ht="15" hidden="false" customHeight="false" outlineLevel="0" collapsed="false">
      <c r="A68" s="13" t="s">
        <v>304</v>
      </c>
      <c r="B68" s="14" t="n">
        <v>1</v>
      </c>
      <c r="C68" s="15" t="s">
        <v>300</v>
      </c>
      <c r="D68" s="16" t="s">
        <v>226</v>
      </c>
      <c r="E68" s="17"/>
      <c r="F68" s="17"/>
      <c r="G68" s="23" t="n">
        <f aca="false">B68/30.48</f>
        <v>0.0328083989501312</v>
      </c>
      <c r="H68" s="17"/>
      <c r="I68" s="19"/>
    </row>
    <row r="69" customFormat="false" ht="15" hidden="false" customHeight="false" outlineLevel="0" collapsed="false">
      <c r="A69" s="13" t="s">
        <v>305</v>
      </c>
      <c r="B69" s="29" t="n">
        <f aca="false">COUNT($B$64:$B$68)</f>
        <v>5</v>
      </c>
      <c r="C69" s="15"/>
      <c r="D69" s="21" t="s">
        <v>306</v>
      </c>
      <c r="E69" s="15" t="n">
        <v>5</v>
      </c>
      <c r="F69" s="22" t="str">
        <f aca="false">IF(ABS(B69-E69)&lt;=H69,"OK","CHECK")</f>
        <v>OK</v>
      </c>
      <c r="G69" s="17"/>
      <c r="H69" s="24" t="n">
        <v>1E-009</v>
      </c>
      <c r="I69" s="19"/>
    </row>
    <row r="70" customFormat="false" ht="15" hidden="false" customHeight="false" outlineLevel="0" collapsed="false">
      <c r="A70" s="13" t="s">
        <v>307</v>
      </c>
      <c r="B70" s="28" t="n">
        <f aca="false">AVERAGE($B$64:$B$68)</f>
        <v>1</v>
      </c>
      <c r="C70" s="15" t="s">
        <v>300</v>
      </c>
      <c r="D70" s="21" t="s">
        <v>308</v>
      </c>
      <c r="E70" s="15" t="n">
        <v>1</v>
      </c>
      <c r="F70" s="22" t="str">
        <f aca="false">IF(ABS(B70-E70)&lt;=H70,"OK","CHECK")</f>
        <v>OK</v>
      </c>
      <c r="G70" s="23" t="n">
        <f aca="false">B70/30.48</f>
        <v>0.0328083989501312</v>
      </c>
      <c r="H70" s="24" t="n">
        <v>0.005</v>
      </c>
      <c r="I70" s="19"/>
    </row>
    <row r="71" customFormat="false" ht="15" hidden="false" customHeight="false" outlineLevel="0" collapsed="false">
      <c r="A71" s="13" t="s">
        <v>309</v>
      </c>
      <c r="B71" s="28" t="n">
        <f aca="false">STDEV($B$64:$B$68)</f>
        <v>1.58113883008419</v>
      </c>
      <c r="C71" s="15" t="s">
        <v>300</v>
      </c>
      <c r="D71" s="21" t="s">
        <v>310</v>
      </c>
      <c r="E71" s="15" t="n">
        <v>1.58</v>
      </c>
      <c r="F71" s="22" t="str">
        <f aca="false">IF(ABS(B71-E71)&lt;=H71,"OK","CHECK")</f>
        <v>OK</v>
      </c>
      <c r="G71" s="23" t="n">
        <f aca="false">B71/30.48</f>
        <v>0.0518746335329459</v>
      </c>
      <c r="H71" s="24" t="n">
        <v>0.005</v>
      </c>
      <c r="I71" s="19"/>
    </row>
    <row r="72" customFormat="false" ht="15" hidden="false" customHeight="false" outlineLevel="0" collapsed="false">
      <c r="A72" s="13" t="s">
        <v>311</v>
      </c>
      <c r="B72" s="28" t="n">
        <f aca="false">SQRT(SUMSQ($B$64:$B$68)/$B$69)</f>
        <v>1.73205080756888</v>
      </c>
      <c r="C72" s="15" t="s">
        <v>300</v>
      </c>
      <c r="D72" s="21" t="s">
        <v>312</v>
      </c>
      <c r="E72" s="15" t="n">
        <v>1.73</v>
      </c>
      <c r="F72" s="22" t="str">
        <f aca="false">IF(ABS(B72-E72)&lt;=H72,"OK","CHECK")</f>
        <v>OK</v>
      </c>
      <c r="G72" s="23" t="n">
        <f aca="false">B72/30.48</f>
        <v>0.0568258138966167</v>
      </c>
      <c r="H72" s="24" t="n">
        <v>0.005</v>
      </c>
      <c r="I72" s="19"/>
    </row>
    <row r="73" customFormat="false" ht="15" hidden="false" customHeight="false" outlineLevel="0" collapsed="false">
      <c r="A73" s="13" t="s">
        <v>313</v>
      </c>
      <c r="B73" s="20" t="n">
        <f aca="false">$B$70^2+$B$71^2*($B$69-1)/$B$69</f>
        <v>3</v>
      </c>
      <c r="C73" s="15" t="s">
        <v>314</v>
      </c>
      <c r="D73" s="21" t="s">
        <v>315</v>
      </c>
      <c r="E73" s="15" t="n">
        <v>3</v>
      </c>
      <c r="F73" s="22" t="str">
        <f aca="false">IF(ABS(B73-E73)&lt;=H73,"OK","CHECK")</f>
        <v>OK</v>
      </c>
      <c r="G73" s="17"/>
      <c r="H73" s="24" t="n">
        <v>1E-006</v>
      </c>
      <c r="I73" s="19"/>
    </row>
  </sheetData>
  <mergeCells count="6">
    <mergeCell ref="A7:I7"/>
    <mergeCell ref="A13:I13"/>
    <mergeCell ref="A21:I21"/>
    <mergeCell ref="A29:I29"/>
    <mergeCell ref="A45:I45"/>
    <mergeCell ref="A63:I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316</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317</v>
      </c>
      <c r="B6" s="11"/>
      <c r="C6" s="11"/>
      <c r="D6" s="11"/>
      <c r="E6" s="11"/>
      <c r="F6" s="11"/>
      <c r="G6" s="11"/>
      <c r="H6" s="11"/>
      <c r="I6" s="11"/>
    </row>
    <row r="7" customFormat="false" ht="15" hidden="false" customHeight="true" outlineLevel="0" collapsed="false">
      <c r="A7" s="12" t="s">
        <v>318</v>
      </c>
      <c r="B7" s="12"/>
      <c r="C7" s="12"/>
      <c r="D7" s="12"/>
      <c r="E7" s="12"/>
      <c r="F7" s="12"/>
      <c r="G7" s="12"/>
      <c r="H7" s="12"/>
      <c r="I7" s="12"/>
    </row>
    <row r="8" customFormat="false" ht="15" hidden="false" customHeight="false" outlineLevel="0" collapsed="false">
      <c r="A8" s="13" t="s">
        <v>319</v>
      </c>
      <c r="B8" s="14" t="n">
        <v>299792458</v>
      </c>
      <c r="C8" s="15" t="s">
        <v>225</v>
      </c>
      <c r="D8" s="16" t="s">
        <v>226</v>
      </c>
      <c r="E8" s="17"/>
      <c r="F8" s="17"/>
      <c r="G8" s="18" t="n">
        <f aca="false">B8/0.3048</f>
        <v>983571056.430446</v>
      </c>
      <c r="H8" s="17"/>
      <c r="I8" s="19"/>
    </row>
    <row r="9" customFormat="false" ht="15" hidden="false" customHeight="false" outlineLevel="0" collapsed="false">
      <c r="A9" s="13" t="s">
        <v>320</v>
      </c>
      <c r="B9" s="14" t="n">
        <v>1.0003</v>
      </c>
      <c r="C9" s="15"/>
      <c r="D9" s="16" t="s">
        <v>226</v>
      </c>
      <c r="E9" s="17"/>
      <c r="F9" s="17"/>
      <c r="G9" s="17"/>
      <c r="H9" s="17"/>
      <c r="I9" s="19"/>
    </row>
    <row r="10" customFormat="false" ht="15" hidden="false" customHeight="false" outlineLevel="0" collapsed="false">
      <c r="A10" s="13" t="s">
        <v>321</v>
      </c>
      <c r="B10" s="14" t="n">
        <v>400</v>
      </c>
      <c r="C10" s="15" t="s">
        <v>322</v>
      </c>
      <c r="D10" s="16" t="s">
        <v>226</v>
      </c>
      <c r="E10" s="17"/>
      <c r="F10" s="17"/>
      <c r="G10" s="17"/>
      <c r="H10" s="17"/>
      <c r="I10" s="19"/>
    </row>
    <row r="11" customFormat="false" ht="15" hidden="false" customHeight="false" outlineLevel="0" collapsed="false">
      <c r="A11" s="13" t="s">
        <v>323</v>
      </c>
      <c r="B11" s="30" t="n">
        <f aca="false">$B$8/$B$9</f>
        <v>299702547.235829</v>
      </c>
      <c r="C11" s="15" t="s">
        <v>225</v>
      </c>
      <c r="D11" s="21" t="s">
        <v>324</v>
      </c>
      <c r="E11" s="15" t="n">
        <v>299702547</v>
      </c>
      <c r="F11" s="22" t="str">
        <f aca="false">IF(ABS(B11-E11)&lt;=H11,"OK","CHECK")</f>
        <v>OK</v>
      </c>
      <c r="G11" s="18" t="n">
        <f aca="false">B11/0.3048</f>
        <v>983276073.608364</v>
      </c>
      <c r="H11" s="24" t="n">
        <v>1</v>
      </c>
      <c r="I11" s="19"/>
    </row>
    <row r="12" customFormat="false" ht="15" hidden="false" customHeight="false" outlineLevel="0" collapsed="false">
      <c r="A12" s="13" t="s">
        <v>325</v>
      </c>
      <c r="B12" s="31" t="n">
        <f aca="false">$B$10*0.000000001</f>
        <v>4E-007</v>
      </c>
      <c r="C12" s="15" t="s">
        <v>228</v>
      </c>
      <c r="D12" s="21" t="s">
        <v>326</v>
      </c>
      <c r="E12" s="15" t="n">
        <v>4E-007</v>
      </c>
      <c r="F12" s="22" t="str">
        <f aca="false">IF(ABS(B12-E12)&lt;=H12,"OK","CHECK")</f>
        <v>OK</v>
      </c>
      <c r="G12" s="17"/>
      <c r="H12" s="24" t="n">
        <v>1E-012</v>
      </c>
      <c r="I12" s="19"/>
    </row>
    <row r="13" customFormat="false" ht="15" hidden="false" customHeight="false" outlineLevel="0" collapsed="false">
      <c r="A13" s="13" t="s">
        <v>327</v>
      </c>
      <c r="B13" s="20" t="n">
        <f aca="false">$B$11*$B$12</f>
        <v>119.881018894332</v>
      </c>
      <c r="C13" s="15" t="s">
        <v>230</v>
      </c>
      <c r="D13" s="21" t="s">
        <v>328</v>
      </c>
      <c r="E13" s="15" t="n">
        <v>119.881</v>
      </c>
      <c r="F13" s="22" t="str">
        <f aca="false">IF(ABS(B13-E13)&lt;=H13,"OK","CHECK")</f>
        <v>OK</v>
      </c>
      <c r="G13" s="23" t="n">
        <f aca="false">B13/0.3048</f>
        <v>393.310429443345</v>
      </c>
      <c r="H13" s="24" t="n">
        <v>0.0005</v>
      </c>
      <c r="I13" s="19"/>
    </row>
    <row r="14" customFormat="false" ht="15" hidden="false" customHeight="false" outlineLevel="0" collapsed="false">
      <c r="A14" s="13" t="s">
        <v>329</v>
      </c>
      <c r="B14" s="20" t="n">
        <f aca="false">$B$13/2</f>
        <v>59.9405094471659</v>
      </c>
      <c r="C14" s="15" t="s">
        <v>230</v>
      </c>
      <c r="D14" s="21" t="s">
        <v>330</v>
      </c>
      <c r="E14" s="15" t="n">
        <v>59.941</v>
      </c>
      <c r="F14" s="22" t="str">
        <f aca="false">IF(ABS(B14-E14)&lt;=H14,"OK","CHECK")</f>
        <v>OK</v>
      </c>
      <c r="G14" s="23" t="n">
        <f aca="false">B14/0.3048</f>
        <v>196.655214721673</v>
      </c>
      <c r="H14" s="24" t="n">
        <v>0.0005</v>
      </c>
      <c r="I14" s="19"/>
    </row>
    <row r="15" customFormat="false" ht="15" hidden="false" customHeight="false" outlineLevel="0" collapsed="false">
      <c r="A15" s="2"/>
      <c r="B15" s="2"/>
      <c r="C15" s="2"/>
      <c r="D15" s="2"/>
      <c r="E15" s="2"/>
      <c r="F15" s="2"/>
      <c r="G15" s="2"/>
      <c r="H15" s="2"/>
      <c r="I15" s="2"/>
    </row>
    <row r="16" customFormat="false" ht="15" hidden="false" customHeight="false" outlineLevel="0" collapsed="false">
      <c r="A16" s="10" t="s">
        <v>331</v>
      </c>
      <c r="B16" s="11"/>
      <c r="C16" s="11"/>
      <c r="D16" s="11"/>
      <c r="E16" s="11"/>
      <c r="F16" s="11"/>
      <c r="G16" s="11"/>
      <c r="H16" s="11"/>
      <c r="I16" s="11"/>
    </row>
    <row r="17" customFormat="false" ht="15" hidden="false" customHeight="true" outlineLevel="0" collapsed="false">
      <c r="A17" s="12" t="s">
        <v>332</v>
      </c>
      <c r="B17" s="12"/>
      <c r="C17" s="12"/>
      <c r="D17" s="12"/>
      <c r="E17" s="12"/>
      <c r="F17" s="12"/>
      <c r="G17" s="12"/>
      <c r="H17" s="12"/>
      <c r="I17" s="12"/>
    </row>
    <row r="18" customFormat="false" ht="15" hidden="false" customHeight="false" outlineLevel="0" collapsed="false">
      <c r="A18" s="13" t="s">
        <v>333</v>
      </c>
      <c r="B18" s="14" t="n">
        <v>1000000</v>
      </c>
      <c r="C18" s="15" t="s">
        <v>334</v>
      </c>
      <c r="D18" s="16" t="s">
        <v>226</v>
      </c>
      <c r="E18" s="17"/>
      <c r="F18" s="17"/>
      <c r="G18" s="17"/>
      <c r="H18" s="17"/>
      <c r="I18" s="19"/>
    </row>
    <row r="19" customFormat="false" ht="15" hidden="false" customHeight="false" outlineLevel="0" collapsed="false">
      <c r="A19" s="13" t="s">
        <v>335</v>
      </c>
      <c r="B19" s="14" t="n">
        <v>299700000</v>
      </c>
      <c r="C19" s="15" t="s">
        <v>225</v>
      </c>
      <c r="D19" s="16" t="s">
        <v>226</v>
      </c>
      <c r="E19" s="17"/>
      <c r="F19" s="17"/>
      <c r="G19" s="18" t="n">
        <f aca="false">B19/0.3048</f>
        <v>983267716.535433</v>
      </c>
      <c r="H19" s="17"/>
      <c r="I19" s="19"/>
    </row>
    <row r="20" customFormat="false" ht="15" hidden="false" customHeight="false" outlineLevel="0" collapsed="false">
      <c r="A20" s="13" t="s">
        <v>336</v>
      </c>
      <c r="B20" s="31" t="n">
        <f aca="false">1/$B$18</f>
        <v>1E-006</v>
      </c>
      <c r="C20" s="15" t="s">
        <v>228</v>
      </c>
      <c r="D20" s="21" t="s">
        <v>337</v>
      </c>
      <c r="E20" s="15" t="n">
        <v>1E-006</v>
      </c>
      <c r="F20" s="22" t="str">
        <f aca="false">IF(ABS(B20-E20)&lt;=H20,"OK","CHECK")</f>
        <v>OK</v>
      </c>
      <c r="G20" s="17"/>
      <c r="H20" s="24" t="n">
        <v>1E-012</v>
      </c>
      <c r="I20" s="19"/>
    </row>
    <row r="21" customFormat="false" ht="15" hidden="false" customHeight="false" outlineLevel="0" collapsed="false">
      <c r="A21" s="13" t="s">
        <v>338</v>
      </c>
      <c r="B21" s="32" t="n">
        <f aca="false">$B$19/(2*$B$18)</f>
        <v>149.85</v>
      </c>
      <c r="C21" s="15" t="s">
        <v>230</v>
      </c>
      <c r="D21" s="21" t="s">
        <v>339</v>
      </c>
      <c r="E21" s="15" t="n">
        <v>149.9</v>
      </c>
      <c r="F21" s="22" t="str">
        <f aca="false">IF(ABS(B21-E21)&lt;=H21,"OK","CHECK")</f>
        <v>OK</v>
      </c>
      <c r="G21" s="23" t="n">
        <f aca="false">B21/0.3048</f>
        <v>491.633858267717</v>
      </c>
      <c r="H21" s="24" t="n">
        <v>0.051</v>
      </c>
      <c r="I21" s="19"/>
    </row>
    <row r="22" customFormat="false" ht="15" hidden="false" customHeight="false" outlineLevel="0" collapsed="false">
      <c r="A22" s="13" t="s">
        <v>340</v>
      </c>
      <c r="B22" s="32" t="n">
        <f aca="false">$B$19/(2*2*$B$18)</f>
        <v>74.925</v>
      </c>
      <c r="C22" s="15" t="s">
        <v>230</v>
      </c>
      <c r="D22" s="21" t="s">
        <v>341</v>
      </c>
      <c r="E22" s="15" t="n">
        <v>74.9</v>
      </c>
      <c r="F22" s="22" t="str">
        <f aca="false">IF(ABS(B22-E22)&lt;=H22,"OK","CHECK")</f>
        <v>OK</v>
      </c>
      <c r="G22" s="23" t="n">
        <f aca="false">B22/0.3048</f>
        <v>245.816929133858</v>
      </c>
      <c r="H22" s="24" t="n">
        <v>0.05</v>
      </c>
      <c r="I22" s="19"/>
    </row>
    <row r="23" customFormat="false" ht="15" hidden="false" customHeight="false" outlineLevel="0" collapsed="false">
      <c r="A23" s="2"/>
      <c r="B23" s="2"/>
      <c r="C23" s="2"/>
      <c r="D23" s="2"/>
      <c r="E23" s="2"/>
      <c r="F23" s="2"/>
      <c r="G23" s="2"/>
      <c r="H23" s="2"/>
      <c r="I23" s="2"/>
    </row>
    <row r="24" customFormat="false" ht="15" hidden="false" customHeight="false" outlineLevel="0" collapsed="false">
      <c r="A24" s="10" t="s">
        <v>342</v>
      </c>
      <c r="B24" s="11"/>
      <c r="C24" s="11"/>
      <c r="D24" s="11"/>
      <c r="E24" s="11"/>
      <c r="F24" s="11"/>
      <c r="G24" s="11"/>
      <c r="H24" s="11"/>
      <c r="I24" s="11"/>
    </row>
    <row r="25" customFormat="false" ht="15" hidden="false" customHeight="true" outlineLevel="0" collapsed="false">
      <c r="A25" s="12" t="s">
        <v>343</v>
      </c>
      <c r="B25" s="12"/>
      <c r="C25" s="12"/>
      <c r="D25" s="12"/>
      <c r="E25" s="12"/>
      <c r="F25" s="12"/>
      <c r="G25" s="12"/>
      <c r="H25" s="12"/>
      <c r="I25" s="12"/>
    </row>
    <row r="26" customFormat="false" ht="15" hidden="false" customHeight="false" outlineLevel="0" collapsed="false">
      <c r="A26" s="13" t="s">
        <v>344</v>
      </c>
      <c r="B26" s="14" t="n">
        <v>10000000</v>
      </c>
      <c r="C26" s="15" t="s">
        <v>334</v>
      </c>
      <c r="D26" s="16" t="s">
        <v>226</v>
      </c>
      <c r="E26" s="17"/>
      <c r="F26" s="17"/>
      <c r="G26" s="17"/>
      <c r="H26" s="17"/>
      <c r="I26" s="19"/>
    </row>
    <row r="27" customFormat="false" ht="15" hidden="false" customHeight="false" outlineLevel="0" collapsed="false">
      <c r="A27" s="13" t="s">
        <v>345</v>
      </c>
      <c r="B27" s="14" t="n">
        <v>90</v>
      </c>
      <c r="C27" s="15" t="s">
        <v>238</v>
      </c>
      <c r="D27" s="16" t="s">
        <v>226</v>
      </c>
      <c r="E27" s="17"/>
      <c r="F27" s="17"/>
      <c r="G27" s="17"/>
      <c r="H27" s="17"/>
      <c r="I27" s="19"/>
    </row>
    <row r="28" customFormat="false" ht="15" hidden="false" customHeight="false" outlineLevel="0" collapsed="false">
      <c r="A28" s="13" t="s">
        <v>335</v>
      </c>
      <c r="B28" s="14" t="n">
        <v>299700000</v>
      </c>
      <c r="C28" s="15" t="s">
        <v>225</v>
      </c>
      <c r="D28" s="16" t="s">
        <v>226</v>
      </c>
      <c r="E28" s="17"/>
      <c r="F28" s="17"/>
      <c r="G28" s="18" t="n">
        <f aca="false">B28/0.3048</f>
        <v>983267716.535433</v>
      </c>
      <c r="H28" s="17"/>
      <c r="I28" s="19"/>
    </row>
    <row r="29" customFormat="false" ht="15" hidden="false" customHeight="false" outlineLevel="0" collapsed="false">
      <c r="A29" s="13" t="s">
        <v>346</v>
      </c>
      <c r="B29" s="14" t="n">
        <v>0</v>
      </c>
      <c r="C29" s="15"/>
      <c r="D29" s="16" t="s">
        <v>226</v>
      </c>
      <c r="E29" s="17"/>
      <c r="F29" s="17"/>
      <c r="G29" s="17"/>
      <c r="H29" s="17"/>
      <c r="I29" s="19"/>
    </row>
    <row r="30" customFormat="false" ht="15" hidden="false" customHeight="false" outlineLevel="0" collapsed="false">
      <c r="A30" s="13" t="s">
        <v>347</v>
      </c>
      <c r="B30" s="20" t="n">
        <f aca="false">$B$28/$B$26</f>
        <v>29.97</v>
      </c>
      <c r="C30" s="15" t="s">
        <v>230</v>
      </c>
      <c r="D30" s="21" t="s">
        <v>348</v>
      </c>
      <c r="E30" s="15" t="n">
        <v>29.97</v>
      </c>
      <c r="F30" s="22" t="str">
        <f aca="false">IF(ABS(B30-E30)&lt;=H30,"OK","CHECK")</f>
        <v>OK</v>
      </c>
      <c r="G30" s="23" t="n">
        <f aca="false">B30/0.3048</f>
        <v>98.3267716535433</v>
      </c>
      <c r="H30" s="24" t="n">
        <v>0.005</v>
      </c>
      <c r="I30" s="19"/>
    </row>
    <row r="31" customFormat="false" ht="15" hidden="false" customHeight="false" outlineLevel="0" collapsed="false">
      <c r="A31" s="13" t="s">
        <v>349</v>
      </c>
      <c r="B31" s="20" t="n">
        <f aca="false">$B$30/2</f>
        <v>14.985</v>
      </c>
      <c r="C31" s="15" t="s">
        <v>230</v>
      </c>
      <c r="D31" s="21" t="s">
        <v>350</v>
      </c>
      <c r="E31" s="15" t="n">
        <v>14.985</v>
      </c>
      <c r="F31" s="22" t="str">
        <f aca="false">IF(ABS(B31-E31)&lt;=H31,"OK","CHECK")</f>
        <v>OK</v>
      </c>
      <c r="G31" s="23" t="n">
        <f aca="false">B31/0.3048</f>
        <v>49.1633858267717</v>
      </c>
      <c r="H31" s="24" t="n">
        <v>0.0005</v>
      </c>
      <c r="I31" s="19"/>
    </row>
    <row r="32" customFormat="false" ht="15" hidden="false" customHeight="false" outlineLevel="0" collapsed="false">
      <c r="A32" s="13" t="s">
        <v>351</v>
      </c>
      <c r="B32" s="28" t="n">
        <f aca="false">$B$27/360</f>
        <v>0.25</v>
      </c>
      <c r="C32" s="15"/>
      <c r="D32" s="21" t="s">
        <v>352</v>
      </c>
      <c r="E32" s="15" t="n">
        <v>0.25</v>
      </c>
      <c r="F32" s="22" t="str">
        <f aca="false">IF(ABS(B32-E32)&lt;=H32,"OK","CHECK")</f>
        <v>OK</v>
      </c>
      <c r="G32" s="17"/>
      <c r="H32" s="24" t="n">
        <v>1E-009</v>
      </c>
      <c r="I32" s="19"/>
    </row>
    <row r="33" customFormat="false" ht="15" hidden="false" customHeight="false" outlineLevel="0" collapsed="false">
      <c r="A33" s="13" t="s">
        <v>329</v>
      </c>
      <c r="B33" s="20" t="n">
        <f aca="false">$B$31*($B$29+$B$32)</f>
        <v>3.74625</v>
      </c>
      <c r="C33" s="15" t="s">
        <v>230</v>
      </c>
      <c r="D33" s="21" t="s">
        <v>353</v>
      </c>
      <c r="E33" s="15" t="n">
        <v>3.746</v>
      </c>
      <c r="F33" s="22" t="str">
        <f aca="false">IF(ABS(B33-E33)&lt;=H33,"OK","CHECK")</f>
        <v>OK</v>
      </c>
      <c r="G33" s="23" t="n">
        <f aca="false">B33/0.3048</f>
        <v>12.2908464566929</v>
      </c>
      <c r="H33" s="24" t="n">
        <v>0.0005</v>
      </c>
      <c r="I33" s="19"/>
    </row>
    <row r="34" customFormat="false" ht="15" hidden="false" customHeight="false" outlineLevel="0" collapsed="false">
      <c r="A34" s="13" t="s">
        <v>354</v>
      </c>
      <c r="B34" s="20" t="n">
        <f aca="false">$B$33+$B$31</f>
        <v>18.73125</v>
      </c>
      <c r="C34" s="15" t="s">
        <v>230</v>
      </c>
      <c r="D34" s="21" t="s">
        <v>355</v>
      </c>
      <c r="E34" s="15" t="n">
        <v>18.731</v>
      </c>
      <c r="F34" s="22" t="str">
        <f aca="false">IF(ABS(B34-E34)&lt;=H34,"OK","CHECK")</f>
        <v>OK</v>
      </c>
      <c r="G34" s="23" t="n">
        <f aca="false">B34/0.3048</f>
        <v>61.4542322834646</v>
      </c>
      <c r="H34" s="24" t="n">
        <v>0.0005</v>
      </c>
      <c r="I34" s="19"/>
    </row>
    <row r="35" customFormat="false" ht="15" hidden="false" customHeight="false" outlineLevel="0" collapsed="false">
      <c r="A35" s="13" t="s">
        <v>356</v>
      </c>
      <c r="B35" s="20" t="n">
        <f aca="false">$B$33+2*$B$31</f>
        <v>33.71625</v>
      </c>
      <c r="C35" s="15" t="s">
        <v>230</v>
      </c>
      <c r="D35" s="21" t="s">
        <v>357</v>
      </c>
      <c r="E35" s="15" t="n">
        <v>33.716</v>
      </c>
      <c r="F35" s="22" t="str">
        <f aca="false">IF(ABS(B35-E35)&lt;=H35,"OK","CHECK")</f>
        <v>OK</v>
      </c>
      <c r="G35" s="23" t="n">
        <f aca="false">B35/0.3048</f>
        <v>110.617618110236</v>
      </c>
      <c r="H35" s="24" t="n">
        <v>0.0005</v>
      </c>
      <c r="I35" s="19"/>
    </row>
  </sheetData>
  <mergeCells count="3">
    <mergeCell ref="A7:I7"/>
    <mergeCell ref="A17:I17"/>
    <mergeCell ref="A25:I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358</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359</v>
      </c>
      <c r="B6" s="11"/>
      <c r="C6" s="11"/>
      <c r="D6" s="11"/>
      <c r="E6" s="11"/>
      <c r="F6" s="11"/>
      <c r="G6" s="11"/>
      <c r="H6" s="11"/>
      <c r="I6" s="11"/>
    </row>
    <row r="7" customFormat="false" ht="15" hidden="false" customHeight="true" outlineLevel="0" collapsed="false">
      <c r="A7" s="12" t="s">
        <v>360</v>
      </c>
      <c r="B7" s="12"/>
      <c r="C7" s="12"/>
      <c r="D7" s="12"/>
      <c r="E7" s="12"/>
      <c r="F7" s="12"/>
      <c r="G7" s="12"/>
      <c r="H7" s="12"/>
      <c r="I7" s="12"/>
    </row>
    <row r="8" customFormat="false" ht="15" hidden="false" customHeight="false" outlineLevel="0" collapsed="false">
      <c r="A8" s="13" t="s">
        <v>361</v>
      </c>
      <c r="B8" s="14" t="n">
        <v>0.005</v>
      </c>
      <c r="C8" s="15" t="s">
        <v>230</v>
      </c>
      <c r="D8" s="16" t="s">
        <v>226</v>
      </c>
      <c r="E8" s="17"/>
      <c r="F8" s="17"/>
      <c r="G8" s="23" t="n">
        <f aca="false">B8/0.3048</f>
        <v>0.0164041994750656</v>
      </c>
      <c r="H8" s="17"/>
      <c r="I8" s="19"/>
    </row>
    <row r="9" customFormat="false" ht="15" hidden="false" customHeight="false" outlineLevel="0" collapsed="false">
      <c r="A9" s="13" t="s">
        <v>362</v>
      </c>
      <c r="B9" s="14" t="n">
        <v>0.3</v>
      </c>
      <c r="C9" s="15" t="s">
        <v>363</v>
      </c>
      <c r="D9" s="16" t="s">
        <v>226</v>
      </c>
      <c r="E9" s="17"/>
      <c r="F9" s="17"/>
      <c r="G9" s="17"/>
      <c r="H9" s="17"/>
      <c r="I9" s="19"/>
    </row>
    <row r="10" customFormat="false" ht="15" hidden="false" customHeight="false" outlineLevel="0" collapsed="false">
      <c r="A10" s="13" t="s">
        <v>364</v>
      </c>
      <c r="B10" s="14" t="n">
        <v>50</v>
      </c>
      <c r="C10" s="15" t="s">
        <v>230</v>
      </c>
      <c r="D10" s="16" t="s">
        <v>226</v>
      </c>
      <c r="E10" s="17"/>
      <c r="F10" s="17"/>
      <c r="G10" s="23" t="n">
        <f aca="false">B10/0.3048</f>
        <v>164.041994750656</v>
      </c>
      <c r="H10" s="17"/>
      <c r="I10" s="19"/>
    </row>
    <row r="11" customFormat="false" ht="15" hidden="false" customHeight="false" outlineLevel="0" collapsed="false">
      <c r="A11" s="13" t="s">
        <v>365</v>
      </c>
      <c r="B11" s="14" t="n">
        <v>100</v>
      </c>
      <c r="C11" s="15" t="s">
        <v>230</v>
      </c>
      <c r="D11" s="16" t="s">
        <v>226</v>
      </c>
      <c r="E11" s="17"/>
      <c r="F11" s="17"/>
      <c r="G11" s="23" t="n">
        <f aca="false">B11/0.3048</f>
        <v>328.083989501312</v>
      </c>
      <c r="H11" s="17"/>
      <c r="I11" s="19"/>
    </row>
    <row r="12" customFormat="false" ht="15" hidden="false" customHeight="false" outlineLevel="0" collapsed="false">
      <c r="A12" s="13" t="s">
        <v>366</v>
      </c>
      <c r="B12" s="20" t="n">
        <f aca="false">$B$8+$B$10*$B$9/1000</f>
        <v>0.02</v>
      </c>
      <c r="C12" s="15" t="s">
        <v>230</v>
      </c>
      <c r="D12" s="21" t="s">
        <v>367</v>
      </c>
      <c r="E12" s="15" t="n">
        <v>0.02</v>
      </c>
      <c r="F12" s="22" t="str">
        <f aca="false">IF(ABS(B12-E12)&lt;=H12,"OK","CHECK")</f>
        <v>OK</v>
      </c>
      <c r="G12" s="23" t="n">
        <f aca="false">B12/0.3048</f>
        <v>0.0656167979002625</v>
      </c>
      <c r="H12" s="24" t="n">
        <v>0.0005</v>
      </c>
      <c r="I12" s="19"/>
    </row>
    <row r="13" customFormat="false" ht="15" hidden="false" customHeight="false" outlineLevel="0" collapsed="false">
      <c r="A13" s="13" t="s">
        <v>368</v>
      </c>
      <c r="B13" s="20" t="n">
        <f aca="false">$B$8+$B$11*$B$9/1000</f>
        <v>0.035</v>
      </c>
      <c r="C13" s="15" t="s">
        <v>230</v>
      </c>
      <c r="D13" s="21" t="s">
        <v>367</v>
      </c>
      <c r="E13" s="15" t="n">
        <v>0.035</v>
      </c>
      <c r="F13" s="22" t="str">
        <f aca="false">IF(ABS(B13-E13)&lt;=H13,"OK","CHECK")</f>
        <v>OK</v>
      </c>
      <c r="G13" s="23" t="n">
        <f aca="false">B13/0.3048</f>
        <v>0.114829396325459</v>
      </c>
      <c r="H13" s="24" t="n">
        <v>0.0005</v>
      </c>
      <c r="I13" s="19"/>
    </row>
    <row r="14" customFormat="false" ht="15" hidden="false" customHeight="false" outlineLevel="0" collapsed="false">
      <c r="A14" s="2"/>
      <c r="B14" s="2"/>
      <c r="C14" s="2"/>
      <c r="D14" s="2"/>
      <c r="E14" s="2"/>
      <c r="F14" s="2"/>
      <c r="G14" s="2"/>
      <c r="H14" s="2"/>
      <c r="I14" s="2"/>
    </row>
    <row r="15" customFormat="false" ht="15" hidden="false" customHeight="false" outlineLevel="0" collapsed="false">
      <c r="A15" s="10" t="s">
        <v>369</v>
      </c>
      <c r="B15" s="11"/>
      <c r="C15" s="11"/>
      <c r="D15" s="11"/>
      <c r="E15" s="11"/>
      <c r="F15" s="11"/>
      <c r="G15" s="11"/>
      <c r="H15" s="11"/>
      <c r="I15" s="11"/>
    </row>
    <row r="16" customFormat="false" ht="15" hidden="false" customHeight="true" outlineLevel="0" collapsed="false">
      <c r="A16" s="12" t="s">
        <v>370</v>
      </c>
      <c r="B16" s="12"/>
      <c r="C16" s="12"/>
      <c r="D16" s="12"/>
      <c r="E16" s="12"/>
      <c r="F16" s="12"/>
      <c r="G16" s="12"/>
      <c r="H16" s="12"/>
      <c r="I16" s="12"/>
    </row>
    <row r="17" customFormat="false" ht="15" hidden="false" customHeight="false" outlineLevel="0" collapsed="false">
      <c r="A17" s="13" t="s">
        <v>371</v>
      </c>
      <c r="B17" s="14" t="n">
        <v>0.6</v>
      </c>
      <c r="C17" s="15"/>
      <c r="D17" s="16" t="s">
        <v>226</v>
      </c>
      <c r="E17" s="17"/>
      <c r="F17" s="17"/>
      <c r="G17" s="17"/>
      <c r="H17" s="17"/>
      <c r="I17" s="19"/>
    </row>
    <row r="18" customFormat="false" ht="15" hidden="false" customHeight="false" outlineLevel="0" collapsed="false">
      <c r="A18" s="13" t="s">
        <v>372</v>
      </c>
      <c r="B18" s="14" t="n">
        <v>10</v>
      </c>
      <c r="C18" s="15" t="s">
        <v>230</v>
      </c>
      <c r="D18" s="16" t="s">
        <v>226</v>
      </c>
      <c r="E18" s="17"/>
      <c r="F18" s="17"/>
      <c r="G18" s="23" t="n">
        <f aca="false">B18/0.3048</f>
        <v>32.8083989501312</v>
      </c>
      <c r="H18" s="17"/>
      <c r="I18" s="19"/>
    </row>
    <row r="19" customFormat="false" ht="15" hidden="false" customHeight="false" outlineLevel="0" collapsed="false">
      <c r="A19" s="13" t="s">
        <v>373</v>
      </c>
      <c r="B19" s="14" t="n">
        <v>0</v>
      </c>
      <c r="C19" s="15" t="s">
        <v>238</v>
      </c>
      <c r="D19" s="16" t="s">
        <v>226</v>
      </c>
      <c r="E19" s="17"/>
      <c r="F19" s="17"/>
      <c r="G19" s="17"/>
      <c r="H19" s="17"/>
      <c r="I19" s="19"/>
    </row>
    <row r="20" customFormat="false" ht="15" hidden="false" customHeight="false" outlineLevel="0" collapsed="false">
      <c r="A20" s="13" t="s">
        <v>374</v>
      </c>
      <c r="B20" s="14" t="n">
        <v>0.1</v>
      </c>
      <c r="C20" s="15"/>
      <c r="D20" s="16" t="s">
        <v>226</v>
      </c>
      <c r="E20" s="17"/>
      <c r="F20" s="17"/>
      <c r="G20" s="17"/>
      <c r="H20" s="17"/>
      <c r="I20" s="19"/>
    </row>
    <row r="21" customFormat="false" ht="15" hidden="false" customHeight="false" outlineLevel="0" collapsed="false">
      <c r="A21" s="13" t="s">
        <v>375</v>
      </c>
      <c r="B21" s="14" t="n">
        <v>50</v>
      </c>
      <c r="C21" s="15" t="s">
        <v>230</v>
      </c>
      <c r="D21" s="16" t="s">
        <v>226</v>
      </c>
      <c r="E21" s="17"/>
      <c r="F21" s="17"/>
      <c r="G21" s="23" t="n">
        <f aca="false">B21/0.3048</f>
        <v>164.041994750656</v>
      </c>
      <c r="H21" s="17"/>
      <c r="I21" s="19"/>
    </row>
    <row r="22" customFormat="false" ht="15" hidden="false" customHeight="false" outlineLevel="0" collapsed="false">
      <c r="A22" s="13" t="s">
        <v>376</v>
      </c>
      <c r="B22" s="14" t="n">
        <v>60</v>
      </c>
      <c r="C22" s="15" t="s">
        <v>238</v>
      </c>
      <c r="D22" s="16" t="s">
        <v>226</v>
      </c>
      <c r="E22" s="17"/>
      <c r="F22" s="17"/>
      <c r="G22" s="17"/>
      <c r="H22" s="17"/>
      <c r="I22" s="19"/>
    </row>
    <row r="23" customFormat="false" ht="15" hidden="false" customHeight="false" outlineLevel="0" collapsed="false">
      <c r="A23" s="13" t="s">
        <v>377</v>
      </c>
      <c r="B23" s="33" t="n">
        <f aca="false">($B$20/$B$17)*(COS(RADIANS($B$22))/COS(RADIANS($B$19)))*($B$18^2/$B$21^2)</f>
        <v>0.00333333333333333</v>
      </c>
      <c r="C23" s="15"/>
      <c r="D23" s="21" t="s">
        <v>378</v>
      </c>
      <c r="E23" s="15" t="n">
        <v>0.00333</v>
      </c>
      <c r="F23" s="22" t="str">
        <f aca="false">IF(ABS(B23-E23)&lt;=H23,"OK","CHECK")</f>
        <v>OK</v>
      </c>
      <c r="G23" s="17"/>
      <c r="H23" s="24" t="n">
        <v>5E-006</v>
      </c>
      <c r="I23" s="19"/>
    </row>
    <row r="24" customFormat="false" ht="15" hidden="false" customHeight="false" outlineLevel="0" collapsed="false">
      <c r="A24" s="13" t="s">
        <v>379</v>
      </c>
      <c r="B24" s="29" t="n">
        <f aca="false">1/$B$23</f>
        <v>300</v>
      </c>
      <c r="C24" s="15" t="s">
        <v>380</v>
      </c>
      <c r="D24" s="21" t="s">
        <v>381</v>
      </c>
      <c r="E24" s="15" t="n">
        <v>300</v>
      </c>
      <c r="F24" s="22" t="str">
        <f aca="false">IF(ABS(B24-E24)&lt;=H24,"OK","CHECK")</f>
        <v>OK</v>
      </c>
      <c r="G24" s="17"/>
      <c r="H24" s="24" t="n">
        <v>1</v>
      </c>
      <c r="I24" s="19"/>
    </row>
    <row r="25" customFormat="false" ht="15" hidden="false" customHeight="false" outlineLevel="0" collapsed="false">
      <c r="A25" s="2"/>
      <c r="B25" s="2"/>
      <c r="C25" s="2"/>
      <c r="D25" s="2"/>
      <c r="E25" s="2"/>
      <c r="F25" s="2"/>
      <c r="G25" s="2"/>
      <c r="H25" s="2"/>
      <c r="I25" s="2"/>
    </row>
    <row r="26" customFormat="false" ht="15" hidden="false" customHeight="false" outlineLevel="0" collapsed="false">
      <c r="A26" s="10" t="s">
        <v>382</v>
      </c>
      <c r="B26" s="11"/>
      <c r="C26" s="11"/>
      <c r="D26" s="11"/>
      <c r="E26" s="11"/>
      <c r="F26" s="11"/>
      <c r="G26" s="11"/>
      <c r="H26" s="11"/>
      <c r="I26" s="11"/>
    </row>
    <row r="27" customFormat="false" ht="15" hidden="false" customHeight="true" outlineLevel="0" collapsed="false">
      <c r="A27" s="12" t="s">
        <v>383</v>
      </c>
      <c r="B27" s="12"/>
      <c r="C27" s="12"/>
      <c r="D27" s="12"/>
      <c r="E27" s="12"/>
      <c r="F27" s="12"/>
      <c r="G27" s="12"/>
      <c r="H27" s="12"/>
      <c r="I27" s="12"/>
    </row>
    <row r="28" customFormat="false" ht="15" hidden="false" customHeight="false" outlineLevel="0" collapsed="false">
      <c r="A28" s="13" t="s">
        <v>384</v>
      </c>
      <c r="B28" s="14" t="n">
        <v>35</v>
      </c>
      <c r="C28" s="15" t="s">
        <v>230</v>
      </c>
      <c r="D28" s="16" t="s">
        <v>226</v>
      </c>
      <c r="E28" s="17"/>
      <c r="F28" s="17"/>
      <c r="G28" s="23" t="n">
        <f aca="false">B28/0.3048</f>
        <v>114.829396325459</v>
      </c>
      <c r="H28" s="17"/>
      <c r="I28" s="19"/>
    </row>
    <row r="29" customFormat="false" ht="15" hidden="false" customHeight="false" outlineLevel="0" collapsed="false">
      <c r="A29" s="13" t="s">
        <v>385</v>
      </c>
      <c r="B29" s="14" t="n">
        <v>10</v>
      </c>
      <c r="C29" s="15" t="s">
        <v>386</v>
      </c>
      <c r="D29" s="16" t="s">
        <v>226</v>
      </c>
      <c r="E29" s="17"/>
      <c r="F29" s="17"/>
      <c r="G29" s="17"/>
      <c r="H29" s="17"/>
      <c r="I29" s="19"/>
    </row>
    <row r="30" customFormat="false" ht="15" hidden="false" customHeight="false" outlineLevel="0" collapsed="false">
      <c r="A30" s="13" t="s">
        <v>387</v>
      </c>
      <c r="B30" s="14" t="n">
        <v>5</v>
      </c>
      <c r="C30" s="15" t="s">
        <v>386</v>
      </c>
      <c r="D30" s="16" t="s">
        <v>226</v>
      </c>
      <c r="E30" s="17"/>
      <c r="F30" s="17"/>
      <c r="G30" s="17"/>
      <c r="H30" s="17"/>
      <c r="I30" s="19"/>
    </row>
    <row r="31" customFormat="false" ht="15" hidden="false" customHeight="false" outlineLevel="0" collapsed="false">
      <c r="A31" s="13" t="s">
        <v>388</v>
      </c>
      <c r="B31" s="32" t="n">
        <f aca="false">$B$28*SQRT($B$30/$B$29)</f>
        <v>24.7487373415292</v>
      </c>
      <c r="C31" s="15" t="s">
        <v>230</v>
      </c>
      <c r="D31" s="21" t="s">
        <v>389</v>
      </c>
      <c r="E31" s="15" t="n">
        <v>25</v>
      </c>
      <c r="F31" s="22" t="str">
        <f aca="false">IF(ABS(B31-E31)&lt;=H31,"OK","CHECK")</f>
        <v>OK</v>
      </c>
      <c r="G31" s="23" t="n">
        <f aca="false">B31/0.3048</f>
        <v>81.1966448212899</v>
      </c>
      <c r="H31" s="24" t="n">
        <v>0.5</v>
      </c>
      <c r="I31" s="19"/>
    </row>
    <row r="32" customFormat="false" ht="15" hidden="false" customHeight="false" outlineLevel="0" collapsed="false">
      <c r="A32" s="13" t="s">
        <v>390</v>
      </c>
      <c r="B32" s="14" t="n">
        <v>4</v>
      </c>
      <c r="C32" s="15" t="s">
        <v>386</v>
      </c>
      <c r="D32" s="16" t="s">
        <v>226</v>
      </c>
      <c r="E32" s="17"/>
      <c r="F32" s="17"/>
      <c r="G32" s="17"/>
      <c r="H32" s="17"/>
      <c r="I32" s="19"/>
    </row>
    <row r="33" customFormat="false" ht="15" hidden="false" customHeight="false" outlineLevel="0" collapsed="false">
      <c r="A33" s="13" t="s">
        <v>391</v>
      </c>
      <c r="B33" s="32" t="n">
        <f aca="false">$B$28*SQRT($B$32/$B$29)</f>
        <v>22.1359436211787</v>
      </c>
      <c r="C33" s="15" t="s">
        <v>230</v>
      </c>
      <c r="D33" s="21" t="s">
        <v>389</v>
      </c>
      <c r="E33" s="15" t="n">
        <v>22</v>
      </c>
      <c r="F33" s="22" t="str">
        <f aca="false">IF(ABS(B33-E33)&lt;=H33,"OK","CHECK")</f>
        <v>OK</v>
      </c>
      <c r="G33" s="23" t="n">
        <f aca="false">B33/0.3048</f>
        <v>72.6244869461242</v>
      </c>
      <c r="H33" s="24" t="n">
        <v>0.5</v>
      </c>
      <c r="I33" s="19"/>
    </row>
    <row r="34" customFormat="false" ht="15" hidden="false" customHeight="false" outlineLevel="0" collapsed="false">
      <c r="A34" s="13" t="s">
        <v>392</v>
      </c>
      <c r="B34" s="14" t="n">
        <v>40</v>
      </c>
      <c r="C34" s="15" t="s">
        <v>386</v>
      </c>
      <c r="D34" s="16" t="s">
        <v>226</v>
      </c>
      <c r="E34" s="17"/>
      <c r="F34" s="17"/>
      <c r="G34" s="17"/>
      <c r="H34" s="17"/>
      <c r="I34" s="19"/>
    </row>
    <row r="35" customFormat="false" ht="15" hidden="false" customHeight="false" outlineLevel="0" collapsed="false">
      <c r="A35" s="13" t="s">
        <v>393</v>
      </c>
      <c r="B35" s="32" t="n">
        <f aca="false">$B$28*SQRT($B$34/$B$29)</f>
        <v>70</v>
      </c>
      <c r="C35" s="15" t="s">
        <v>230</v>
      </c>
      <c r="D35" s="21" t="s">
        <v>389</v>
      </c>
      <c r="E35" s="15" t="n">
        <v>70</v>
      </c>
      <c r="F35" s="22" t="str">
        <f aca="false">IF(ABS(B35-E35)&lt;=H35,"OK","CHECK")</f>
        <v>OK</v>
      </c>
      <c r="G35" s="23" t="n">
        <f aca="false">B35/0.3048</f>
        <v>229.658792650919</v>
      </c>
      <c r="H35" s="24" t="n">
        <v>0.5</v>
      </c>
      <c r="I35" s="19"/>
    </row>
  </sheetData>
  <mergeCells count="3">
    <mergeCell ref="A7:I7"/>
    <mergeCell ref="A16:I16"/>
    <mergeCell ref="A27:I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394</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395</v>
      </c>
      <c r="B6" s="11"/>
      <c r="C6" s="11"/>
      <c r="D6" s="11"/>
      <c r="E6" s="11"/>
      <c r="F6" s="11"/>
      <c r="G6" s="11"/>
      <c r="H6" s="11"/>
      <c r="I6" s="11"/>
    </row>
    <row r="7" customFormat="false" ht="15" hidden="false" customHeight="true" outlineLevel="0" collapsed="false">
      <c r="A7" s="12" t="s">
        <v>396</v>
      </c>
      <c r="B7" s="12"/>
      <c r="C7" s="12"/>
      <c r="D7" s="12"/>
      <c r="E7" s="12"/>
      <c r="F7" s="12"/>
      <c r="G7" s="12"/>
      <c r="H7" s="12"/>
      <c r="I7" s="12"/>
    </row>
    <row r="8" customFormat="false" ht="15" hidden="false" customHeight="false" outlineLevel="0" collapsed="false">
      <c r="A8" s="13" t="s">
        <v>397</v>
      </c>
      <c r="B8" s="14" t="n">
        <v>25</v>
      </c>
      <c r="C8" s="15" t="s">
        <v>230</v>
      </c>
      <c r="D8" s="16" t="s">
        <v>226</v>
      </c>
      <c r="E8" s="17"/>
      <c r="F8" s="17"/>
      <c r="G8" s="23" t="n">
        <f aca="false">B8/0.3048</f>
        <v>82.0209973753281</v>
      </c>
      <c r="H8" s="17"/>
      <c r="I8" s="19"/>
    </row>
    <row r="9" customFormat="false" ht="15" hidden="false" customHeight="false" outlineLevel="0" collapsed="false">
      <c r="A9" s="13" t="s">
        <v>398</v>
      </c>
      <c r="B9" s="14" t="n">
        <v>40</v>
      </c>
      <c r="C9" s="15" t="s">
        <v>238</v>
      </c>
      <c r="D9" s="16" t="s">
        <v>226</v>
      </c>
      <c r="E9" s="17"/>
      <c r="F9" s="17"/>
      <c r="G9" s="17"/>
      <c r="H9" s="17"/>
      <c r="I9" s="19"/>
    </row>
    <row r="10" customFormat="false" ht="15" hidden="false" customHeight="false" outlineLevel="0" collapsed="false">
      <c r="A10" s="13" t="s">
        <v>399</v>
      </c>
      <c r="B10" s="14" t="n">
        <v>15</v>
      </c>
      <c r="C10" s="15" t="s">
        <v>238</v>
      </c>
      <c r="D10" s="16" t="s">
        <v>226</v>
      </c>
      <c r="E10" s="17"/>
      <c r="F10" s="17"/>
      <c r="G10" s="17"/>
      <c r="H10" s="17"/>
      <c r="I10" s="19"/>
    </row>
    <row r="11" customFormat="false" ht="15" hidden="false" customHeight="false" outlineLevel="0" collapsed="false">
      <c r="A11" s="13" t="s">
        <v>400</v>
      </c>
      <c r="B11" s="20" t="n">
        <f aca="false">$B$8*COS(RADIANS($B$10))</f>
        <v>24.1481456572267</v>
      </c>
      <c r="C11" s="15" t="s">
        <v>230</v>
      </c>
      <c r="D11" s="21" t="s">
        <v>401</v>
      </c>
      <c r="E11" s="15" t="n">
        <v>24.148</v>
      </c>
      <c r="F11" s="22" t="str">
        <f aca="false">IF(ABS(B11-E11)&lt;=H11,"OK","CHECK")</f>
        <v>OK</v>
      </c>
      <c r="G11" s="23" t="n">
        <f aca="false">B11/0.3048</f>
        <v>79.2261996628173</v>
      </c>
      <c r="H11" s="24" t="n">
        <v>0.0005</v>
      </c>
      <c r="I11" s="19"/>
    </row>
    <row r="12" customFormat="false" ht="15" hidden="false" customHeight="false" outlineLevel="0" collapsed="false">
      <c r="A12" s="13" t="s">
        <v>402</v>
      </c>
      <c r="B12" s="20" t="n">
        <f aca="false">$B$11*COS(RADIANS($B$9))</f>
        <v>18.4985527923462</v>
      </c>
      <c r="C12" s="15" t="s">
        <v>230</v>
      </c>
      <c r="D12" s="21" t="s">
        <v>403</v>
      </c>
      <c r="E12" s="15" t="n">
        <v>18.499</v>
      </c>
      <c r="F12" s="22" t="str">
        <f aca="false">IF(ABS(B12-E12)&lt;=H12,"OK","CHECK")</f>
        <v>OK</v>
      </c>
      <c r="G12" s="23" t="n">
        <f aca="false">B12/0.3048</f>
        <v>60.6907900011358</v>
      </c>
      <c r="H12" s="24" t="n">
        <v>0.0005</v>
      </c>
      <c r="I12" s="19"/>
    </row>
    <row r="13" customFormat="false" ht="15" hidden="false" customHeight="false" outlineLevel="0" collapsed="false">
      <c r="A13" s="13" t="s">
        <v>404</v>
      </c>
      <c r="B13" s="20" t="n">
        <f aca="false">$B$11*SIN(RADIANS($B$9))</f>
        <v>15.5221288253711</v>
      </c>
      <c r="C13" s="15" t="s">
        <v>230</v>
      </c>
      <c r="D13" s="21" t="s">
        <v>405</v>
      </c>
      <c r="E13" s="15" t="n">
        <v>15.522</v>
      </c>
      <c r="F13" s="22" t="str">
        <f aca="false">IF(ABS(B13-E13)&lt;=H13,"OK","CHECK")</f>
        <v>OK</v>
      </c>
      <c r="G13" s="23" t="n">
        <f aca="false">B13/0.3048</f>
        <v>50.9256195058108</v>
      </c>
      <c r="H13" s="24" t="n">
        <v>0.0005</v>
      </c>
      <c r="I13" s="19"/>
    </row>
    <row r="14" customFormat="false" ht="15" hidden="false" customHeight="false" outlineLevel="0" collapsed="false">
      <c r="A14" s="13" t="s">
        <v>406</v>
      </c>
      <c r="B14" s="20" t="n">
        <f aca="false">$B$8*SIN(RADIANS($B$10))</f>
        <v>6.47047612756302</v>
      </c>
      <c r="C14" s="15" t="s">
        <v>230</v>
      </c>
      <c r="D14" s="21" t="s">
        <v>407</v>
      </c>
      <c r="E14" s="15" t="n">
        <v>6.47</v>
      </c>
      <c r="F14" s="22" t="str">
        <f aca="false">IF(ABS(B14-E14)&lt;=H14,"OK","CHECK")</f>
        <v>OK</v>
      </c>
      <c r="G14" s="23" t="n">
        <f aca="false">B14/0.3048</f>
        <v>21.2285962190388</v>
      </c>
      <c r="H14" s="24" t="n">
        <v>0.0005</v>
      </c>
      <c r="I14" s="19"/>
    </row>
    <row r="15" customFormat="false" ht="15" hidden="false" customHeight="false" outlineLevel="0" collapsed="false">
      <c r="A15" s="13" t="s">
        <v>253</v>
      </c>
      <c r="B15" s="20" t="n">
        <f aca="false">SQRT($B$12^2+$B$13^2+$B$14^2)</f>
        <v>25</v>
      </c>
      <c r="C15" s="15" t="s">
        <v>230</v>
      </c>
      <c r="D15" s="21" t="s">
        <v>408</v>
      </c>
      <c r="E15" s="15" t="n">
        <v>25</v>
      </c>
      <c r="F15" s="22" t="str">
        <f aca="false">IF(ABS(B15-E15)&lt;=H15,"OK","CHECK")</f>
        <v>OK</v>
      </c>
      <c r="G15" s="23" t="n">
        <f aca="false">B15/0.3048</f>
        <v>82.0209973753281</v>
      </c>
      <c r="H15" s="24" t="n">
        <v>0.0005</v>
      </c>
      <c r="I15" s="19"/>
    </row>
    <row r="16" customFormat="false" ht="15" hidden="false" customHeight="false" outlineLevel="0" collapsed="false">
      <c r="A16" s="2"/>
      <c r="B16" s="2"/>
      <c r="C16" s="2"/>
      <c r="D16" s="2"/>
      <c r="E16" s="2"/>
      <c r="F16" s="2"/>
      <c r="G16" s="2"/>
      <c r="H16" s="2"/>
      <c r="I16" s="2"/>
    </row>
    <row r="17" customFormat="false" ht="15" hidden="false" customHeight="false" outlineLevel="0" collapsed="false">
      <c r="A17" s="10" t="s">
        <v>409</v>
      </c>
      <c r="B17" s="11"/>
      <c r="C17" s="11"/>
      <c r="D17" s="11"/>
      <c r="E17" s="11"/>
      <c r="F17" s="11"/>
      <c r="G17" s="11"/>
      <c r="H17" s="11"/>
      <c r="I17" s="11"/>
    </row>
    <row r="18" customFormat="false" ht="15" hidden="false" customHeight="true" outlineLevel="0" collapsed="false">
      <c r="A18" s="12" t="s">
        <v>410</v>
      </c>
      <c r="B18" s="12"/>
      <c r="C18" s="12"/>
      <c r="D18" s="12"/>
      <c r="E18" s="12"/>
      <c r="F18" s="12"/>
      <c r="G18" s="12"/>
      <c r="H18" s="12"/>
      <c r="I18" s="12"/>
    </row>
    <row r="19" customFormat="false" ht="15" hidden="false" customHeight="false" outlineLevel="0" collapsed="false">
      <c r="A19" s="13" t="s">
        <v>411</v>
      </c>
      <c r="B19" s="14" t="n">
        <v>16</v>
      </c>
      <c r="C19" s="15"/>
      <c r="D19" s="16" t="s">
        <v>226</v>
      </c>
      <c r="E19" s="17"/>
      <c r="F19" s="17"/>
      <c r="G19" s="17"/>
      <c r="H19" s="17"/>
      <c r="I19" s="19"/>
    </row>
    <row r="20" customFormat="false" ht="15" hidden="false" customHeight="false" outlineLevel="0" collapsed="false">
      <c r="A20" s="13" t="s">
        <v>412</v>
      </c>
      <c r="B20" s="14" t="n">
        <v>0.2</v>
      </c>
      <c r="C20" s="15" t="s">
        <v>238</v>
      </c>
      <c r="D20" s="16" t="s">
        <v>226</v>
      </c>
      <c r="E20" s="17"/>
      <c r="F20" s="17"/>
      <c r="G20" s="17"/>
      <c r="H20" s="17"/>
      <c r="I20" s="19"/>
    </row>
    <row r="21" customFormat="false" ht="15" hidden="false" customHeight="false" outlineLevel="0" collapsed="false">
      <c r="A21" s="13" t="s">
        <v>413</v>
      </c>
      <c r="B21" s="14" t="n">
        <v>10</v>
      </c>
      <c r="C21" s="15" t="s">
        <v>334</v>
      </c>
      <c r="D21" s="16" t="s">
        <v>226</v>
      </c>
      <c r="E21" s="17"/>
      <c r="F21" s="17"/>
      <c r="G21" s="17"/>
      <c r="H21" s="17"/>
      <c r="I21" s="19"/>
    </row>
    <row r="22" customFormat="false" ht="15" hidden="false" customHeight="false" outlineLevel="0" collapsed="false">
      <c r="A22" s="13" t="s">
        <v>414</v>
      </c>
      <c r="B22" s="14" t="n">
        <v>15</v>
      </c>
      <c r="C22" s="15" t="s">
        <v>225</v>
      </c>
      <c r="D22" s="16" t="s">
        <v>226</v>
      </c>
      <c r="E22" s="17"/>
      <c r="F22" s="17"/>
      <c r="G22" s="18" t="n">
        <f aca="false">B22/0.3048</f>
        <v>49.2125984251968</v>
      </c>
      <c r="H22" s="17"/>
      <c r="I22" s="19"/>
    </row>
    <row r="23" customFormat="false" ht="15" hidden="false" customHeight="false" outlineLevel="0" collapsed="false">
      <c r="A23" s="13" t="s">
        <v>415</v>
      </c>
      <c r="B23" s="14" t="n">
        <v>20</v>
      </c>
      <c r="C23" s="15" t="s">
        <v>230</v>
      </c>
      <c r="D23" s="16" t="s">
        <v>226</v>
      </c>
      <c r="E23" s="17"/>
      <c r="F23" s="17"/>
      <c r="G23" s="23" t="n">
        <f aca="false">B23/0.3048</f>
        <v>65.6167979002625</v>
      </c>
      <c r="H23" s="17"/>
      <c r="I23" s="19"/>
    </row>
    <row r="24" customFormat="false" ht="15" hidden="false" customHeight="false" outlineLevel="0" collapsed="false">
      <c r="A24" s="13" t="s">
        <v>416</v>
      </c>
      <c r="B24" s="14" t="n">
        <v>5</v>
      </c>
      <c r="C24" s="15" t="s">
        <v>225</v>
      </c>
      <c r="D24" s="16" t="s">
        <v>226</v>
      </c>
      <c r="E24" s="17"/>
      <c r="F24" s="17"/>
      <c r="G24" s="18" t="n">
        <f aca="false">B24/0.3048</f>
        <v>16.4041994750656</v>
      </c>
      <c r="H24" s="17"/>
      <c r="I24" s="19"/>
    </row>
    <row r="25" customFormat="false" ht="15" hidden="false" customHeight="false" outlineLevel="0" collapsed="false">
      <c r="A25" s="13" t="s">
        <v>417</v>
      </c>
      <c r="B25" s="20" t="n">
        <f aca="false">$B$22/$B$21</f>
        <v>1.5</v>
      </c>
      <c r="C25" s="15" t="s">
        <v>230</v>
      </c>
      <c r="D25" s="21" t="s">
        <v>418</v>
      </c>
      <c r="E25" s="15" t="n">
        <v>1.5</v>
      </c>
      <c r="F25" s="22" t="str">
        <f aca="false">IF(ABS(B25-E25)&lt;=H25,"OK","CHECK")</f>
        <v>OK</v>
      </c>
      <c r="G25" s="23" t="n">
        <f aca="false">B25/0.3048</f>
        <v>4.92125984251969</v>
      </c>
      <c r="H25" s="24" t="n">
        <v>0.0005</v>
      </c>
      <c r="I25" s="19"/>
    </row>
    <row r="26" customFormat="false" ht="15" hidden="false" customHeight="false" outlineLevel="0" collapsed="false">
      <c r="A26" s="13" t="s">
        <v>419</v>
      </c>
      <c r="B26" s="20" t="n">
        <f aca="false">$B$23*RADIANS($B$20)</f>
        <v>0.0698131700797732</v>
      </c>
      <c r="C26" s="15" t="s">
        <v>230</v>
      </c>
      <c r="D26" s="21" t="s">
        <v>420</v>
      </c>
      <c r="E26" s="15" t="n">
        <v>0.07</v>
      </c>
      <c r="F26" s="22" t="str">
        <f aca="false">IF(ABS(B26-E26)&lt;=H26,"OK","CHECK")</f>
        <v>OK</v>
      </c>
      <c r="G26" s="23" t="n">
        <f aca="false">B26/0.3048</f>
        <v>0.229045833595056</v>
      </c>
      <c r="H26" s="24" t="n">
        <v>0.0005</v>
      </c>
      <c r="I26" s="19"/>
    </row>
    <row r="27" customFormat="false" ht="15" hidden="false" customHeight="false" outlineLevel="0" collapsed="false">
      <c r="A27" s="13" t="s">
        <v>421</v>
      </c>
      <c r="B27" s="30" t="n">
        <f aca="false">360/$B$20</f>
        <v>1800</v>
      </c>
      <c r="C27" s="15"/>
      <c r="D27" s="21" t="s">
        <v>422</v>
      </c>
      <c r="E27" s="15" t="n">
        <v>1800</v>
      </c>
      <c r="F27" s="22" t="str">
        <f aca="false">IF(ABS(B27-E27)&lt;=H27,"OK","CHECK")</f>
        <v>OK</v>
      </c>
      <c r="G27" s="17"/>
      <c r="H27" s="24" t="n">
        <v>1E-006</v>
      </c>
      <c r="I27" s="19"/>
    </row>
    <row r="28" customFormat="false" ht="15" hidden="false" customHeight="false" outlineLevel="0" collapsed="false">
      <c r="A28" s="13" t="s">
        <v>423</v>
      </c>
      <c r="B28" s="30" t="n">
        <f aca="false">$B$19*$B$27*$B$21</f>
        <v>288000</v>
      </c>
      <c r="C28" s="15" t="s">
        <v>424</v>
      </c>
      <c r="D28" s="21" t="s">
        <v>425</v>
      </c>
      <c r="E28" s="15" t="n">
        <v>288000</v>
      </c>
      <c r="F28" s="22" t="str">
        <f aca="false">IF(ABS(B28-E28)&lt;=H28,"OK","CHECK")</f>
        <v>OK</v>
      </c>
      <c r="G28" s="17"/>
      <c r="H28" s="24" t="n">
        <v>1E-006</v>
      </c>
      <c r="I28" s="19"/>
    </row>
    <row r="29" customFormat="false" ht="15" hidden="false" customHeight="false" outlineLevel="0" collapsed="false">
      <c r="A29" s="13" t="s">
        <v>426</v>
      </c>
      <c r="B29" s="20" t="n">
        <f aca="false">$B$24/$B$21</f>
        <v>0.5</v>
      </c>
      <c r="C29" s="15" t="s">
        <v>230</v>
      </c>
      <c r="D29" s="21" t="s">
        <v>427</v>
      </c>
      <c r="E29" s="15" t="n">
        <v>0.5</v>
      </c>
      <c r="F29" s="22" t="str">
        <f aca="false">IF(ABS(B29-E29)&lt;=H29,"OK","CHECK")</f>
        <v>OK</v>
      </c>
      <c r="G29" s="23" t="n">
        <f aca="false">B29/0.3048</f>
        <v>1.64041994750656</v>
      </c>
      <c r="H29" s="24" t="n">
        <v>0.0005</v>
      </c>
      <c r="I29" s="19"/>
    </row>
  </sheetData>
  <mergeCells count="2">
    <mergeCell ref="A7:I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428</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429</v>
      </c>
      <c r="B6" s="11"/>
      <c r="C6" s="11"/>
      <c r="D6" s="11"/>
      <c r="E6" s="11"/>
      <c r="F6" s="11"/>
      <c r="G6" s="11"/>
      <c r="H6" s="11"/>
      <c r="I6" s="11"/>
    </row>
    <row r="7" customFormat="false" ht="15" hidden="false" customHeight="true" outlineLevel="0" collapsed="false">
      <c r="A7" s="12" t="s">
        <v>430</v>
      </c>
      <c r="B7" s="12"/>
      <c r="C7" s="12"/>
      <c r="D7" s="12"/>
      <c r="E7" s="12"/>
      <c r="F7" s="12"/>
      <c r="G7" s="12"/>
      <c r="H7" s="12"/>
      <c r="I7" s="12"/>
    </row>
    <row r="8" customFormat="false" ht="15" hidden="false" customHeight="false" outlineLevel="0" collapsed="false">
      <c r="A8" s="13" t="s">
        <v>431</v>
      </c>
      <c r="B8" s="14" t="n">
        <v>1</v>
      </c>
      <c r="C8" s="15"/>
      <c r="D8" s="16" t="s">
        <v>226</v>
      </c>
      <c r="E8" s="17"/>
      <c r="F8" s="17"/>
      <c r="G8" s="17"/>
      <c r="H8" s="17"/>
      <c r="I8" s="19"/>
    </row>
    <row r="9" customFormat="false" ht="15" hidden="false" customHeight="false" outlineLevel="0" collapsed="false">
      <c r="A9" s="13" t="s">
        <v>432</v>
      </c>
      <c r="B9" s="14" t="n">
        <v>0</v>
      </c>
      <c r="C9" s="15"/>
      <c r="D9" s="16" t="s">
        <v>226</v>
      </c>
      <c r="E9" s="17"/>
      <c r="F9" s="17"/>
      <c r="G9" s="17"/>
      <c r="H9" s="17"/>
      <c r="I9" s="19"/>
    </row>
    <row r="10" customFormat="false" ht="15" hidden="false" customHeight="false" outlineLevel="0" collapsed="false">
      <c r="A10" s="13" t="s">
        <v>433</v>
      </c>
      <c r="B10" s="14" t="n">
        <v>0</v>
      </c>
      <c r="C10" s="15"/>
      <c r="D10" s="16" t="s">
        <v>226</v>
      </c>
      <c r="E10" s="17"/>
      <c r="F10" s="17"/>
      <c r="G10" s="17"/>
      <c r="H10" s="17"/>
      <c r="I10" s="19"/>
    </row>
    <row r="11" customFormat="false" ht="15" hidden="false" customHeight="false" outlineLevel="0" collapsed="false">
      <c r="A11" s="13" t="s">
        <v>434</v>
      </c>
      <c r="B11" s="14" t="n">
        <v>0</v>
      </c>
      <c r="C11" s="15"/>
      <c r="D11" s="16" t="s">
        <v>226</v>
      </c>
      <c r="E11" s="17"/>
      <c r="F11" s="17"/>
      <c r="G11" s="17"/>
      <c r="H11" s="17"/>
      <c r="I11" s="19"/>
    </row>
    <row r="12" customFormat="false" ht="15" hidden="false" customHeight="false" outlineLevel="0" collapsed="false">
      <c r="A12" s="13" t="s">
        <v>435</v>
      </c>
      <c r="B12" s="14" t="n">
        <v>-1</v>
      </c>
      <c r="C12" s="15"/>
      <c r="D12" s="16" t="s">
        <v>226</v>
      </c>
      <c r="E12" s="17"/>
      <c r="F12" s="17"/>
      <c r="G12" s="17"/>
      <c r="H12" s="17"/>
      <c r="I12" s="19"/>
    </row>
    <row r="13" customFormat="false" ht="15" hidden="false" customHeight="false" outlineLevel="0" collapsed="false">
      <c r="A13" s="13" t="s">
        <v>436</v>
      </c>
      <c r="B13" s="14" t="n">
        <v>0</v>
      </c>
      <c r="C13" s="15"/>
      <c r="D13" s="16" t="s">
        <v>226</v>
      </c>
      <c r="E13" s="17"/>
      <c r="F13" s="17"/>
      <c r="G13" s="17"/>
      <c r="H13" s="17"/>
      <c r="I13" s="19"/>
    </row>
    <row r="14" customFormat="false" ht="15" hidden="false" customHeight="false" outlineLevel="0" collapsed="false">
      <c r="A14" s="13" t="s">
        <v>437</v>
      </c>
      <c r="B14" s="29" t="n">
        <f aca="false">$B$9*$B$13-$B$10*$B$12</f>
        <v>0</v>
      </c>
      <c r="C14" s="15"/>
      <c r="D14" s="21" t="s">
        <v>438</v>
      </c>
      <c r="E14" s="15" t="n">
        <v>0</v>
      </c>
      <c r="F14" s="22" t="str">
        <f aca="false">IF(ABS(B14-E14)&lt;=H14,"OK","CHECK")</f>
        <v>OK</v>
      </c>
      <c r="G14" s="17"/>
      <c r="H14" s="24" t="n">
        <v>1E-009</v>
      </c>
      <c r="I14" s="19"/>
    </row>
    <row r="15" customFormat="false" ht="15" hidden="false" customHeight="false" outlineLevel="0" collapsed="false">
      <c r="A15" s="13" t="s">
        <v>439</v>
      </c>
      <c r="B15" s="29" t="n">
        <f aca="false">$B$10*$B$11-$B$8*$B$13</f>
        <v>0</v>
      </c>
      <c r="C15" s="15"/>
      <c r="D15" s="21" t="s">
        <v>438</v>
      </c>
      <c r="E15" s="15" t="n">
        <v>0</v>
      </c>
      <c r="F15" s="22" t="str">
        <f aca="false">IF(ABS(B15-E15)&lt;=H15,"OK","CHECK")</f>
        <v>OK</v>
      </c>
      <c r="G15" s="17"/>
      <c r="H15" s="24" t="n">
        <v>1E-009</v>
      </c>
      <c r="I15" s="19"/>
    </row>
    <row r="16" customFormat="false" ht="15" hidden="false" customHeight="false" outlineLevel="0" collapsed="false">
      <c r="A16" s="13" t="s">
        <v>440</v>
      </c>
      <c r="B16" s="29" t="n">
        <f aca="false">$B$8*$B$12-$B$9*$B$11</f>
        <v>-1</v>
      </c>
      <c r="C16" s="15"/>
      <c r="D16" s="21" t="s">
        <v>441</v>
      </c>
      <c r="E16" s="15" t="n">
        <v>-1</v>
      </c>
      <c r="F16" s="22" t="str">
        <f aca="false">IF(ABS(B16-E16)&lt;=H16,"OK","CHECK")</f>
        <v>OK</v>
      </c>
      <c r="G16" s="17"/>
      <c r="H16" s="24" t="n">
        <v>1E-009</v>
      </c>
      <c r="I16" s="19"/>
    </row>
    <row r="17" customFormat="false" ht="15" hidden="false" customHeight="true" outlineLevel="0" collapsed="false">
      <c r="A17" s="34" t="s">
        <v>442</v>
      </c>
      <c r="B17" s="34"/>
      <c r="C17" s="34"/>
      <c r="D17" s="34"/>
      <c r="E17" s="34"/>
      <c r="F17" s="34"/>
      <c r="G17" s="34"/>
      <c r="H17" s="34"/>
      <c r="I17" s="34"/>
    </row>
    <row r="18" customFormat="false" ht="15" hidden="false" customHeight="false" outlineLevel="0" collapsed="false">
      <c r="A18" s="2"/>
      <c r="B18" s="2"/>
      <c r="C18" s="2"/>
      <c r="D18" s="2"/>
      <c r="E18" s="2"/>
      <c r="F18" s="2"/>
      <c r="G18" s="2"/>
      <c r="H18" s="2"/>
      <c r="I18" s="2"/>
    </row>
    <row r="19" customFormat="false" ht="15" hidden="false" customHeight="false" outlineLevel="0" collapsed="false">
      <c r="A19" s="10" t="s">
        <v>443</v>
      </c>
      <c r="B19" s="11"/>
      <c r="C19" s="11"/>
      <c r="D19" s="11"/>
      <c r="E19" s="11"/>
      <c r="F19" s="11"/>
      <c r="G19" s="11"/>
      <c r="H19" s="11"/>
      <c r="I19" s="11"/>
    </row>
    <row r="20" customFormat="false" ht="15" hidden="false" customHeight="false" outlineLevel="0" collapsed="false">
      <c r="A20" s="13" t="s">
        <v>444</v>
      </c>
      <c r="B20" s="14" t="n">
        <v>3</v>
      </c>
      <c r="C20" s="15"/>
      <c r="D20" s="16" t="s">
        <v>226</v>
      </c>
      <c r="E20" s="17"/>
      <c r="F20" s="17"/>
      <c r="G20" s="17"/>
      <c r="H20" s="17"/>
      <c r="I20" s="19"/>
    </row>
    <row r="21" customFormat="false" ht="15" hidden="false" customHeight="false" outlineLevel="0" collapsed="false">
      <c r="A21" s="13" t="s">
        <v>445</v>
      </c>
      <c r="B21" s="14" t="n">
        <v>4</v>
      </c>
      <c r="C21" s="15"/>
      <c r="D21" s="16" t="s">
        <v>226</v>
      </c>
      <c r="E21" s="17"/>
      <c r="F21" s="17"/>
      <c r="G21" s="17"/>
      <c r="H21" s="17"/>
      <c r="I21" s="19"/>
    </row>
    <row r="22" customFormat="false" ht="15" hidden="false" customHeight="false" outlineLevel="0" collapsed="false">
      <c r="A22" s="13" t="s">
        <v>446</v>
      </c>
      <c r="B22" s="14" t="n">
        <v>30</v>
      </c>
      <c r="C22" s="15" t="s">
        <v>238</v>
      </c>
      <c r="D22" s="16" t="s">
        <v>226</v>
      </c>
      <c r="E22" s="17"/>
      <c r="F22" s="17"/>
      <c r="G22" s="17"/>
      <c r="H22" s="17"/>
      <c r="I22" s="19"/>
    </row>
    <row r="23" customFormat="false" ht="15" hidden="false" customHeight="false" outlineLevel="0" collapsed="false">
      <c r="A23" s="13" t="s">
        <v>447</v>
      </c>
      <c r="B23" s="20" t="n">
        <f aca="false">COS(RADIANS($B$22))*$B$20-SIN(RADIANS($B$22))*$B$21</f>
        <v>0.598076211353316</v>
      </c>
      <c r="C23" s="15"/>
      <c r="D23" s="21" t="s">
        <v>448</v>
      </c>
      <c r="E23" s="15" t="n">
        <v>0.598</v>
      </c>
      <c r="F23" s="22" t="str">
        <f aca="false">IF(ABS(B23-E23)&lt;=H23,"OK","CHECK")</f>
        <v>OK</v>
      </c>
      <c r="G23" s="17"/>
      <c r="H23" s="24" t="n">
        <v>0.0005</v>
      </c>
      <c r="I23" s="19"/>
    </row>
    <row r="24" customFormat="false" ht="15" hidden="false" customHeight="false" outlineLevel="0" collapsed="false">
      <c r="A24" s="13" t="s">
        <v>449</v>
      </c>
      <c r="B24" s="20" t="n">
        <f aca="false">SIN(RADIANS($B$22))*$B$20+COS(RADIANS($B$22))*$B$21</f>
        <v>4.96410161513775</v>
      </c>
      <c r="C24" s="15"/>
      <c r="D24" s="21" t="s">
        <v>450</v>
      </c>
      <c r="E24" s="15" t="n">
        <v>4.964</v>
      </c>
      <c r="F24" s="22" t="str">
        <f aca="false">IF(ABS(B24-E24)&lt;=H24,"OK","CHECK")</f>
        <v>OK</v>
      </c>
      <c r="G24" s="17"/>
      <c r="H24" s="24" t="n">
        <v>0.0005</v>
      </c>
      <c r="I24" s="19"/>
    </row>
    <row r="25" customFormat="false" ht="15" hidden="false" customHeight="false" outlineLevel="0" collapsed="false">
      <c r="A25" s="13" t="s">
        <v>451</v>
      </c>
      <c r="B25" s="20" t="n">
        <f aca="false">SQRT($B$23^2+$B$24^2)</f>
        <v>5</v>
      </c>
      <c r="C25" s="15"/>
      <c r="D25" s="21" t="s">
        <v>452</v>
      </c>
      <c r="E25" s="15" t="n">
        <v>5</v>
      </c>
      <c r="F25" s="22" t="str">
        <f aca="false">IF(ABS(B25-E25)&lt;=H25,"OK","CHECK")</f>
        <v>OK</v>
      </c>
      <c r="G25" s="17"/>
      <c r="H25" s="24" t="n">
        <v>0.0005</v>
      </c>
      <c r="I25" s="19"/>
    </row>
    <row r="26" customFormat="false" ht="15" hidden="false" customHeight="false" outlineLevel="0" collapsed="false">
      <c r="A26" s="2"/>
      <c r="B26" s="2"/>
      <c r="C26" s="2"/>
      <c r="D26" s="2"/>
      <c r="E26" s="2"/>
      <c r="F26" s="2"/>
      <c r="G26" s="2"/>
      <c r="H26" s="2"/>
      <c r="I26" s="2"/>
    </row>
    <row r="27" customFormat="false" ht="15" hidden="false" customHeight="false" outlineLevel="0" collapsed="false">
      <c r="A27" s="10" t="s">
        <v>453</v>
      </c>
      <c r="B27" s="11"/>
      <c r="C27" s="11"/>
      <c r="D27" s="11"/>
      <c r="E27" s="11"/>
      <c r="F27" s="11"/>
      <c r="G27" s="11"/>
      <c r="H27" s="11"/>
      <c r="I27" s="11"/>
    </row>
    <row r="28" customFormat="false" ht="15" hidden="false" customHeight="true" outlineLevel="0" collapsed="false">
      <c r="A28" s="12" t="s">
        <v>454</v>
      </c>
      <c r="B28" s="12"/>
      <c r="C28" s="12"/>
      <c r="D28" s="12"/>
      <c r="E28" s="12"/>
      <c r="F28" s="12"/>
      <c r="G28" s="12"/>
      <c r="H28" s="12"/>
      <c r="I28" s="12"/>
    </row>
    <row r="29" customFormat="false" ht="15" hidden="false" customHeight="false" outlineLevel="0" collapsed="false">
      <c r="A29" s="13" t="s">
        <v>455</v>
      </c>
      <c r="B29" s="14" t="n">
        <v>0.0842</v>
      </c>
      <c r="C29" s="15" t="s">
        <v>456</v>
      </c>
      <c r="D29" s="16" t="s">
        <v>226</v>
      </c>
      <c r="E29" s="17"/>
      <c r="F29" s="17"/>
      <c r="G29" s="17"/>
      <c r="H29" s="17"/>
      <c r="I29" s="19"/>
    </row>
    <row r="30" customFormat="false" ht="15" hidden="false" customHeight="false" outlineLevel="0" collapsed="false">
      <c r="A30" s="13" t="s">
        <v>457</v>
      </c>
      <c r="B30" s="14" t="n">
        <v>0.005</v>
      </c>
      <c r="C30" s="15" t="s">
        <v>228</v>
      </c>
      <c r="D30" s="16" t="s">
        <v>226</v>
      </c>
      <c r="E30" s="17"/>
      <c r="F30" s="17"/>
      <c r="G30" s="17"/>
      <c r="H30" s="17"/>
      <c r="I30" s="19"/>
    </row>
    <row r="31" customFormat="false" ht="15" hidden="false" customHeight="false" outlineLevel="0" collapsed="false">
      <c r="A31" s="13" t="s">
        <v>458</v>
      </c>
      <c r="B31" s="14" t="n">
        <v>200</v>
      </c>
      <c r="C31" s="15"/>
      <c r="D31" s="16" t="s">
        <v>226</v>
      </c>
      <c r="E31" s="17"/>
      <c r="F31" s="17"/>
      <c r="G31" s="17"/>
      <c r="H31" s="17"/>
      <c r="I31" s="19"/>
    </row>
    <row r="32" customFormat="false" ht="15" hidden="false" customHeight="false" outlineLevel="0" collapsed="false">
      <c r="A32" s="13" t="s">
        <v>459</v>
      </c>
      <c r="B32" s="25" t="n">
        <f aca="false">$B$29*$B$30</f>
        <v>0.000421</v>
      </c>
      <c r="C32" s="15" t="s">
        <v>241</v>
      </c>
      <c r="D32" s="21" t="s">
        <v>460</v>
      </c>
      <c r="E32" s="15" t="n">
        <v>0.000421</v>
      </c>
      <c r="F32" s="22" t="str">
        <f aca="false">IF(ABS(B32-E32)&lt;=H32,"OK","CHECK")</f>
        <v>OK</v>
      </c>
      <c r="G32" s="17"/>
      <c r="H32" s="24" t="n">
        <v>5E-007</v>
      </c>
      <c r="I32" s="19"/>
    </row>
    <row r="33" customFormat="false" ht="15" hidden="false" customHeight="false" outlineLevel="0" collapsed="false">
      <c r="A33" s="13" t="s">
        <v>461</v>
      </c>
      <c r="B33" s="27" t="n">
        <f aca="false">DEGREES($B$32)</f>
        <v>0.0241215231750077</v>
      </c>
      <c r="C33" s="15" t="s">
        <v>238</v>
      </c>
      <c r="D33" s="21"/>
      <c r="E33" s="15" t="n">
        <v>0.0241</v>
      </c>
      <c r="F33" s="22" t="str">
        <f aca="false">IF(ABS(B33-E33)&lt;=H33,"OK","CHECK")</f>
        <v>OK</v>
      </c>
      <c r="G33" s="17"/>
      <c r="H33" s="24" t="n">
        <v>5E-005</v>
      </c>
      <c r="I33" s="19"/>
    </row>
    <row r="34" customFormat="false" ht="15" hidden="false" customHeight="false" outlineLevel="0" collapsed="false">
      <c r="A34" s="13" t="s">
        <v>462</v>
      </c>
      <c r="B34" s="35" t="n">
        <f aca="false">COS($B$32)</f>
        <v>0.999999911379501</v>
      </c>
      <c r="C34" s="15"/>
      <c r="D34" s="21"/>
      <c r="E34" s="15" t="n">
        <v>0.99999991</v>
      </c>
      <c r="F34" s="22" t="str">
        <f aca="false">IF(ABS(B34-E34)&lt;=H34,"OK","CHECK")</f>
        <v>OK</v>
      </c>
      <c r="G34" s="17"/>
      <c r="H34" s="24" t="n">
        <v>1E-008</v>
      </c>
      <c r="I34" s="19"/>
    </row>
    <row r="35" customFormat="false" ht="15" hidden="false" customHeight="false" outlineLevel="0" collapsed="false">
      <c r="A35" s="13" t="s">
        <v>463</v>
      </c>
      <c r="B35" s="27" t="n">
        <f aca="false">$B$31*$B$32</f>
        <v>0.0842</v>
      </c>
      <c r="C35" s="15" t="s">
        <v>241</v>
      </c>
      <c r="D35" s="21" t="s">
        <v>464</v>
      </c>
      <c r="E35" s="15" t="n">
        <v>0.0842</v>
      </c>
      <c r="F35" s="22" t="str">
        <f aca="false">IF(ABS(B35-E35)&lt;=H35,"OK","CHECK")</f>
        <v>OK</v>
      </c>
      <c r="G35" s="17"/>
      <c r="H35" s="24" t="n">
        <v>1E-006</v>
      </c>
      <c r="I35" s="19"/>
    </row>
    <row r="36" customFormat="false" ht="15" hidden="false" customHeight="false" outlineLevel="0" collapsed="false">
      <c r="A36" s="13" t="s">
        <v>461</v>
      </c>
      <c r="B36" s="28" t="n">
        <f aca="false">DEGREES($B$35)</f>
        <v>4.82430463500153</v>
      </c>
      <c r="C36" s="15" t="s">
        <v>238</v>
      </c>
      <c r="D36" s="21"/>
      <c r="E36" s="15" t="n">
        <v>4.82</v>
      </c>
      <c r="F36" s="22" t="str">
        <f aca="false">IF(ABS(B36-E36)&lt;=H36,"OK","CHECK")</f>
        <v>OK</v>
      </c>
      <c r="G36" s="17"/>
      <c r="H36" s="24" t="n">
        <v>0.005</v>
      </c>
      <c r="I36" s="19"/>
    </row>
    <row r="37" customFormat="false" ht="15" hidden="false" customHeight="false" outlineLevel="0" collapsed="false">
      <c r="A37" s="2"/>
      <c r="B37" s="2"/>
      <c r="C37" s="2"/>
      <c r="D37" s="2"/>
      <c r="E37" s="2"/>
      <c r="F37" s="2"/>
      <c r="G37" s="2"/>
      <c r="H37" s="2"/>
      <c r="I37" s="2"/>
    </row>
    <row r="38" customFormat="false" ht="15" hidden="false" customHeight="false" outlineLevel="0" collapsed="false">
      <c r="A38" s="10" t="s">
        <v>465</v>
      </c>
      <c r="B38" s="11"/>
      <c r="C38" s="11"/>
      <c r="D38" s="11"/>
      <c r="E38" s="11"/>
      <c r="F38" s="11"/>
      <c r="G38" s="11"/>
      <c r="H38" s="11"/>
      <c r="I38" s="11"/>
    </row>
    <row r="39" customFormat="false" ht="15" hidden="false" customHeight="false" outlineLevel="0" collapsed="false">
      <c r="A39" s="13" t="s">
        <v>466</v>
      </c>
      <c r="B39" s="14" t="n">
        <v>0.05</v>
      </c>
      <c r="C39" s="15" t="s">
        <v>238</v>
      </c>
      <c r="D39" s="16" t="s">
        <v>226</v>
      </c>
      <c r="E39" s="17"/>
      <c r="F39" s="17"/>
      <c r="G39" s="17"/>
      <c r="H39" s="17"/>
      <c r="I39" s="19"/>
    </row>
    <row r="40" customFormat="false" ht="15" hidden="false" customHeight="false" outlineLevel="0" collapsed="false">
      <c r="A40" s="13" t="s">
        <v>329</v>
      </c>
      <c r="B40" s="14" t="n">
        <v>80</v>
      </c>
      <c r="C40" s="15" t="s">
        <v>230</v>
      </c>
      <c r="D40" s="16" t="s">
        <v>226</v>
      </c>
      <c r="E40" s="17"/>
      <c r="F40" s="17"/>
      <c r="G40" s="23" t="n">
        <f aca="false">B40/0.3048</f>
        <v>262.46719160105</v>
      </c>
      <c r="H40" s="17"/>
      <c r="I40" s="19"/>
    </row>
    <row r="41" customFormat="false" ht="15" hidden="false" customHeight="false" outlineLevel="0" collapsed="false">
      <c r="A41" s="13" t="s">
        <v>467</v>
      </c>
      <c r="B41" s="36" t="n">
        <f aca="false">RADIANS($B$39)</f>
        <v>0.000872664625997165</v>
      </c>
      <c r="C41" s="15" t="s">
        <v>241</v>
      </c>
      <c r="D41" s="21" t="s">
        <v>242</v>
      </c>
      <c r="E41" s="15" t="n">
        <v>0.0008727</v>
      </c>
      <c r="F41" s="22" t="str">
        <f aca="false">IF(ABS(B41-E41)&lt;=H41,"OK","CHECK")</f>
        <v>OK</v>
      </c>
      <c r="G41" s="17"/>
      <c r="H41" s="24" t="n">
        <v>1E-007</v>
      </c>
      <c r="I41" s="19"/>
    </row>
    <row r="42" customFormat="false" ht="15" hidden="false" customHeight="false" outlineLevel="0" collapsed="false">
      <c r="A42" s="13" t="s">
        <v>468</v>
      </c>
      <c r="B42" s="27" t="n">
        <f aca="false">$B$40*$B$41</f>
        <v>0.0698131700797732</v>
      </c>
      <c r="C42" s="15" t="s">
        <v>230</v>
      </c>
      <c r="D42" s="21" t="s">
        <v>469</v>
      </c>
      <c r="E42" s="15" t="n">
        <v>0.0698</v>
      </c>
      <c r="F42" s="22" t="str">
        <f aca="false">IF(ABS(B42-E42)&lt;=H42,"OK","CHECK")</f>
        <v>OK</v>
      </c>
      <c r="G42" s="23" t="n">
        <f aca="false">B42/0.3048</f>
        <v>0.229045833595056</v>
      </c>
      <c r="H42" s="24" t="n">
        <v>5E-005</v>
      </c>
      <c r="I42" s="19"/>
    </row>
    <row r="43" customFormat="false" ht="15" hidden="false" customHeight="false" outlineLevel="0" collapsed="false">
      <c r="A43" s="13" t="s">
        <v>470</v>
      </c>
      <c r="B43" s="28" t="n">
        <f aca="false">100*$B$41*100</f>
        <v>8.72664625997165</v>
      </c>
      <c r="C43" s="15" t="s">
        <v>300</v>
      </c>
      <c r="D43" s="21" t="s">
        <v>471</v>
      </c>
      <c r="E43" s="15" t="n">
        <v>8.7</v>
      </c>
      <c r="F43" s="22" t="str">
        <f aca="false">IF(ABS(B43-E43)&lt;=H43,"OK","CHECK")</f>
        <v>OK</v>
      </c>
      <c r="G43" s="23" t="n">
        <f aca="false">B43/30.48</f>
        <v>0.28630729199382</v>
      </c>
      <c r="H43" s="24" t="n">
        <v>0.05</v>
      </c>
      <c r="I43" s="19"/>
    </row>
    <row r="44" customFormat="false" ht="15" hidden="false" customHeight="false" outlineLevel="0" collapsed="false">
      <c r="A44" s="13" t="s">
        <v>472</v>
      </c>
      <c r="B44" s="28" t="n">
        <f aca="false">100*RADIANS(0.1)*100</f>
        <v>17.4532925199433</v>
      </c>
      <c r="C44" s="15" t="s">
        <v>300</v>
      </c>
      <c r="D44" s="21" t="s">
        <v>473</v>
      </c>
      <c r="E44" s="15" t="n">
        <v>17.5</v>
      </c>
      <c r="F44" s="22" t="str">
        <f aca="false">IF(ABS(B44-E44)&lt;=H44,"OK","CHECK")</f>
        <v>OK</v>
      </c>
      <c r="G44" s="23" t="n">
        <f aca="false">B44/30.48</f>
        <v>0.572614583987641</v>
      </c>
      <c r="H44" s="24" t="n">
        <v>0.06</v>
      </c>
      <c r="I44" s="19"/>
    </row>
  </sheetData>
  <mergeCells count="3">
    <mergeCell ref="A7:I7"/>
    <mergeCell ref="A17:I17"/>
    <mergeCell ref="A28:I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474</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475</v>
      </c>
      <c r="B6" s="11"/>
      <c r="C6" s="11"/>
      <c r="D6" s="11"/>
      <c r="E6" s="11"/>
      <c r="F6" s="11"/>
      <c r="G6" s="11"/>
      <c r="H6" s="11"/>
      <c r="I6" s="11"/>
    </row>
    <row r="7" customFormat="false" ht="15" hidden="false" customHeight="true" outlineLevel="0" collapsed="false">
      <c r="A7" s="12" t="s">
        <v>476</v>
      </c>
      <c r="B7" s="12"/>
      <c r="C7" s="12"/>
      <c r="D7" s="12"/>
      <c r="E7" s="12"/>
      <c r="F7" s="12"/>
      <c r="G7" s="12"/>
      <c r="H7" s="12"/>
      <c r="I7" s="12"/>
    </row>
    <row r="8" customFormat="false" ht="15" hidden="false" customHeight="false" outlineLevel="0" collapsed="false">
      <c r="A8" s="13" t="s">
        <v>457</v>
      </c>
      <c r="B8" s="14" t="n">
        <v>0.01</v>
      </c>
      <c r="C8" s="15" t="s">
        <v>228</v>
      </c>
      <c r="D8" s="16" t="s">
        <v>226</v>
      </c>
      <c r="E8" s="17"/>
      <c r="F8" s="17"/>
      <c r="G8" s="17"/>
      <c r="H8" s="17"/>
      <c r="I8" s="19"/>
    </row>
    <row r="9" customFormat="false" ht="15" hidden="false" customHeight="false" outlineLevel="0" collapsed="false">
      <c r="A9" s="13" t="s">
        <v>477</v>
      </c>
      <c r="B9" s="14" t="n">
        <v>15</v>
      </c>
      <c r="C9" s="15" t="s">
        <v>225</v>
      </c>
      <c r="D9" s="16" t="s">
        <v>226</v>
      </c>
      <c r="E9" s="17"/>
      <c r="F9" s="17"/>
      <c r="G9" s="18" t="n">
        <f aca="false">B9/0.3048</f>
        <v>49.2125984251968</v>
      </c>
      <c r="H9" s="17"/>
      <c r="I9" s="19"/>
    </row>
    <row r="10" customFormat="false" ht="15" hidden="false" customHeight="false" outlineLevel="0" collapsed="false">
      <c r="A10" s="13" t="s">
        <v>478</v>
      </c>
      <c r="B10" s="14" t="n">
        <v>100</v>
      </c>
      <c r="C10" s="15" t="s">
        <v>230</v>
      </c>
      <c r="D10" s="16" t="s">
        <v>226</v>
      </c>
      <c r="E10" s="17"/>
      <c r="F10" s="17"/>
      <c r="G10" s="23" t="n">
        <f aca="false">B10/0.3048</f>
        <v>328.083989501312</v>
      </c>
      <c r="H10" s="17"/>
      <c r="I10" s="19"/>
    </row>
    <row r="11" customFormat="false" ht="15" hidden="false" customHeight="false" outlineLevel="0" collapsed="false">
      <c r="A11" s="13" t="s">
        <v>479</v>
      </c>
      <c r="B11" s="14" t="n">
        <v>0.8</v>
      </c>
      <c r="C11" s="15" t="s">
        <v>480</v>
      </c>
      <c r="D11" s="16" t="s">
        <v>226</v>
      </c>
      <c r="E11" s="17"/>
      <c r="F11" s="17"/>
      <c r="G11" s="17"/>
      <c r="H11" s="17"/>
      <c r="I11" s="19"/>
    </row>
    <row r="12" customFormat="false" ht="15" hidden="false" customHeight="false" outlineLevel="0" collapsed="false">
      <c r="A12" s="13" t="s">
        <v>481</v>
      </c>
      <c r="B12" s="14" t="n">
        <v>9.81</v>
      </c>
      <c r="C12" s="15" t="s">
        <v>480</v>
      </c>
      <c r="D12" s="16" t="s">
        <v>226</v>
      </c>
      <c r="E12" s="17"/>
      <c r="F12" s="17"/>
      <c r="G12" s="17"/>
      <c r="H12" s="17"/>
      <c r="I12" s="19"/>
    </row>
    <row r="13" customFormat="false" ht="15" hidden="false" customHeight="false" outlineLevel="0" collapsed="false">
      <c r="A13" s="13" t="s">
        <v>482</v>
      </c>
      <c r="B13" s="14" t="n">
        <v>9.81</v>
      </c>
      <c r="C13" s="15" t="s">
        <v>480</v>
      </c>
      <c r="D13" s="16" t="s">
        <v>226</v>
      </c>
      <c r="E13" s="17"/>
      <c r="F13" s="17"/>
      <c r="G13" s="17"/>
      <c r="H13" s="17"/>
      <c r="I13" s="19"/>
    </row>
    <row r="14" customFormat="false" ht="15" hidden="false" customHeight="false" outlineLevel="0" collapsed="false">
      <c r="A14" s="13" t="s">
        <v>483</v>
      </c>
      <c r="B14" s="20" t="n">
        <f aca="false">(-$B$13+$B$12)*$B$8</f>
        <v>0</v>
      </c>
      <c r="C14" s="15" t="s">
        <v>225</v>
      </c>
      <c r="D14" s="21" t="s">
        <v>484</v>
      </c>
      <c r="E14" s="15" t="n">
        <v>0</v>
      </c>
      <c r="F14" s="22" t="str">
        <f aca="false">IF(ABS(B14-E14)&lt;=H14,"OK","CHECK")</f>
        <v>OK</v>
      </c>
      <c r="G14" s="18" t="n">
        <f aca="false">B14/0.3048</f>
        <v>0</v>
      </c>
      <c r="H14" s="24" t="n">
        <v>1E-009</v>
      </c>
      <c r="I14" s="19"/>
    </row>
    <row r="15" customFormat="false" ht="15" hidden="false" customHeight="false" outlineLevel="0" collapsed="false">
      <c r="A15" s="13" t="s">
        <v>485</v>
      </c>
      <c r="B15" s="20" t="n">
        <f aca="false">$B$9+$B$11*$B$8</f>
        <v>15.008</v>
      </c>
      <c r="C15" s="15" t="s">
        <v>225</v>
      </c>
      <c r="D15" s="21" t="s">
        <v>486</v>
      </c>
      <c r="E15" s="15" t="n">
        <v>15.008</v>
      </c>
      <c r="F15" s="22" t="str">
        <f aca="false">IF(ABS(B15-E15)&lt;=H15,"OK","CHECK")</f>
        <v>OK</v>
      </c>
      <c r="G15" s="18" t="n">
        <f aca="false">B15/0.3048</f>
        <v>49.238845144357</v>
      </c>
      <c r="H15" s="24" t="n">
        <v>0.0005</v>
      </c>
      <c r="I15" s="19"/>
    </row>
    <row r="16" customFormat="false" ht="15" hidden="false" customHeight="false" outlineLevel="0" collapsed="false">
      <c r="A16" s="13" t="s">
        <v>487</v>
      </c>
      <c r="B16" s="33" t="n">
        <f aca="false">$B$10+$B$9*$B$8+0.5*$B$11*$B$8^2</f>
        <v>100.15004</v>
      </c>
      <c r="C16" s="15" t="s">
        <v>230</v>
      </c>
      <c r="D16" s="21" t="s">
        <v>488</v>
      </c>
      <c r="E16" s="15" t="n">
        <v>100.15004</v>
      </c>
      <c r="F16" s="22" t="str">
        <f aca="false">IF(ABS(B16-E16)&lt;=H16,"OK","CHECK")</f>
        <v>OK</v>
      </c>
      <c r="G16" s="23" t="n">
        <f aca="false">B16/0.3048</f>
        <v>328.57624671916</v>
      </c>
      <c r="H16" s="24" t="n">
        <v>5E-006</v>
      </c>
      <c r="I16" s="19"/>
    </row>
    <row r="17" customFormat="false" ht="15" hidden="false" customHeight="false" outlineLevel="0" collapsed="false">
      <c r="A17" s="13" t="s">
        <v>489</v>
      </c>
      <c r="B17" s="32" t="n">
        <f aca="false">$B$11*$B$8*1000</f>
        <v>8</v>
      </c>
      <c r="C17" s="15" t="s">
        <v>490</v>
      </c>
      <c r="D17" s="21" t="s">
        <v>491</v>
      </c>
      <c r="E17" s="15" t="n">
        <v>8</v>
      </c>
      <c r="F17" s="22" t="str">
        <f aca="false">IF(ABS(B17-E17)&lt;=H17,"OK","CHECK")</f>
        <v>OK</v>
      </c>
      <c r="G17" s="17"/>
      <c r="H17" s="24" t="n">
        <v>1E-006</v>
      </c>
      <c r="I17" s="19"/>
    </row>
    <row r="18" customFormat="false" ht="15" hidden="false" customHeight="false" outlineLevel="0" collapsed="false">
      <c r="A18" s="2"/>
      <c r="B18" s="2"/>
      <c r="C18" s="2"/>
      <c r="D18" s="2"/>
      <c r="E18" s="2"/>
      <c r="F18" s="2"/>
      <c r="G18" s="2"/>
      <c r="H18" s="2"/>
      <c r="I18" s="2"/>
    </row>
    <row r="19" customFormat="false" ht="15" hidden="false" customHeight="false" outlineLevel="0" collapsed="false">
      <c r="A19" s="10" t="s">
        <v>492</v>
      </c>
      <c r="B19" s="11"/>
      <c r="C19" s="11"/>
      <c r="D19" s="11"/>
      <c r="E19" s="11"/>
      <c r="F19" s="11"/>
      <c r="G19" s="11"/>
      <c r="H19" s="11"/>
      <c r="I19" s="11"/>
    </row>
    <row r="20" customFormat="false" ht="15" hidden="false" customHeight="true" outlineLevel="0" collapsed="false">
      <c r="A20" s="12" t="s">
        <v>493</v>
      </c>
      <c r="B20" s="12"/>
      <c r="C20" s="12"/>
      <c r="D20" s="12"/>
      <c r="E20" s="12"/>
      <c r="F20" s="12"/>
      <c r="G20" s="12"/>
      <c r="H20" s="12"/>
      <c r="I20" s="12"/>
    </row>
    <row r="21" customFormat="false" ht="15" hidden="false" customHeight="false" outlineLevel="0" collapsed="false">
      <c r="A21" s="13" t="s">
        <v>494</v>
      </c>
      <c r="B21" s="14" t="n">
        <v>1</v>
      </c>
      <c r="C21" s="15" t="s">
        <v>495</v>
      </c>
      <c r="D21" s="16" t="s">
        <v>226</v>
      </c>
      <c r="E21" s="17"/>
      <c r="F21" s="17"/>
      <c r="G21" s="17"/>
      <c r="H21" s="17"/>
      <c r="I21" s="19"/>
    </row>
    <row r="22" customFormat="false" ht="15" hidden="false" customHeight="false" outlineLevel="0" collapsed="false">
      <c r="A22" s="13" t="s">
        <v>496</v>
      </c>
      <c r="B22" s="14" t="n">
        <v>0.5</v>
      </c>
      <c r="C22" s="15" t="s">
        <v>497</v>
      </c>
      <c r="D22" s="16" t="s">
        <v>226</v>
      </c>
      <c r="E22" s="17"/>
      <c r="F22" s="17"/>
      <c r="G22" s="17"/>
      <c r="H22" s="17"/>
      <c r="I22" s="19"/>
    </row>
    <row r="23" customFormat="false" ht="15" hidden="false" customHeight="false" outlineLevel="0" collapsed="false">
      <c r="A23" s="13" t="s">
        <v>414</v>
      </c>
      <c r="B23" s="14" t="n">
        <v>15</v>
      </c>
      <c r="C23" s="15" t="s">
        <v>225</v>
      </c>
      <c r="D23" s="16" t="s">
        <v>226</v>
      </c>
      <c r="E23" s="17"/>
      <c r="F23" s="17"/>
      <c r="G23" s="18" t="n">
        <f aca="false">B23/0.3048</f>
        <v>49.2125984251968</v>
      </c>
      <c r="H23" s="17"/>
      <c r="I23" s="19"/>
    </row>
    <row r="24" customFormat="false" ht="15" hidden="false" customHeight="false" outlineLevel="0" collapsed="false">
      <c r="A24" s="13" t="s">
        <v>498</v>
      </c>
      <c r="B24" s="14" t="n">
        <v>60</v>
      </c>
      <c r="C24" s="15" t="s">
        <v>228</v>
      </c>
      <c r="D24" s="16" t="s">
        <v>226</v>
      </c>
      <c r="E24" s="17"/>
      <c r="F24" s="17"/>
      <c r="G24" s="17"/>
      <c r="H24" s="17"/>
      <c r="I24" s="19"/>
    </row>
    <row r="25" customFormat="false" ht="15" hidden="false" customHeight="false" outlineLevel="0" collapsed="false">
      <c r="A25" s="13" t="s">
        <v>499</v>
      </c>
      <c r="B25" s="14" t="n">
        <v>9.80665</v>
      </c>
      <c r="C25" s="15" t="s">
        <v>480</v>
      </c>
      <c r="D25" s="16" t="s">
        <v>226</v>
      </c>
      <c r="E25" s="17"/>
      <c r="F25" s="17"/>
      <c r="G25" s="17"/>
      <c r="H25" s="17"/>
      <c r="I25" s="19"/>
    </row>
    <row r="26" customFormat="false" ht="15" hidden="false" customHeight="false" outlineLevel="0" collapsed="false">
      <c r="A26" s="13" t="s">
        <v>500</v>
      </c>
      <c r="B26" s="14" t="n">
        <v>30</v>
      </c>
      <c r="C26" s="15" t="s">
        <v>228</v>
      </c>
      <c r="D26" s="16" t="s">
        <v>226</v>
      </c>
      <c r="E26" s="17"/>
      <c r="F26" s="17"/>
      <c r="G26" s="17"/>
      <c r="H26" s="17"/>
      <c r="I26" s="19"/>
    </row>
    <row r="27" customFormat="false" ht="15" hidden="false" customHeight="false" outlineLevel="0" collapsed="false">
      <c r="A27" s="13" t="s">
        <v>501</v>
      </c>
      <c r="B27" s="26" t="n">
        <f aca="false">RADIANS($B$21/3600)</f>
        <v>4.84813681109536E-006</v>
      </c>
      <c r="C27" s="15" t="s">
        <v>456</v>
      </c>
      <c r="D27" s="21" t="s">
        <v>502</v>
      </c>
      <c r="E27" s="15" t="n">
        <v>4.848E-006</v>
      </c>
      <c r="F27" s="22" t="str">
        <f aca="false">IF(ABS(B27-E27)&lt;=H27,"OK","CHECK")</f>
        <v>OK</v>
      </c>
      <c r="G27" s="17"/>
      <c r="H27" s="24" t="n">
        <v>1E-009</v>
      </c>
      <c r="I27" s="19"/>
    </row>
    <row r="28" customFormat="false" ht="15" hidden="false" customHeight="false" outlineLevel="0" collapsed="false">
      <c r="A28" s="13" t="s">
        <v>466</v>
      </c>
      <c r="B28" s="26" t="n">
        <f aca="false">$B$27*$B$24</f>
        <v>0.000290888208665722</v>
      </c>
      <c r="C28" s="15" t="s">
        <v>241</v>
      </c>
      <c r="D28" s="21" t="s">
        <v>503</v>
      </c>
      <c r="E28" s="15" t="n">
        <v>0.0002909</v>
      </c>
      <c r="F28" s="22" t="str">
        <f aca="false">IF(ABS(B28-E28)&lt;=H28,"OK","CHECK")</f>
        <v>OK</v>
      </c>
      <c r="G28" s="17"/>
      <c r="H28" s="24" t="n">
        <v>1E-007</v>
      </c>
      <c r="I28" s="19"/>
    </row>
    <row r="29" customFormat="false" ht="15" hidden="false" customHeight="false" outlineLevel="0" collapsed="false">
      <c r="A29" s="13" t="s">
        <v>504</v>
      </c>
      <c r="B29" s="27" t="n">
        <f aca="false">DEGREES($B$28)</f>
        <v>0.0166666666666667</v>
      </c>
      <c r="C29" s="15" t="s">
        <v>238</v>
      </c>
      <c r="D29" s="21"/>
      <c r="E29" s="15" t="n">
        <v>0.0167</v>
      </c>
      <c r="F29" s="22" t="str">
        <f aca="false">IF(ABS(B29-E29)&lt;=H29,"OK","CHECK")</f>
        <v>OK</v>
      </c>
      <c r="G29" s="17"/>
      <c r="H29" s="24" t="n">
        <v>5E-005</v>
      </c>
      <c r="I29" s="19"/>
    </row>
    <row r="30" customFormat="false" ht="15" hidden="false" customHeight="false" outlineLevel="0" collapsed="false">
      <c r="A30" s="13" t="s">
        <v>505</v>
      </c>
      <c r="B30" s="20" t="n">
        <f aca="false">0.5*$B$23*$B$27*$B$24^2</f>
        <v>0.130899693899575</v>
      </c>
      <c r="C30" s="15" t="s">
        <v>230</v>
      </c>
      <c r="D30" s="21" t="s">
        <v>506</v>
      </c>
      <c r="E30" s="15" t="n">
        <v>0.131</v>
      </c>
      <c r="F30" s="22" t="str">
        <f aca="false">IF(ABS(B30-E30)&lt;=H30,"OK","CHECK")</f>
        <v>OK</v>
      </c>
      <c r="G30" s="23" t="n">
        <f aca="false">B30/0.3048</f>
        <v>0.429460937990731</v>
      </c>
      <c r="H30" s="24" t="n">
        <v>0.0005</v>
      </c>
      <c r="I30" s="19"/>
    </row>
    <row r="31" customFormat="false" ht="15" hidden="false" customHeight="false" outlineLevel="0" collapsed="false">
      <c r="A31" s="13" t="s">
        <v>507</v>
      </c>
      <c r="B31" s="25" t="n">
        <f aca="false">$B$22*0.001*$B$25</f>
        <v>0.004903325</v>
      </c>
      <c r="C31" s="15" t="s">
        <v>480</v>
      </c>
      <c r="D31" s="21" t="s">
        <v>508</v>
      </c>
      <c r="E31" s="15" t="n">
        <v>0.004903</v>
      </c>
      <c r="F31" s="22" t="str">
        <f aca="false">IF(ABS(B31-E31)&lt;=H31,"OK","CHECK")</f>
        <v>OK</v>
      </c>
      <c r="G31" s="17"/>
      <c r="H31" s="24" t="n">
        <v>1E-006</v>
      </c>
      <c r="I31" s="19"/>
    </row>
    <row r="32" customFormat="false" ht="15" hidden="false" customHeight="false" outlineLevel="0" collapsed="false">
      <c r="A32" s="13" t="s">
        <v>509</v>
      </c>
      <c r="B32" s="28" t="n">
        <f aca="false">0.5*$B$31*$B$24^2</f>
        <v>8.825985</v>
      </c>
      <c r="C32" s="15" t="s">
        <v>230</v>
      </c>
      <c r="D32" s="21" t="s">
        <v>510</v>
      </c>
      <c r="E32" s="15" t="n">
        <v>8.83</v>
      </c>
      <c r="F32" s="22" t="str">
        <f aca="false">IF(ABS(B32-E32)&lt;=H32,"OK","CHECK")</f>
        <v>OK</v>
      </c>
      <c r="G32" s="23" t="n">
        <f aca="false">B32/0.3048</f>
        <v>28.9566437007874</v>
      </c>
      <c r="H32" s="24" t="n">
        <v>0.005</v>
      </c>
      <c r="I32" s="19"/>
    </row>
    <row r="33" customFormat="false" ht="15" hidden="false" customHeight="false" outlineLevel="0" collapsed="false">
      <c r="A33" s="13" t="s">
        <v>511</v>
      </c>
      <c r="B33" s="28" t="n">
        <f aca="false">0.5*$B$31*$B$26^2</f>
        <v>2.20649625</v>
      </c>
      <c r="C33" s="15" t="s">
        <v>230</v>
      </c>
      <c r="D33" s="21" t="s">
        <v>510</v>
      </c>
      <c r="E33" s="15" t="n">
        <v>2.2</v>
      </c>
      <c r="F33" s="22" t="str">
        <f aca="false">IF(ABS(B33-E33)&lt;=H33,"OK","CHECK")</f>
        <v>OK</v>
      </c>
      <c r="G33" s="23" t="n">
        <f aca="false">B33/0.3048</f>
        <v>7.23916092519685</v>
      </c>
      <c r="H33" s="24" t="n">
        <v>0.05</v>
      </c>
      <c r="I33" s="19"/>
    </row>
    <row r="34" customFormat="false" ht="15" hidden="false" customHeight="false" outlineLevel="0" collapsed="false">
      <c r="A34" s="2"/>
      <c r="B34" s="2"/>
      <c r="C34" s="2"/>
      <c r="D34" s="2"/>
      <c r="E34" s="2"/>
      <c r="F34" s="2"/>
      <c r="G34" s="2"/>
      <c r="H34" s="2"/>
      <c r="I34" s="2"/>
    </row>
    <row r="35" customFormat="false" ht="15" hidden="false" customHeight="false" outlineLevel="0" collapsed="false">
      <c r="A35" s="10" t="s">
        <v>512</v>
      </c>
      <c r="B35" s="11"/>
      <c r="C35" s="11"/>
      <c r="D35" s="11"/>
      <c r="E35" s="11"/>
      <c r="F35" s="11"/>
      <c r="G35" s="11"/>
      <c r="H35" s="11"/>
      <c r="I35" s="11"/>
    </row>
    <row r="36" customFormat="false" ht="15" hidden="false" customHeight="false" outlineLevel="0" collapsed="false">
      <c r="A36" s="13" t="s">
        <v>513</v>
      </c>
      <c r="B36" s="14" t="n">
        <v>0.1</v>
      </c>
      <c r="C36" s="15" t="s">
        <v>238</v>
      </c>
      <c r="D36" s="16" t="s">
        <v>226</v>
      </c>
      <c r="E36" s="17"/>
      <c r="F36" s="17"/>
      <c r="G36" s="17"/>
      <c r="H36" s="17"/>
      <c r="I36" s="19"/>
    </row>
    <row r="37" customFormat="false" ht="15" hidden="false" customHeight="false" outlineLevel="0" collapsed="false">
      <c r="A37" s="13" t="s">
        <v>482</v>
      </c>
      <c r="B37" s="14" t="n">
        <v>9.80665</v>
      </c>
      <c r="C37" s="15" t="s">
        <v>480</v>
      </c>
      <c r="D37" s="16" t="s">
        <v>226</v>
      </c>
      <c r="E37" s="17"/>
      <c r="F37" s="17"/>
      <c r="G37" s="17"/>
      <c r="H37" s="17"/>
      <c r="I37" s="19"/>
    </row>
    <row r="38" customFormat="false" ht="15" hidden="false" customHeight="false" outlineLevel="0" collapsed="false">
      <c r="A38" s="13" t="s">
        <v>514</v>
      </c>
      <c r="B38" s="14" t="n">
        <v>10</v>
      </c>
      <c r="C38" s="15" t="s">
        <v>228</v>
      </c>
      <c r="D38" s="16" t="s">
        <v>226</v>
      </c>
      <c r="E38" s="17"/>
      <c r="F38" s="17"/>
      <c r="G38" s="17"/>
      <c r="H38" s="17"/>
      <c r="I38" s="19"/>
    </row>
    <row r="39" customFormat="false" ht="15" hidden="false" customHeight="false" outlineLevel="0" collapsed="false">
      <c r="A39" s="13" t="s">
        <v>515</v>
      </c>
      <c r="B39" s="33" t="n">
        <f aca="false">$B$37*SIN(RADIANS($B$36))</f>
        <v>0.0171158244194367</v>
      </c>
      <c r="C39" s="15" t="s">
        <v>480</v>
      </c>
      <c r="D39" s="21" t="s">
        <v>516</v>
      </c>
      <c r="E39" s="15" t="n">
        <v>0.01712</v>
      </c>
      <c r="F39" s="22" t="str">
        <f aca="false">IF(ABS(B39-E39)&lt;=H39,"OK","CHECK")</f>
        <v>OK</v>
      </c>
      <c r="G39" s="17"/>
      <c r="H39" s="24" t="n">
        <v>1E-005</v>
      </c>
      <c r="I39" s="19"/>
    </row>
    <row r="40" customFormat="false" ht="15" hidden="false" customHeight="false" outlineLevel="0" collapsed="false">
      <c r="A40" s="13" t="s">
        <v>517</v>
      </c>
      <c r="B40" s="32" t="n">
        <f aca="false">$B$39/$B$37*1000</f>
        <v>1.74532836589831</v>
      </c>
      <c r="C40" s="15" t="s">
        <v>497</v>
      </c>
      <c r="D40" s="21"/>
      <c r="E40" s="15" t="n">
        <v>1.7</v>
      </c>
      <c r="F40" s="22" t="str">
        <f aca="false">IF(ABS(B40-E40)&lt;=H40,"OK","CHECK")</f>
        <v>OK</v>
      </c>
      <c r="G40" s="17"/>
      <c r="H40" s="24" t="n">
        <v>0.05</v>
      </c>
      <c r="I40" s="19"/>
    </row>
    <row r="41" customFormat="false" ht="15" hidden="false" customHeight="false" outlineLevel="0" collapsed="false">
      <c r="A41" s="13" t="s">
        <v>518</v>
      </c>
      <c r="B41" s="28" t="n">
        <f aca="false">0.5*$B$39*$B$38^2</f>
        <v>0.855791220971833</v>
      </c>
      <c r="C41" s="15" t="s">
        <v>230</v>
      </c>
      <c r="D41" s="21" t="s">
        <v>519</v>
      </c>
      <c r="E41" s="15" t="n">
        <v>0.86</v>
      </c>
      <c r="F41" s="22" t="str">
        <f aca="false">IF(ABS(B41-E41)&lt;=H41,"OK","CHECK")</f>
        <v>OK</v>
      </c>
      <c r="G41" s="23" t="n">
        <f aca="false">B41/0.3048</f>
        <v>2.80771397956638</v>
      </c>
      <c r="H41" s="24" t="n">
        <v>0.005</v>
      </c>
      <c r="I41" s="19"/>
    </row>
    <row r="42" customFormat="false" ht="15" hidden="false" customHeight="false" outlineLevel="0" collapsed="false">
      <c r="A42" s="2"/>
      <c r="B42" s="2"/>
      <c r="C42" s="2"/>
      <c r="D42" s="2"/>
      <c r="E42" s="2"/>
      <c r="F42" s="2"/>
      <c r="G42" s="2"/>
      <c r="H42" s="2"/>
      <c r="I42" s="2"/>
    </row>
    <row r="43" customFormat="false" ht="15" hidden="false" customHeight="false" outlineLevel="0" collapsed="false">
      <c r="A43" s="10" t="s">
        <v>520</v>
      </c>
      <c r="B43" s="11"/>
      <c r="C43" s="11"/>
      <c r="D43" s="11"/>
      <c r="E43" s="11"/>
      <c r="F43" s="11"/>
      <c r="G43" s="11"/>
      <c r="H43" s="11"/>
      <c r="I43" s="11"/>
    </row>
    <row r="44" customFormat="false" ht="15" hidden="false" customHeight="true" outlineLevel="0" collapsed="false">
      <c r="A44" s="12" t="s">
        <v>521</v>
      </c>
      <c r="B44" s="12"/>
      <c r="C44" s="12"/>
      <c r="D44" s="12"/>
      <c r="E44" s="12"/>
      <c r="F44" s="12"/>
      <c r="G44" s="12"/>
      <c r="H44" s="12"/>
      <c r="I44" s="12"/>
    </row>
    <row r="45" customFormat="false" ht="15" hidden="false" customHeight="false" outlineLevel="0" collapsed="false">
      <c r="A45" s="13" t="s">
        <v>522</v>
      </c>
      <c r="B45" s="14" t="n">
        <v>10</v>
      </c>
      <c r="C45" s="15"/>
      <c r="D45" s="16" t="s">
        <v>226</v>
      </c>
      <c r="E45" s="17"/>
      <c r="F45" s="17"/>
      <c r="G45" s="17"/>
      <c r="H45" s="17"/>
      <c r="I45" s="19"/>
    </row>
    <row r="46" customFormat="false" ht="15" hidden="false" customHeight="false" outlineLevel="0" collapsed="false">
      <c r="A46" s="13" t="s">
        <v>523</v>
      </c>
      <c r="B46" s="14" t="n">
        <v>100</v>
      </c>
      <c r="C46" s="15" t="s">
        <v>334</v>
      </c>
      <c r="D46" s="16" t="s">
        <v>226</v>
      </c>
      <c r="E46" s="17"/>
      <c r="F46" s="17"/>
      <c r="G46" s="17"/>
      <c r="H46" s="17"/>
      <c r="I46" s="19"/>
    </row>
    <row r="47" customFormat="false" ht="15" hidden="false" customHeight="false" outlineLevel="0" collapsed="false">
      <c r="A47" s="13" t="s">
        <v>524</v>
      </c>
      <c r="B47" s="14" t="n">
        <v>0.5</v>
      </c>
      <c r="C47" s="15" t="s">
        <v>480</v>
      </c>
      <c r="D47" s="16" t="s">
        <v>226</v>
      </c>
      <c r="E47" s="17"/>
      <c r="F47" s="17"/>
      <c r="G47" s="17"/>
      <c r="H47" s="17"/>
      <c r="I47" s="19"/>
    </row>
    <row r="48" customFormat="false" ht="15" hidden="false" customHeight="false" outlineLevel="0" collapsed="false">
      <c r="A48" s="13" t="s">
        <v>525</v>
      </c>
      <c r="B48" s="14" t="n">
        <v>12</v>
      </c>
      <c r="C48" s="15" t="s">
        <v>225</v>
      </c>
      <c r="D48" s="16" t="s">
        <v>226</v>
      </c>
      <c r="E48" s="17"/>
      <c r="F48" s="17"/>
      <c r="G48" s="18" t="n">
        <f aca="false">B48/0.3048</f>
        <v>39.3700787401575</v>
      </c>
      <c r="H48" s="17"/>
      <c r="I48" s="19"/>
    </row>
    <row r="49" customFormat="false" ht="15" hidden="false" customHeight="false" outlineLevel="0" collapsed="false">
      <c r="A49" s="13" t="s">
        <v>526</v>
      </c>
      <c r="B49" s="20" t="n">
        <f aca="false">1/$B$46</f>
        <v>0.01</v>
      </c>
      <c r="C49" s="15" t="s">
        <v>228</v>
      </c>
      <c r="D49" s="21" t="s">
        <v>527</v>
      </c>
      <c r="E49" s="15" t="n">
        <v>0.01</v>
      </c>
      <c r="F49" s="22" t="str">
        <f aca="false">IF(ABS(B49-E49)&lt;=H49,"OK","CHECK")</f>
        <v>OK</v>
      </c>
      <c r="G49" s="17"/>
      <c r="H49" s="24" t="n">
        <v>1E-009</v>
      </c>
      <c r="I49" s="19"/>
    </row>
    <row r="50" customFormat="false" ht="15" hidden="false" customHeight="false" outlineLevel="0" collapsed="false">
      <c r="A50" s="13" t="s">
        <v>528</v>
      </c>
      <c r="B50" s="20" t="n">
        <f aca="false">$B$45*$B$49</f>
        <v>0.1</v>
      </c>
      <c r="C50" s="15" t="s">
        <v>228</v>
      </c>
      <c r="D50" s="21" t="s">
        <v>529</v>
      </c>
      <c r="E50" s="15" t="n">
        <v>0.1</v>
      </c>
      <c r="F50" s="22" t="str">
        <f aca="false">IF(ABS(B50-E50)&lt;=H50,"OK","CHECK")</f>
        <v>OK</v>
      </c>
      <c r="G50" s="17"/>
      <c r="H50" s="24" t="n">
        <v>1E-009</v>
      </c>
      <c r="I50" s="19"/>
    </row>
    <row r="51" customFormat="false" ht="15" hidden="false" customHeight="false" outlineLevel="0" collapsed="false">
      <c r="A51" s="13" t="s">
        <v>530</v>
      </c>
      <c r="B51" s="20" t="n">
        <f aca="false">$B$45*$B$47*$B$49</f>
        <v>0.05</v>
      </c>
      <c r="C51" s="15" t="s">
        <v>225</v>
      </c>
      <c r="D51" s="21" t="s">
        <v>531</v>
      </c>
      <c r="E51" s="15" t="n">
        <v>0.05</v>
      </c>
      <c r="F51" s="22" t="str">
        <f aca="false">IF(ABS(B51-E51)&lt;=H51,"OK","CHECK")</f>
        <v>OK</v>
      </c>
      <c r="G51" s="18" t="n">
        <f aca="false">B51/0.3048</f>
        <v>0.164041994750656</v>
      </c>
      <c r="H51" s="24" t="n">
        <v>1E-006</v>
      </c>
      <c r="I51" s="19"/>
    </row>
    <row r="52" customFormat="false" ht="15" hidden="false" customHeight="false" outlineLevel="0" collapsed="false">
      <c r="A52" s="13" t="s">
        <v>532</v>
      </c>
      <c r="B52" s="27" t="n">
        <f aca="false">0.5*$B$47*$B$50^2</f>
        <v>0.0025</v>
      </c>
      <c r="C52" s="15" t="s">
        <v>230</v>
      </c>
      <c r="D52" s="21" t="s">
        <v>533</v>
      </c>
      <c r="E52" s="15" t="n">
        <v>0.0025</v>
      </c>
      <c r="F52" s="22" t="str">
        <f aca="false">IF(ABS(B52-E52)&lt;=H52,"OK","CHECK")</f>
        <v>OK</v>
      </c>
      <c r="G52" s="23" t="n">
        <f aca="false">B52/0.3048</f>
        <v>0.00820209973753281</v>
      </c>
      <c r="H52" s="24" t="n">
        <v>1E-007</v>
      </c>
      <c r="I52" s="19"/>
    </row>
    <row r="53" customFormat="false" ht="15" hidden="false" customHeight="false" outlineLevel="0" collapsed="false">
      <c r="A53" s="13" t="s">
        <v>534</v>
      </c>
      <c r="B53" s="20" t="n">
        <f aca="false">$B$48+$B$51</f>
        <v>12.05</v>
      </c>
      <c r="C53" s="15" t="s">
        <v>225</v>
      </c>
      <c r="D53" s="21" t="s">
        <v>535</v>
      </c>
      <c r="E53" s="15" t="n">
        <v>12.05</v>
      </c>
      <c r="F53" s="22" t="str">
        <f aca="false">IF(ABS(B53-E53)&lt;=H53,"OK","CHECK")</f>
        <v>OK</v>
      </c>
      <c r="G53" s="18" t="n">
        <f aca="false">B53/0.3048</f>
        <v>39.5341207349081</v>
      </c>
      <c r="H53" s="24" t="n">
        <v>1E-006</v>
      </c>
      <c r="I53" s="19"/>
    </row>
    <row r="54" customFormat="false" ht="15" hidden="false" customHeight="false" outlineLevel="0" collapsed="false">
      <c r="A54" s="13" t="s">
        <v>536</v>
      </c>
      <c r="B54" s="27" t="n">
        <f aca="false">$B$48*$B$50+$B$52</f>
        <v>1.2025</v>
      </c>
      <c r="C54" s="15" t="s">
        <v>230</v>
      </c>
      <c r="D54" s="21" t="s">
        <v>537</v>
      </c>
      <c r="E54" s="15" t="n">
        <v>1.2025</v>
      </c>
      <c r="F54" s="22" t="str">
        <f aca="false">IF(ABS(B54-E54)&lt;=H54,"OK","CHECK")</f>
        <v>OK</v>
      </c>
      <c r="G54" s="23" t="n">
        <f aca="false">B54/0.3048</f>
        <v>3.94520997375328</v>
      </c>
      <c r="H54" s="24" t="n">
        <v>1E-006</v>
      </c>
      <c r="I54" s="19"/>
    </row>
  </sheetData>
  <mergeCells count="3">
    <mergeCell ref="A7:I7"/>
    <mergeCell ref="A20:I20"/>
    <mergeCell ref="A44:I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538</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539</v>
      </c>
      <c r="B6" s="11"/>
      <c r="C6" s="11"/>
      <c r="D6" s="11"/>
      <c r="E6" s="11"/>
      <c r="F6" s="11"/>
      <c r="G6" s="11"/>
      <c r="H6" s="11"/>
      <c r="I6" s="11"/>
    </row>
    <row r="7" customFormat="false" ht="15" hidden="false" customHeight="true" outlineLevel="0" collapsed="false">
      <c r="A7" s="12" t="s">
        <v>540</v>
      </c>
      <c r="B7" s="12"/>
      <c r="C7" s="12"/>
      <c r="D7" s="12"/>
      <c r="E7" s="12"/>
      <c r="F7" s="12"/>
      <c r="G7" s="12"/>
      <c r="H7" s="12"/>
      <c r="I7" s="12"/>
    </row>
    <row r="8" customFormat="false" ht="15" hidden="false" customHeight="false" outlineLevel="0" collapsed="false">
      <c r="A8" s="13" t="s">
        <v>541</v>
      </c>
      <c r="B8" s="14" t="n">
        <v>0.001</v>
      </c>
      <c r="C8" s="15" t="s">
        <v>228</v>
      </c>
      <c r="D8" s="16" t="s">
        <v>226</v>
      </c>
      <c r="E8" s="17"/>
      <c r="F8" s="17"/>
      <c r="G8" s="17"/>
      <c r="H8" s="17"/>
      <c r="I8" s="19"/>
    </row>
    <row r="9" customFormat="false" ht="15" hidden="false" customHeight="false" outlineLevel="0" collapsed="false">
      <c r="A9" s="13" t="s">
        <v>414</v>
      </c>
      <c r="B9" s="14" t="n">
        <v>20</v>
      </c>
      <c r="C9" s="15" t="s">
        <v>225</v>
      </c>
      <c r="D9" s="16" t="s">
        <v>226</v>
      </c>
      <c r="E9" s="17"/>
      <c r="F9" s="17"/>
      <c r="G9" s="18" t="n">
        <f aca="false">B9/0.3048</f>
        <v>65.6167979002625</v>
      </c>
      <c r="H9" s="17"/>
      <c r="I9" s="19"/>
    </row>
    <row r="10" customFormat="false" ht="15" hidden="false" customHeight="false" outlineLevel="0" collapsed="false">
      <c r="A10" s="13" t="s">
        <v>542</v>
      </c>
      <c r="B10" s="14" t="n">
        <v>30</v>
      </c>
      <c r="C10" s="15" t="s">
        <v>543</v>
      </c>
      <c r="D10" s="16" t="s">
        <v>226</v>
      </c>
      <c r="E10" s="17"/>
      <c r="F10" s="17"/>
      <c r="G10" s="17"/>
      <c r="H10" s="17"/>
      <c r="I10" s="19"/>
    </row>
    <row r="11" customFormat="false" ht="15" hidden="false" customHeight="false" outlineLevel="0" collapsed="false">
      <c r="A11" s="13" t="s">
        <v>329</v>
      </c>
      <c r="B11" s="14" t="n">
        <v>50</v>
      </c>
      <c r="C11" s="15" t="s">
        <v>230</v>
      </c>
      <c r="D11" s="16" t="s">
        <v>226</v>
      </c>
      <c r="E11" s="17"/>
      <c r="F11" s="17"/>
      <c r="G11" s="23" t="n">
        <f aca="false">B11/0.3048</f>
        <v>164.041994750656</v>
      </c>
      <c r="H11" s="17"/>
      <c r="I11" s="19"/>
    </row>
    <row r="12" customFormat="false" ht="15" hidden="false" customHeight="false" outlineLevel="0" collapsed="false">
      <c r="A12" s="13" t="s">
        <v>509</v>
      </c>
      <c r="B12" s="20" t="n">
        <f aca="false">$B$9*$B$8</f>
        <v>0.02</v>
      </c>
      <c r="C12" s="15" t="s">
        <v>230</v>
      </c>
      <c r="D12" s="21" t="s">
        <v>544</v>
      </c>
      <c r="E12" s="15" t="n">
        <v>0.02</v>
      </c>
      <c r="F12" s="22" t="str">
        <f aca="false">IF(ABS(B12-E12)&lt;=H12,"OK","CHECK")</f>
        <v>OK</v>
      </c>
      <c r="G12" s="23" t="n">
        <f aca="false">B12/0.3048</f>
        <v>0.0656167979002625</v>
      </c>
      <c r="H12" s="24" t="n">
        <v>0.0005</v>
      </c>
      <c r="I12" s="19"/>
    </row>
    <row r="13" customFormat="false" ht="15" hidden="false" customHeight="false" outlineLevel="0" collapsed="false">
      <c r="A13" s="13" t="s">
        <v>545</v>
      </c>
      <c r="B13" s="25" t="n">
        <f aca="false">RADIANS($B$10*$B$8)</f>
        <v>0.000523598775598299</v>
      </c>
      <c r="C13" s="15" t="s">
        <v>241</v>
      </c>
      <c r="D13" s="21" t="s">
        <v>546</v>
      </c>
      <c r="E13" s="15" t="n">
        <v>0.000524</v>
      </c>
      <c r="F13" s="22" t="str">
        <f aca="false">IF(ABS(B13-E13)&lt;=H13,"OK","CHECK")</f>
        <v>OK</v>
      </c>
      <c r="G13" s="17"/>
      <c r="H13" s="24" t="n">
        <v>5E-007</v>
      </c>
      <c r="I13" s="19"/>
    </row>
    <row r="14" customFormat="false" ht="15" hidden="false" customHeight="false" outlineLevel="0" collapsed="false">
      <c r="A14" s="13" t="s">
        <v>547</v>
      </c>
      <c r="B14" s="20" t="n">
        <f aca="false">$B$11*$B$13</f>
        <v>0.0261799387799149</v>
      </c>
      <c r="C14" s="15" t="s">
        <v>230</v>
      </c>
      <c r="D14" s="21" t="s">
        <v>548</v>
      </c>
      <c r="E14" s="15" t="n">
        <v>0.026</v>
      </c>
      <c r="F14" s="22" t="str">
        <f aca="false">IF(ABS(B14-E14)&lt;=H14,"OK","CHECK")</f>
        <v>OK</v>
      </c>
      <c r="G14" s="23" t="n">
        <f aca="false">B14/0.3048</f>
        <v>0.0858921875981461</v>
      </c>
      <c r="H14" s="24" t="n">
        <v>0.0005</v>
      </c>
      <c r="I14" s="19"/>
    </row>
    <row r="15" customFormat="false" ht="15" hidden="false" customHeight="false" outlineLevel="0" collapsed="false">
      <c r="A15" s="2"/>
      <c r="B15" s="2"/>
      <c r="C15" s="2"/>
      <c r="D15" s="2"/>
      <c r="E15" s="2"/>
      <c r="F15" s="2"/>
      <c r="G15" s="2"/>
      <c r="H15" s="2"/>
      <c r="I15" s="2"/>
    </row>
    <row r="16" customFormat="false" ht="15" hidden="false" customHeight="false" outlineLevel="0" collapsed="false">
      <c r="A16" s="10" t="s">
        <v>549</v>
      </c>
      <c r="B16" s="11"/>
      <c r="C16" s="11"/>
      <c r="D16" s="11"/>
      <c r="E16" s="11"/>
      <c r="F16" s="11"/>
      <c r="G16" s="11"/>
      <c r="H16" s="11"/>
      <c r="I16" s="11"/>
    </row>
    <row r="17" customFormat="false" ht="15" hidden="false" customHeight="true" outlineLevel="0" collapsed="false">
      <c r="A17" s="12" t="s">
        <v>550</v>
      </c>
      <c r="B17" s="12"/>
      <c r="C17" s="12"/>
      <c r="D17" s="12"/>
      <c r="E17" s="12"/>
      <c r="F17" s="12"/>
      <c r="G17" s="12"/>
      <c r="H17" s="12"/>
      <c r="I17" s="12"/>
    </row>
    <row r="18" customFormat="false" ht="15" hidden="false" customHeight="false" outlineLevel="0" collapsed="false">
      <c r="A18" s="13" t="s">
        <v>551</v>
      </c>
      <c r="B18" s="14" t="n">
        <v>10</v>
      </c>
      <c r="C18" s="15" t="s">
        <v>334</v>
      </c>
      <c r="D18" s="16" t="s">
        <v>226</v>
      </c>
      <c r="E18" s="17"/>
      <c r="F18" s="17"/>
      <c r="G18" s="17"/>
      <c r="H18" s="17"/>
      <c r="I18" s="19"/>
    </row>
    <row r="19" customFormat="false" ht="15" hidden="false" customHeight="false" outlineLevel="0" collapsed="false">
      <c r="A19" s="13" t="s">
        <v>414</v>
      </c>
      <c r="B19" s="14" t="n">
        <v>15</v>
      </c>
      <c r="C19" s="15" t="s">
        <v>225</v>
      </c>
      <c r="D19" s="16" t="s">
        <v>226</v>
      </c>
      <c r="E19" s="17"/>
      <c r="F19" s="17"/>
      <c r="G19" s="18" t="n">
        <f aca="false">B19/0.3048</f>
        <v>49.2125984251968</v>
      </c>
      <c r="H19" s="17"/>
      <c r="I19" s="19"/>
    </row>
    <row r="20" customFormat="false" ht="15" hidden="false" customHeight="false" outlineLevel="0" collapsed="false">
      <c r="A20" s="13" t="s">
        <v>552</v>
      </c>
      <c r="B20" s="14" t="n">
        <v>0.075</v>
      </c>
      <c r="C20" s="15" t="s">
        <v>228</v>
      </c>
      <c r="D20" s="16" t="s">
        <v>226</v>
      </c>
      <c r="E20" s="17"/>
      <c r="F20" s="17"/>
      <c r="G20" s="17"/>
      <c r="H20" s="17"/>
      <c r="I20" s="19"/>
    </row>
    <row r="21" customFormat="false" ht="15" hidden="false" customHeight="false" outlineLevel="0" collapsed="false">
      <c r="A21" s="13" t="s">
        <v>553</v>
      </c>
      <c r="B21" s="20" t="n">
        <f aca="false">1/$B$18</f>
        <v>0.1</v>
      </c>
      <c r="C21" s="15" t="s">
        <v>228</v>
      </c>
      <c r="D21" s="21" t="s">
        <v>527</v>
      </c>
      <c r="E21" s="15" t="n">
        <v>0.1</v>
      </c>
      <c r="F21" s="22" t="str">
        <f aca="false">IF(ABS(B21-E21)&lt;=H21,"OK","CHECK")</f>
        <v>OK</v>
      </c>
      <c r="G21" s="17"/>
      <c r="H21" s="24" t="n">
        <v>1E-009</v>
      </c>
      <c r="I21" s="19"/>
    </row>
    <row r="22" customFormat="false" ht="15" hidden="false" customHeight="false" outlineLevel="0" collapsed="false">
      <c r="A22" s="13" t="s">
        <v>554</v>
      </c>
      <c r="B22" s="20" t="n">
        <f aca="false">$B$19*$B$20</f>
        <v>1.125</v>
      </c>
      <c r="C22" s="15" t="s">
        <v>230</v>
      </c>
      <c r="D22" s="21" t="s">
        <v>555</v>
      </c>
      <c r="E22" s="15" t="n">
        <v>1.125</v>
      </c>
      <c r="F22" s="22" t="str">
        <f aca="false">IF(ABS(B22-E22)&lt;=H22,"OK","CHECK")</f>
        <v>OK</v>
      </c>
      <c r="G22" s="23" t="n">
        <f aca="false">B22/0.3048</f>
        <v>3.69094488188976</v>
      </c>
      <c r="H22" s="24" t="n">
        <v>0.0005</v>
      </c>
      <c r="I22" s="19"/>
    </row>
    <row r="23" customFormat="false" ht="15" hidden="false" customHeight="false" outlineLevel="0" collapsed="false">
      <c r="A23" s="13" t="s">
        <v>556</v>
      </c>
      <c r="B23" s="20" t="n">
        <f aca="false">$B$19*$B$21</f>
        <v>1.5</v>
      </c>
      <c r="C23" s="15" t="s">
        <v>230</v>
      </c>
      <c r="D23" s="21" t="s">
        <v>557</v>
      </c>
      <c r="E23" s="15" t="n">
        <v>1.5</v>
      </c>
      <c r="F23" s="22" t="str">
        <f aca="false">IF(ABS(B23-E23)&lt;=H23,"OK","CHECK")</f>
        <v>OK</v>
      </c>
      <c r="G23" s="23" t="n">
        <f aca="false">B23/0.3048</f>
        <v>4.92125984251969</v>
      </c>
      <c r="H23" s="24" t="n">
        <v>0.0005</v>
      </c>
      <c r="I23" s="19"/>
    </row>
  </sheetData>
  <mergeCells count="2">
    <mergeCell ref="A7:I7"/>
    <mergeCell ref="A17:I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558</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559</v>
      </c>
      <c r="B6" s="11"/>
      <c r="C6" s="11"/>
      <c r="D6" s="11"/>
      <c r="E6" s="11"/>
      <c r="F6" s="11"/>
      <c r="G6" s="11"/>
      <c r="H6" s="11"/>
      <c r="I6" s="11"/>
    </row>
    <row r="7" customFormat="false" ht="15" hidden="false" customHeight="true" outlineLevel="0" collapsed="false">
      <c r="A7" s="12" t="s">
        <v>560</v>
      </c>
      <c r="B7" s="12"/>
      <c r="C7" s="12"/>
      <c r="D7" s="12"/>
      <c r="E7" s="12"/>
      <c r="F7" s="12"/>
      <c r="G7" s="12"/>
      <c r="H7" s="12"/>
      <c r="I7" s="12"/>
    </row>
    <row r="8" customFormat="false" ht="15" hidden="false" customHeight="false" outlineLevel="0" collapsed="false">
      <c r="A8" s="13" t="s">
        <v>561</v>
      </c>
      <c r="B8" s="14" t="n">
        <v>0.05</v>
      </c>
      <c r="C8" s="15" t="s">
        <v>238</v>
      </c>
      <c r="D8" s="16" t="s">
        <v>226</v>
      </c>
      <c r="E8" s="17"/>
      <c r="F8" s="17"/>
      <c r="G8" s="17"/>
      <c r="H8" s="17"/>
      <c r="I8" s="19"/>
    </row>
    <row r="9" customFormat="false" ht="15" hidden="false" customHeight="false" outlineLevel="0" collapsed="false">
      <c r="A9" s="13" t="s">
        <v>329</v>
      </c>
      <c r="B9" s="14" t="n">
        <v>80</v>
      </c>
      <c r="C9" s="15" t="s">
        <v>230</v>
      </c>
      <c r="D9" s="16" t="s">
        <v>226</v>
      </c>
      <c r="E9" s="17"/>
      <c r="F9" s="17"/>
      <c r="G9" s="23" t="n">
        <f aca="false">B9/0.3048</f>
        <v>262.46719160105</v>
      </c>
      <c r="H9" s="17"/>
      <c r="I9" s="19"/>
    </row>
    <row r="10" customFormat="false" ht="15" hidden="false" customHeight="false" outlineLevel="0" collapsed="false">
      <c r="A10" s="13" t="s">
        <v>467</v>
      </c>
      <c r="B10" s="26" t="n">
        <f aca="false">RADIANS($B$8)</f>
        <v>0.000872664625997165</v>
      </c>
      <c r="C10" s="15" t="s">
        <v>241</v>
      </c>
      <c r="D10" s="21"/>
      <c r="E10" s="15" t="n">
        <v>0.0008727</v>
      </c>
      <c r="F10" s="22" t="str">
        <f aca="false">IF(ABS(B10-E10)&lt;=H10,"OK","CHECK")</f>
        <v>OK</v>
      </c>
      <c r="G10" s="17"/>
      <c r="H10" s="24" t="n">
        <v>1E-007</v>
      </c>
      <c r="I10" s="19"/>
    </row>
    <row r="11" customFormat="false" ht="15" hidden="false" customHeight="false" outlineLevel="0" collapsed="false">
      <c r="A11" s="13" t="s">
        <v>562</v>
      </c>
      <c r="B11" s="27" t="n">
        <f aca="false">$B$9*$B$10</f>
        <v>0.0698131700797732</v>
      </c>
      <c r="C11" s="15" t="s">
        <v>230</v>
      </c>
      <c r="D11" s="21" t="s">
        <v>563</v>
      </c>
      <c r="E11" s="15" t="n">
        <v>0.0698</v>
      </c>
      <c r="F11" s="22" t="str">
        <f aca="false">IF(ABS(B11-E11)&lt;=H11,"OK","CHECK")</f>
        <v>OK</v>
      </c>
      <c r="G11" s="23" t="n">
        <f aca="false">B11/0.3048</f>
        <v>0.229045833595056</v>
      </c>
      <c r="H11" s="24" t="n">
        <v>5E-005</v>
      </c>
      <c r="I11" s="19"/>
    </row>
    <row r="12" customFormat="false" ht="15" hidden="false" customHeight="false" outlineLevel="0" collapsed="false">
      <c r="A12" s="2"/>
      <c r="B12" s="2"/>
      <c r="C12" s="2"/>
      <c r="D12" s="2"/>
      <c r="E12" s="2"/>
      <c r="F12" s="2"/>
      <c r="G12" s="2"/>
      <c r="H12" s="2"/>
      <c r="I12" s="2"/>
    </row>
    <row r="13" customFormat="false" ht="15" hidden="false" customHeight="false" outlineLevel="0" collapsed="false">
      <c r="A13" s="10" t="s">
        <v>564</v>
      </c>
      <c r="B13" s="11"/>
      <c r="C13" s="11"/>
      <c r="D13" s="11"/>
      <c r="E13" s="11"/>
      <c r="F13" s="11"/>
      <c r="G13" s="11"/>
      <c r="H13" s="11"/>
      <c r="I13" s="11"/>
    </row>
    <row r="14" customFormat="false" ht="30" hidden="false" customHeight="true" outlineLevel="0" collapsed="false">
      <c r="A14" s="12" t="s">
        <v>565</v>
      </c>
      <c r="B14" s="12"/>
      <c r="C14" s="12"/>
      <c r="D14" s="12"/>
      <c r="E14" s="12"/>
      <c r="F14" s="12"/>
      <c r="G14" s="12"/>
      <c r="H14" s="12"/>
      <c r="I14" s="12"/>
    </row>
    <row r="15" customFormat="false" ht="15" hidden="false" customHeight="false" outlineLevel="0" collapsed="false">
      <c r="A15" s="13" t="s">
        <v>566</v>
      </c>
      <c r="B15" s="14" t="n">
        <v>1000</v>
      </c>
      <c r="C15" s="15" t="s">
        <v>230</v>
      </c>
      <c r="D15" s="16" t="s">
        <v>226</v>
      </c>
      <c r="E15" s="17"/>
      <c r="F15" s="17"/>
      <c r="G15" s="23" t="n">
        <f aca="false">B15/0.3048</f>
        <v>3280.83989501312</v>
      </c>
      <c r="H15" s="17"/>
      <c r="I15" s="19"/>
    </row>
    <row r="16" customFormat="false" ht="15" hidden="false" customHeight="false" outlineLevel="0" collapsed="false">
      <c r="A16" s="13" t="s">
        <v>567</v>
      </c>
      <c r="B16" s="14" t="n">
        <v>2000</v>
      </c>
      <c r="C16" s="15" t="s">
        <v>230</v>
      </c>
      <c r="D16" s="16" t="s">
        <v>226</v>
      </c>
      <c r="E16" s="17"/>
      <c r="F16" s="17"/>
      <c r="G16" s="23" t="n">
        <f aca="false">B16/0.3048</f>
        <v>6561.67979002625</v>
      </c>
      <c r="H16" s="17"/>
      <c r="I16" s="19"/>
    </row>
    <row r="17" customFormat="false" ht="15" hidden="false" customHeight="false" outlineLevel="0" collapsed="false">
      <c r="A17" s="13" t="s">
        <v>568</v>
      </c>
      <c r="B17" s="14" t="n">
        <v>10</v>
      </c>
      <c r="C17" s="15" t="s">
        <v>230</v>
      </c>
      <c r="D17" s="16" t="s">
        <v>226</v>
      </c>
      <c r="E17" s="17"/>
      <c r="F17" s="17"/>
      <c r="G17" s="23" t="n">
        <f aca="false">B17/0.3048</f>
        <v>32.8083989501312</v>
      </c>
      <c r="H17" s="17"/>
      <c r="I17" s="19"/>
    </row>
    <row r="18" customFormat="false" ht="15" hidden="false" customHeight="false" outlineLevel="0" collapsed="false">
      <c r="A18" s="13" t="s">
        <v>569</v>
      </c>
      <c r="B18" s="14" t="n">
        <v>1</v>
      </c>
      <c r="C18" s="15" t="s">
        <v>238</v>
      </c>
      <c r="D18" s="16" t="s">
        <v>226</v>
      </c>
      <c r="E18" s="17"/>
      <c r="F18" s="17"/>
      <c r="G18" s="17"/>
      <c r="H18" s="17"/>
      <c r="I18" s="19"/>
    </row>
    <row r="19" customFormat="false" ht="15" hidden="false" customHeight="false" outlineLevel="0" collapsed="false">
      <c r="A19" s="13" t="s">
        <v>570</v>
      </c>
      <c r="B19" s="14" t="n">
        <v>-0.5</v>
      </c>
      <c r="C19" s="15" t="s">
        <v>238</v>
      </c>
      <c r="D19" s="16" t="s">
        <v>226</v>
      </c>
      <c r="E19" s="17"/>
      <c r="F19" s="17"/>
      <c r="G19" s="17"/>
      <c r="H19" s="17"/>
      <c r="I19" s="19"/>
    </row>
    <row r="20" customFormat="false" ht="15" hidden="false" customHeight="false" outlineLevel="0" collapsed="false">
      <c r="A20" s="13" t="s">
        <v>571</v>
      </c>
      <c r="B20" s="14" t="n">
        <v>30</v>
      </c>
      <c r="C20" s="15" t="s">
        <v>238</v>
      </c>
      <c r="D20" s="16" t="s">
        <v>226</v>
      </c>
      <c r="E20" s="17"/>
      <c r="F20" s="17"/>
      <c r="G20" s="17"/>
      <c r="H20" s="17"/>
      <c r="I20" s="19"/>
    </row>
    <row r="21" customFormat="false" ht="15" hidden="false" customHeight="false" outlineLevel="0" collapsed="false">
      <c r="A21" s="13" t="s">
        <v>572</v>
      </c>
      <c r="B21" s="14" t="n">
        <v>0.12</v>
      </c>
      <c r="C21" s="15" t="s">
        <v>230</v>
      </c>
      <c r="D21" s="16" t="s">
        <v>226</v>
      </c>
      <c r="E21" s="17"/>
      <c r="F21" s="17"/>
      <c r="G21" s="23" t="n">
        <f aca="false">B21/0.3048</f>
        <v>0.393700787401575</v>
      </c>
      <c r="H21" s="17"/>
      <c r="I21" s="19"/>
    </row>
    <row r="22" customFormat="false" ht="15" hidden="false" customHeight="false" outlineLevel="0" collapsed="false">
      <c r="A22" s="13" t="s">
        <v>573</v>
      </c>
      <c r="B22" s="14" t="n">
        <v>0</v>
      </c>
      <c r="C22" s="15" t="s">
        <v>230</v>
      </c>
      <c r="D22" s="16" t="s">
        <v>226</v>
      </c>
      <c r="E22" s="17"/>
      <c r="F22" s="17"/>
      <c r="G22" s="23" t="n">
        <f aca="false">B22/0.3048</f>
        <v>0</v>
      </c>
      <c r="H22" s="17"/>
      <c r="I22" s="19"/>
    </row>
    <row r="23" customFormat="false" ht="15" hidden="false" customHeight="false" outlineLevel="0" collapsed="false">
      <c r="A23" s="13" t="s">
        <v>574</v>
      </c>
      <c r="B23" s="14" t="n">
        <v>0.085</v>
      </c>
      <c r="C23" s="15" t="s">
        <v>230</v>
      </c>
      <c r="D23" s="16" t="s">
        <v>226</v>
      </c>
      <c r="E23" s="17"/>
      <c r="F23" s="17"/>
      <c r="G23" s="23" t="n">
        <f aca="false">B23/0.3048</f>
        <v>0.278871391076115</v>
      </c>
      <c r="H23" s="17"/>
      <c r="I23" s="19"/>
    </row>
    <row r="24" customFormat="false" ht="15" hidden="false" customHeight="false" outlineLevel="0" collapsed="false">
      <c r="A24" s="13" t="s">
        <v>575</v>
      </c>
      <c r="B24" s="14" t="n">
        <v>0.05</v>
      </c>
      <c r="C24" s="15" t="s">
        <v>238</v>
      </c>
      <c r="D24" s="16" t="s">
        <v>226</v>
      </c>
      <c r="E24" s="17"/>
      <c r="F24" s="17"/>
      <c r="G24" s="17"/>
      <c r="H24" s="17"/>
      <c r="I24" s="19"/>
    </row>
    <row r="25" customFormat="false" ht="15" hidden="false" customHeight="false" outlineLevel="0" collapsed="false">
      <c r="A25" s="13" t="s">
        <v>576</v>
      </c>
      <c r="B25" s="14" t="n">
        <v>-0.03</v>
      </c>
      <c r="C25" s="15" t="s">
        <v>238</v>
      </c>
      <c r="D25" s="16" t="s">
        <v>226</v>
      </c>
      <c r="E25" s="17"/>
      <c r="F25" s="17"/>
      <c r="G25" s="17"/>
      <c r="H25" s="17"/>
      <c r="I25" s="19"/>
    </row>
    <row r="26" customFormat="false" ht="15" hidden="false" customHeight="false" outlineLevel="0" collapsed="false">
      <c r="A26" s="13" t="s">
        <v>577</v>
      </c>
      <c r="B26" s="14" t="n">
        <v>0.02</v>
      </c>
      <c r="C26" s="15" t="s">
        <v>238</v>
      </c>
      <c r="D26" s="16" t="s">
        <v>226</v>
      </c>
      <c r="E26" s="17"/>
      <c r="F26" s="17"/>
      <c r="G26" s="17"/>
      <c r="H26" s="17"/>
      <c r="I26" s="19"/>
    </row>
    <row r="27" customFormat="false" ht="15" hidden="false" customHeight="false" outlineLevel="0" collapsed="false">
      <c r="A27" s="13" t="s">
        <v>329</v>
      </c>
      <c r="B27" s="14" t="n">
        <v>25</v>
      </c>
      <c r="C27" s="15" t="s">
        <v>230</v>
      </c>
      <c r="D27" s="16" t="s">
        <v>226</v>
      </c>
      <c r="E27" s="17"/>
      <c r="F27" s="17"/>
      <c r="G27" s="23" t="n">
        <f aca="false">B27/0.3048</f>
        <v>82.0209973753281</v>
      </c>
      <c r="H27" s="17"/>
      <c r="I27" s="19"/>
    </row>
    <row r="28" customFormat="false" ht="15" hidden="false" customHeight="false" outlineLevel="0" collapsed="false">
      <c r="A28" s="13" t="s">
        <v>578</v>
      </c>
      <c r="B28" s="14" t="n">
        <v>10</v>
      </c>
      <c r="C28" s="15" t="s">
        <v>238</v>
      </c>
      <c r="D28" s="16" t="s">
        <v>226</v>
      </c>
      <c r="E28" s="17"/>
      <c r="F28" s="17"/>
      <c r="G28" s="17"/>
      <c r="H28" s="17"/>
      <c r="I28" s="19"/>
    </row>
    <row r="29" customFormat="false" ht="15" hidden="false" customHeight="false" outlineLevel="0" collapsed="false">
      <c r="A29" s="13" t="s">
        <v>579</v>
      </c>
      <c r="B29" s="14" t="n">
        <v>2</v>
      </c>
      <c r="C29" s="15" t="s">
        <v>238</v>
      </c>
      <c r="D29" s="16" t="s">
        <v>226</v>
      </c>
      <c r="E29" s="17"/>
      <c r="F29" s="17"/>
      <c r="G29" s="17"/>
      <c r="H29" s="17"/>
      <c r="I29" s="19"/>
    </row>
    <row r="30" customFormat="false" ht="15" hidden="false" customHeight="false" outlineLevel="0" collapsed="false">
      <c r="A30" s="13" t="s">
        <v>580</v>
      </c>
      <c r="B30" s="27" t="n">
        <f aca="false">$B$27*COS(RADIANS($B$29))*COS(RADIANS($B$28))</f>
        <v>24.6051958684422</v>
      </c>
      <c r="C30" s="15" t="s">
        <v>230</v>
      </c>
      <c r="D30" s="21" t="s">
        <v>403</v>
      </c>
      <c r="E30" s="15" t="n">
        <v>24.6052</v>
      </c>
      <c r="F30" s="22" t="str">
        <f aca="false">IF(ABS(B30-E30)&lt;=H30,"OK","CHECK")</f>
        <v>OK</v>
      </c>
      <c r="G30" s="23" t="n">
        <f aca="false">B30/0.3048</f>
        <v>80.7257082297972</v>
      </c>
      <c r="H30" s="24" t="n">
        <v>5E-005</v>
      </c>
      <c r="I30" s="19"/>
    </row>
    <row r="31" customFormat="false" ht="15" hidden="false" customHeight="false" outlineLevel="0" collapsed="false">
      <c r="A31" s="13" t="s">
        <v>581</v>
      </c>
      <c r="B31" s="27" t="n">
        <f aca="false">$B$27*COS(RADIANS($B$29))*SIN(RADIANS($B$28))</f>
        <v>4.33855989722281</v>
      </c>
      <c r="C31" s="15" t="s">
        <v>230</v>
      </c>
      <c r="D31" s="21" t="s">
        <v>405</v>
      </c>
      <c r="E31" s="15" t="n">
        <v>4.3386</v>
      </c>
      <c r="F31" s="22" t="str">
        <f aca="false">IF(ABS(B31-E31)&lt;=H31,"OK","CHECK")</f>
        <v>OK</v>
      </c>
      <c r="G31" s="23" t="n">
        <f aca="false">B31/0.3048</f>
        <v>14.2341203977126</v>
      </c>
      <c r="H31" s="24" t="n">
        <v>5E-005</v>
      </c>
      <c r="I31" s="19"/>
    </row>
    <row r="32" customFormat="false" ht="15" hidden="false" customHeight="false" outlineLevel="0" collapsed="false">
      <c r="A32" s="13" t="s">
        <v>582</v>
      </c>
      <c r="B32" s="27" t="n">
        <f aca="false">$B$27*SIN(RADIANS($B$29))</f>
        <v>0.872487417562524</v>
      </c>
      <c r="C32" s="15" t="s">
        <v>230</v>
      </c>
      <c r="D32" s="21" t="s">
        <v>407</v>
      </c>
      <c r="E32" s="15" t="n">
        <v>0.8725</v>
      </c>
      <c r="F32" s="22" t="str">
        <f aca="false">IF(ABS(B32-E32)&lt;=H32,"OK","CHECK")</f>
        <v>OK</v>
      </c>
      <c r="G32" s="23" t="n">
        <f aca="false">B32/0.3048</f>
        <v>2.8624915274361</v>
      </c>
      <c r="H32" s="24" t="n">
        <v>5E-005</v>
      </c>
      <c r="I32" s="19"/>
    </row>
    <row r="33" customFormat="false" ht="15" hidden="false" customHeight="false" outlineLevel="0" collapsed="false">
      <c r="A33" s="13" t="s">
        <v>583</v>
      </c>
      <c r="B33" s="25" t="n">
        <f aca="false">COS(RADIANS($B$26))*COS(RADIANS($B$25))</f>
        <v>0.999999801998689</v>
      </c>
      <c r="C33" s="15"/>
      <c r="D33" s="21" t="s">
        <v>584</v>
      </c>
      <c r="E33" s="17"/>
      <c r="F33" s="17"/>
      <c r="G33" s="17"/>
      <c r="H33" s="17"/>
      <c r="I33" s="19"/>
    </row>
    <row r="34" customFormat="false" ht="15" hidden="false" customHeight="false" outlineLevel="0" collapsed="false">
      <c r="A34" s="13" t="s">
        <v>585</v>
      </c>
      <c r="B34" s="25" t="n">
        <f aca="false">COS(RADIANS($B$26))*SIN(RADIANS($B$25))*SIN(RADIANS($B$24))-SIN(RADIANS($B$26))*COS(RADIANS($B$24))</f>
        <v>-0.000349522636418654</v>
      </c>
      <c r="C34" s="15"/>
      <c r="D34" s="21" t="s">
        <v>584</v>
      </c>
      <c r="E34" s="17"/>
      <c r="F34" s="17"/>
      <c r="G34" s="17"/>
      <c r="H34" s="17"/>
      <c r="I34" s="19"/>
    </row>
    <row r="35" customFormat="false" ht="15" hidden="false" customHeight="false" outlineLevel="0" collapsed="false">
      <c r="A35" s="13" t="s">
        <v>586</v>
      </c>
      <c r="B35" s="25" t="n">
        <f aca="false">COS(RADIANS($B$26))*SIN(RADIANS($B$25))*COS(RADIANS($B$24))+SIN(RADIANS($B$26))*SIN(RADIANS($B$24))</f>
        <v>-0.000523293903027705</v>
      </c>
      <c r="C35" s="15"/>
      <c r="D35" s="21" t="s">
        <v>584</v>
      </c>
      <c r="E35" s="17"/>
      <c r="F35" s="17"/>
      <c r="G35" s="17"/>
      <c r="H35" s="17"/>
      <c r="I35" s="19"/>
    </row>
    <row r="36" customFormat="false" ht="15" hidden="false" customHeight="false" outlineLevel="0" collapsed="false">
      <c r="A36" s="13" t="s">
        <v>587</v>
      </c>
      <c r="B36" s="25" t="n">
        <f aca="false">SIN(RADIANS($B$26))*COS(RADIANS($B$25))</f>
        <v>0.000349065795460906</v>
      </c>
      <c r="C36" s="15"/>
      <c r="D36" s="21" t="s">
        <v>584</v>
      </c>
      <c r="E36" s="17"/>
      <c r="F36" s="17"/>
      <c r="G36" s="17"/>
      <c r="H36" s="17"/>
      <c r="I36" s="19"/>
    </row>
    <row r="37" customFormat="false" ht="15" hidden="false" customHeight="false" outlineLevel="0" collapsed="false">
      <c r="A37" s="13" t="s">
        <v>588</v>
      </c>
      <c r="B37" s="25" t="n">
        <f aca="false">SIN(RADIANS($B$26))*SIN(RADIANS($B$25))*SIN(RADIANS($B$24))+COS(RADIANS($B$26))*COS(RADIANS($B$24))</f>
        <v>0.999999558145292</v>
      </c>
      <c r="C37" s="15"/>
      <c r="D37" s="21" t="s">
        <v>584</v>
      </c>
      <c r="E37" s="17"/>
      <c r="F37" s="17"/>
      <c r="G37" s="17"/>
      <c r="H37" s="17"/>
      <c r="I37" s="19"/>
    </row>
    <row r="38" customFormat="false" ht="15" hidden="false" customHeight="false" outlineLevel="0" collapsed="false">
      <c r="A38" s="13" t="s">
        <v>589</v>
      </c>
      <c r="B38" s="25" t="n">
        <f aca="false">SIN(RADIANS($B$26))*SIN(RADIANS($B$25))*COS(RADIANS($B$24))-COS(RADIANS($B$26))*SIN(RADIANS($B$24))</f>
        <v>-0.000872847232439603</v>
      </c>
      <c r="C38" s="15"/>
      <c r="D38" s="21" t="s">
        <v>584</v>
      </c>
      <c r="E38" s="17"/>
      <c r="F38" s="17"/>
      <c r="G38" s="17"/>
      <c r="H38" s="17"/>
      <c r="I38" s="19"/>
    </row>
    <row r="39" customFormat="false" ht="15" hidden="false" customHeight="false" outlineLevel="0" collapsed="false">
      <c r="A39" s="13" t="s">
        <v>590</v>
      </c>
      <c r="B39" s="25" t="n">
        <f aca="false">-SIN(RADIANS($B$25))</f>
        <v>0.000523598751673703</v>
      </c>
      <c r="C39" s="15"/>
      <c r="D39" s="21" t="s">
        <v>584</v>
      </c>
      <c r="E39" s="17"/>
      <c r="F39" s="17"/>
      <c r="G39" s="17"/>
      <c r="H39" s="17"/>
      <c r="I39" s="19"/>
    </row>
    <row r="40" customFormat="false" ht="15" hidden="false" customHeight="false" outlineLevel="0" collapsed="false">
      <c r="A40" s="13" t="s">
        <v>591</v>
      </c>
      <c r="B40" s="25" t="n">
        <f aca="false">COS(RADIANS($B$25))*SIN(RADIANS($B$24))</f>
        <v>0.000872664395612186</v>
      </c>
      <c r="C40" s="15"/>
      <c r="D40" s="21" t="s">
        <v>584</v>
      </c>
      <c r="E40" s="17"/>
      <c r="F40" s="17"/>
      <c r="G40" s="17"/>
      <c r="H40" s="17"/>
      <c r="I40" s="19"/>
    </row>
    <row r="41" customFormat="false" ht="15" hidden="false" customHeight="false" outlineLevel="0" collapsed="false">
      <c r="A41" s="13" t="s">
        <v>592</v>
      </c>
      <c r="B41" s="25" t="n">
        <f aca="false">COS(RADIANS($B$25))*COS(RADIANS($B$24))</f>
        <v>0.999999482150466</v>
      </c>
      <c r="C41" s="15"/>
      <c r="D41" s="21" t="s">
        <v>584</v>
      </c>
      <c r="E41" s="17"/>
      <c r="F41" s="17"/>
      <c r="G41" s="17"/>
      <c r="H41" s="17"/>
      <c r="I41" s="19"/>
    </row>
    <row r="42" customFormat="false" ht="15" hidden="false" customHeight="false" outlineLevel="0" collapsed="false">
      <c r="A42" s="13" t="s">
        <v>593</v>
      </c>
      <c r="B42" s="27" t="n">
        <f aca="false">$B$33*$B$30+$B$34*$B$31+$B$35*$B$32</f>
        <v>24.6032180043416</v>
      </c>
      <c r="C42" s="15" t="s">
        <v>230</v>
      </c>
      <c r="D42" s="21" t="s">
        <v>594</v>
      </c>
      <c r="E42" s="15" t="n">
        <v>24.6032</v>
      </c>
      <c r="F42" s="22" t="str">
        <f aca="false">IF(ABS(B42-E42)&lt;=H42,"OK","CHECK")</f>
        <v>OK</v>
      </c>
      <c r="G42" s="23" t="n">
        <f aca="false">B42/0.3048</f>
        <v>80.7192191743489</v>
      </c>
      <c r="H42" s="24" t="n">
        <v>0.0002</v>
      </c>
      <c r="I42" s="19"/>
    </row>
    <row r="43" customFormat="false" ht="15" hidden="false" customHeight="false" outlineLevel="0" collapsed="false">
      <c r="A43" s="13" t="s">
        <v>595</v>
      </c>
      <c r="B43" s="27" t="n">
        <f aca="false">$B$36*$B$30+$B$37*$B$31+$B$38*$B$32</f>
        <v>4.34638526425022</v>
      </c>
      <c r="C43" s="15" t="s">
        <v>230</v>
      </c>
      <c r="D43" s="21" t="s">
        <v>594</v>
      </c>
      <c r="E43" s="15" t="n">
        <v>4.3464</v>
      </c>
      <c r="F43" s="22" t="str">
        <f aca="false">IF(ABS(B43-E43)&lt;=H43,"OK","CHECK")</f>
        <v>OK</v>
      </c>
      <c r="G43" s="23" t="n">
        <f aca="false">B43/0.3048</f>
        <v>14.2597941740493</v>
      </c>
      <c r="H43" s="24" t="n">
        <v>0.0002</v>
      </c>
      <c r="I43" s="19"/>
    </row>
    <row r="44" customFormat="false" ht="15" hidden="false" customHeight="false" outlineLevel="0" collapsed="false">
      <c r="A44" s="13" t="s">
        <v>596</v>
      </c>
      <c r="B44" s="27" t="n">
        <f aca="false">$B$39*$B$30+$B$40*$B$31+$B$41*$B$32</f>
        <v>0.889156322337262</v>
      </c>
      <c r="C44" s="15" t="s">
        <v>230</v>
      </c>
      <c r="D44" s="21" t="s">
        <v>594</v>
      </c>
      <c r="E44" s="15" t="n">
        <v>0.8892</v>
      </c>
      <c r="F44" s="22" t="str">
        <f aca="false">IF(ABS(B44-E44)&lt;=H44,"OK","CHECK")</f>
        <v>OK</v>
      </c>
      <c r="G44" s="23" t="n">
        <f aca="false">B44/0.3048</f>
        <v>2.91717953522724</v>
      </c>
      <c r="H44" s="24" t="n">
        <v>0.0002</v>
      </c>
      <c r="I44" s="19"/>
    </row>
    <row r="45" customFormat="false" ht="15" hidden="false" customHeight="false" outlineLevel="0" collapsed="false">
      <c r="A45" s="13" t="s">
        <v>597</v>
      </c>
      <c r="B45" s="27" t="n">
        <f aca="false">$B$42+$B$21</f>
        <v>24.7232180043416</v>
      </c>
      <c r="C45" s="15" t="s">
        <v>230</v>
      </c>
      <c r="D45" s="21" t="s">
        <v>598</v>
      </c>
      <c r="E45" s="15" t="n">
        <v>24.7232</v>
      </c>
      <c r="F45" s="22" t="str">
        <f aca="false">IF(ABS(B45-E45)&lt;=H45,"OK","CHECK")</f>
        <v>OK</v>
      </c>
      <c r="G45" s="23" t="n">
        <f aca="false">B45/0.3048</f>
        <v>81.1129199617505</v>
      </c>
      <c r="H45" s="24" t="n">
        <v>0.0002</v>
      </c>
      <c r="I45" s="19"/>
    </row>
    <row r="46" customFormat="false" ht="15" hidden="false" customHeight="false" outlineLevel="0" collapsed="false">
      <c r="A46" s="13" t="s">
        <v>599</v>
      </c>
      <c r="B46" s="27" t="n">
        <f aca="false">$B$43+$B$22</f>
        <v>4.34638526425022</v>
      </c>
      <c r="C46" s="15" t="s">
        <v>230</v>
      </c>
      <c r="D46" s="21" t="s">
        <v>598</v>
      </c>
      <c r="E46" s="15" t="n">
        <v>4.3464</v>
      </c>
      <c r="F46" s="22" t="str">
        <f aca="false">IF(ABS(B46-E46)&lt;=H46,"OK","CHECK")</f>
        <v>OK</v>
      </c>
      <c r="G46" s="23" t="n">
        <f aca="false">B46/0.3048</f>
        <v>14.2597941740493</v>
      </c>
      <c r="H46" s="24" t="n">
        <v>0.0002</v>
      </c>
      <c r="I46" s="19"/>
    </row>
    <row r="47" customFormat="false" ht="15" hidden="false" customHeight="false" outlineLevel="0" collapsed="false">
      <c r="A47" s="13" t="s">
        <v>600</v>
      </c>
      <c r="B47" s="27" t="n">
        <f aca="false">$B$44+$B$23</f>
        <v>0.974156322337262</v>
      </c>
      <c r="C47" s="15" t="s">
        <v>230</v>
      </c>
      <c r="D47" s="21" t="s">
        <v>598</v>
      </c>
      <c r="E47" s="15" t="n">
        <v>0.9742</v>
      </c>
      <c r="F47" s="22" t="str">
        <f aca="false">IF(ABS(B47-E47)&lt;=H47,"OK","CHECK")</f>
        <v>OK</v>
      </c>
      <c r="G47" s="23" t="n">
        <f aca="false">B47/0.3048</f>
        <v>3.19605092630335</v>
      </c>
      <c r="H47" s="24" t="n">
        <v>0.0002</v>
      </c>
      <c r="I47" s="19"/>
    </row>
    <row r="48" customFormat="false" ht="15" hidden="false" customHeight="false" outlineLevel="0" collapsed="false">
      <c r="A48" s="13" t="s">
        <v>601</v>
      </c>
      <c r="B48" s="33" t="n">
        <f aca="false">COS(RADIANS($B$20))*COS(RADIANS($B$19))</f>
        <v>0.865992428190713</v>
      </c>
      <c r="C48" s="15"/>
      <c r="D48" s="21" t="s">
        <v>602</v>
      </c>
      <c r="E48" s="15" t="n">
        <v>0.86599</v>
      </c>
      <c r="F48" s="22" t="str">
        <f aca="false">IF(ABS(B48-E48)&lt;=H48,"OK","CHECK")</f>
        <v>OK</v>
      </c>
      <c r="G48" s="17"/>
      <c r="H48" s="24" t="n">
        <v>6E-006</v>
      </c>
      <c r="I48" s="19"/>
    </row>
    <row r="49" customFormat="false" ht="15" hidden="false" customHeight="false" outlineLevel="0" collapsed="false">
      <c r="A49" s="13" t="s">
        <v>603</v>
      </c>
      <c r="B49" s="33" t="n">
        <f aca="false">COS(RADIANS($B$20))*SIN(RADIANS($B$19))*SIN(RADIANS($B$18))-SIN(RADIANS($B$20))*COS(RADIANS($B$18))</f>
        <v>-0.500055742419538</v>
      </c>
      <c r="C49" s="15"/>
      <c r="D49" s="21" t="s">
        <v>602</v>
      </c>
      <c r="E49" s="15" t="n">
        <v>-0.50006</v>
      </c>
      <c r="F49" s="22" t="str">
        <f aca="false">IF(ABS(B49-E49)&lt;=H49,"OK","CHECK")</f>
        <v>OK</v>
      </c>
      <c r="G49" s="17"/>
      <c r="H49" s="24" t="n">
        <v>6E-006</v>
      </c>
      <c r="I49" s="19"/>
    </row>
    <row r="50" customFormat="false" ht="15" hidden="false" customHeight="false" outlineLevel="0" collapsed="false">
      <c r="A50" s="13" t="s">
        <v>604</v>
      </c>
      <c r="B50" s="33" t="n">
        <f aca="false">COS(RADIANS($B$20))*SIN(RADIANS($B$19))*COS(RADIANS($B$18))+SIN(RADIANS($B$20))*SIN(RADIANS($B$18))</f>
        <v>0.0011699528188659</v>
      </c>
      <c r="C50" s="15"/>
      <c r="D50" s="21" t="s">
        <v>602</v>
      </c>
      <c r="E50" s="15" t="n">
        <v>0.00117</v>
      </c>
      <c r="F50" s="22" t="str">
        <f aca="false">IF(ABS(B50-E50)&lt;=H50,"OK","CHECK")</f>
        <v>OK</v>
      </c>
      <c r="G50" s="17"/>
      <c r="H50" s="24" t="n">
        <v>6E-006</v>
      </c>
      <c r="I50" s="19"/>
    </row>
    <row r="51" customFormat="false" ht="15" hidden="false" customHeight="false" outlineLevel="0" collapsed="false">
      <c r="A51" s="13" t="s">
        <v>605</v>
      </c>
      <c r="B51" s="33" t="n">
        <f aca="false">SIN(RADIANS($B$20))*COS(RADIANS($B$19))</f>
        <v>0.499980961532086</v>
      </c>
      <c r="C51" s="15"/>
      <c r="D51" s="21" t="s">
        <v>602</v>
      </c>
      <c r="E51" s="15" t="n">
        <v>0.49998</v>
      </c>
      <c r="F51" s="22" t="str">
        <f aca="false">IF(ABS(B51-E51)&lt;=H51,"OK","CHECK")</f>
        <v>OK</v>
      </c>
      <c r="G51" s="17"/>
      <c r="H51" s="24" t="n">
        <v>6E-006</v>
      </c>
      <c r="I51" s="19"/>
    </row>
    <row r="52" customFormat="false" ht="15" hidden="false" customHeight="false" outlineLevel="0" collapsed="false">
      <c r="A52" s="13" t="s">
        <v>606</v>
      </c>
      <c r="B52" s="33" t="n">
        <f aca="false">SIN(RADIANS($B$20))*SIN(RADIANS($B$19))*SIN(RADIANS($B$18))+COS(RADIANS($B$20))*COS(RADIANS($B$18))</f>
        <v>0.865817354398601</v>
      </c>
      <c r="C52" s="15"/>
      <c r="D52" s="21" t="s">
        <v>602</v>
      </c>
      <c r="E52" s="15" t="n">
        <v>0.86582</v>
      </c>
      <c r="F52" s="22" t="str">
        <f aca="false">IF(ABS(B52-E52)&lt;=H52,"OK","CHECK")</f>
        <v>OK</v>
      </c>
      <c r="G52" s="17"/>
      <c r="H52" s="24" t="n">
        <v>6E-006</v>
      </c>
      <c r="I52" s="19"/>
    </row>
    <row r="53" customFormat="false" ht="15" hidden="false" customHeight="false" outlineLevel="0" collapsed="false">
      <c r="A53" s="13" t="s">
        <v>607</v>
      </c>
      <c r="B53" s="33" t="n">
        <f aca="false">SIN(RADIANS($B$20))*SIN(RADIANS($B$19))*COS(RADIANS($B$18))-COS(RADIANS($B$20))*SIN(RADIANS($B$18))</f>
        <v>-0.0194768305342334</v>
      </c>
      <c r="C53" s="15"/>
      <c r="D53" s="21" t="s">
        <v>602</v>
      </c>
      <c r="E53" s="15" t="n">
        <v>-0.01948</v>
      </c>
      <c r="F53" s="22" t="str">
        <f aca="false">IF(ABS(B53-E53)&lt;=H53,"OK","CHECK")</f>
        <v>OK</v>
      </c>
      <c r="G53" s="17"/>
      <c r="H53" s="24" t="n">
        <v>6E-006</v>
      </c>
      <c r="I53" s="19"/>
    </row>
    <row r="54" customFormat="false" ht="15" hidden="false" customHeight="false" outlineLevel="0" collapsed="false">
      <c r="A54" s="13" t="s">
        <v>608</v>
      </c>
      <c r="B54" s="33" t="n">
        <f aca="false">-SIN(RADIANS($B$19))</f>
        <v>0.00872653549837394</v>
      </c>
      <c r="C54" s="15"/>
      <c r="D54" s="21" t="s">
        <v>602</v>
      </c>
      <c r="E54" s="15" t="n">
        <v>0.00873</v>
      </c>
      <c r="F54" s="22" t="str">
        <f aca="false">IF(ABS(B54-E54)&lt;=H54,"OK","CHECK")</f>
        <v>OK</v>
      </c>
      <c r="G54" s="17"/>
      <c r="H54" s="24" t="n">
        <v>6E-006</v>
      </c>
      <c r="I54" s="19"/>
    </row>
    <row r="55" customFormat="false" ht="15" hidden="false" customHeight="false" outlineLevel="0" collapsed="false">
      <c r="A55" s="13" t="s">
        <v>609</v>
      </c>
      <c r="B55" s="33" t="n">
        <f aca="false">COS(RADIANS($B$19))*SIN(RADIANS($B$18))</f>
        <v>0.0174517419031235</v>
      </c>
      <c r="C55" s="15"/>
      <c r="D55" s="21" t="s">
        <v>602</v>
      </c>
      <c r="E55" s="15" t="n">
        <v>0.01745</v>
      </c>
      <c r="F55" s="22" t="str">
        <f aca="false">IF(ABS(B55-E55)&lt;=H55,"OK","CHECK")</f>
        <v>OK</v>
      </c>
      <c r="G55" s="17"/>
      <c r="H55" s="24" t="n">
        <v>6E-006</v>
      </c>
      <c r="I55" s="19"/>
    </row>
    <row r="56" customFormat="false" ht="15" hidden="false" customHeight="false" outlineLevel="0" collapsed="false">
      <c r="A56" s="13" t="s">
        <v>610</v>
      </c>
      <c r="B56" s="33" t="n">
        <f aca="false">COS(RADIANS($B$19))*COS(RADIANS($B$18))</f>
        <v>0.999809624019864</v>
      </c>
      <c r="C56" s="15"/>
      <c r="D56" s="21" t="s">
        <v>602</v>
      </c>
      <c r="E56" s="15" t="n">
        <v>0.99981</v>
      </c>
      <c r="F56" s="22" t="str">
        <f aca="false">IF(ABS(B56-E56)&lt;=H56,"OK","CHECK")</f>
        <v>OK</v>
      </c>
      <c r="G56" s="17"/>
      <c r="H56" s="24" t="n">
        <v>6E-006</v>
      </c>
      <c r="I56" s="19"/>
    </row>
    <row r="57" customFormat="false" ht="15" hidden="false" customHeight="false" outlineLevel="0" collapsed="false">
      <c r="A57" s="13" t="s">
        <v>611</v>
      </c>
      <c r="B57" s="27" t="n">
        <f aca="false">$B$48*$B$45+$B$49*$B$46+$B$50*$B$47</f>
        <v>19.2378243990474</v>
      </c>
      <c r="C57" s="15" t="s">
        <v>230</v>
      </c>
      <c r="D57" s="21" t="s">
        <v>612</v>
      </c>
      <c r="E57" s="15" t="n">
        <v>19.2378</v>
      </c>
      <c r="F57" s="22" t="str">
        <f aca="false">IF(ABS(B57-E57)&lt;=H57,"OK","CHECK")</f>
        <v>OK</v>
      </c>
      <c r="G57" s="23" t="n">
        <f aca="false">B57/0.3048</f>
        <v>63.1162217816517</v>
      </c>
      <c r="H57" s="24" t="n">
        <v>0.0002</v>
      </c>
      <c r="I57" s="19"/>
    </row>
    <row r="58" customFormat="false" ht="15" hidden="false" customHeight="false" outlineLevel="0" collapsed="false">
      <c r="A58" s="13" t="s">
        <v>613</v>
      </c>
      <c r="B58" s="27" t="n">
        <f aca="false">$B$51*$B$45+$B$52*$B$46+$B$53*$B$47</f>
        <v>16.1053406230642</v>
      </c>
      <c r="C58" s="15" t="s">
        <v>230</v>
      </c>
      <c r="D58" s="21" t="s">
        <v>612</v>
      </c>
      <c r="E58" s="15" t="n">
        <v>16.1053</v>
      </c>
      <c r="F58" s="22" t="str">
        <f aca="false">IF(ABS(B58-E58)&lt;=H58,"OK","CHECK")</f>
        <v>OK</v>
      </c>
      <c r="G58" s="23" t="n">
        <f aca="false">B58/0.3048</f>
        <v>52.8390440389247</v>
      </c>
      <c r="H58" s="24" t="n">
        <v>0.0002</v>
      </c>
      <c r="I58" s="19"/>
    </row>
    <row r="59" customFormat="false" ht="15" hidden="false" customHeight="false" outlineLevel="0" collapsed="false">
      <c r="A59" s="13" t="s">
        <v>614</v>
      </c>
      <c r="B59" s="27" t="n">
        <f aca="false">$B$54*$B$45+$B$55*$B$46+$B$56*$B$47</f>
        <v>1.26557089976475</v>
      </c>
      <c r="C59" s="15" t="s">
        <v>230</v>
      </c>
      <c r="D59" s="21" t="s">
        <v>612</v>
      </c>
      <c r="E59" s="15" t="n">
        <v>1.2656</v>
      </c>
      <c r="F59" s="22" t="str">
        <f aca="false">IF(ABS(B59-E59)&lt;=H59,"OK","CHECK")</f>
        <v>OK</v>
      </c>
      <c r="G59" s="23" t="n">
        <f aca="false">B59/0.3048</f>
        <v>4.15213549791585</v>
      </c>
      <c r="H59" s="24" t="n">
        <v>0.0002</v>
      </c>
      <c r="I59" s="19"/>
    </row>
    <row r="60" customFormat="false" ht="15" hidden="false" customHeight="false" outlineLevel="0" collapsed="false">
      <c r="A60" s="13" t="s">
        <v>615</v>
      </c>
      <c r="B60" s="37" t="n">
        <f aca="false">$B$15+$B$57</f>
        <v>1019.23782439905</v>
      </c>
      <c r="C60" s="15" t="s">
        <v>230</v>
      </c>
      <c r="D60" s="21" t="s">
        <v>616</v>
      </c>
      <c r="E60" s="15" t="n">
        <v>1019.238</v>
      </c>
      <c r="F60" s="22" t="str">
        <f aca="false">IF(ABS(B60-E60)&lt;=H60,"OK","CHECK")</f>
        <v>OK</v>
      </c>
      <c r="G60" s="23" t="n">
        <f aca="false">B60/0.3048</f>
        <v>3343.95611679478</v>
      </c>
      <c r="H60" s="24" t="n">
        <v>0.0006</v>
      </c>
      <c r="I60" s="19"/>
    </row>
    <row r="61" customFormat="false" ht="15" hidden="false" customHeight="false" outlineLevel="0" collapsed="false">
      <c r="A61" s="13" t="s">
        <v>617</v>
      </c>
      <c r="B61" s="20" t="n">
        <f aca="false">$B$16+$B$58</f>
        <v>2016.10534062306</v>
      </c>
      <c r="C61" s="15" t="s">
        <v>230</v>
      </c>
      <c r="D61" s="21" t="s">
        <v>616</v>
      </c>
      <c r="E61" s="15" t="n">
        <v>2016.105</v>
      </c>
      <c r="F61" s="22" t="str">
        <f aca="false">IF(ABS(B61-E61)&lt;=H61,"OK","CHECK")</f>
        <v>OK</v>
      </c>
      <c r="G61" s="23" t="n">
        <f aca="false">B61/0.3048</f>
        <v>6614.51883406517</v>
      </c>
      <c r="H61" s="24" t="n">
        <v>0.0006</v>
      </c>
      <c r="I61" s="19"/>
    </row>
    <row r="62" customFormat="false" ht="15" hidden="false" customHeight="false" outlineLevel="0" collapsed="false">
      <c r="A62" s="13" t="s">
        <v>618</v>
      </c>
      <c r="B62" s="20" t="n">
        <f aca="false">$B$17+$B$59</f>
        <v>11.2655708997648</v>
      </c>
      <c r="C62" s="15" t="s">
        <v>230</v>
      </c>
      <c r="D62" s="21" t="s">
        <v>616</v>
      </c>
      <c r="E62" s="15" t="n">
        <v>11.266</v>
      </c>
      <c r="F62" s="22" t="str">
        <f aca="false">IF(ABS(B62-E62)&lt;=H62,"OK","CHECK")</f>
        <v>OK</v>
      </c>
      <c r="G62" s="23" t="n">
        <f aca="false">B62/0.3048</f>
        <v>36.9605344480471</v>
      </c>
      <c r="H62" s="24" t="n">
        <v>0.0006</v>
      </c>
      <c r="I62" s="19"/>
    </row>
  </sheetData>
  <mergeCells count="2">
    <mergeCell ref="A7:I7"/>
    <mergeCell ref="A14:I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619</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620</v>
      </c>
      <c r="B6" s="11"/>
      <c r="C6" s="11"/>
      <c r="D6" s="11"/>
      <c r="E6" s="11"/>
      <c r="F6" s="11"/>
      <c r="G6" s="11"/>
      <c r="H6" s="11"/>
      <c r="I6" s="11"/>
    </row>
    <row r="7" customFormat="false" ht="15" hidden="false" customHeight="true" outlineLevel="0" collapsed="false">
      <c r="A7" s="12" t="s">
        <v>621</v>
      </c>
      <c r="B7" s="12"/>
      <c r="C7" s="12"/>
      <c r="D7" s="12"/>
      <c r="E7" s="12"/>
      <c r="F7" s="12"/>
      <c r="G7" s="12"/>
      <c r="H7" s="12"/>
      <c r="I7" s="12"/>
    </row>
    <row r="8" customFormat="false" ht="15" hidden="false" customHeight="false" outlineLevel="0" collapsed="false">
      <c r="A8" s="13" t="s">
        <v>444</v>
      </c>
      <c r="B8" s="14" t="n">
        <v>10</v>
      </c>
      <c r="C8" s="15" t="s">
        <v>230</v>
      </c>
      <c r="D8" s="16" t="s">
        <v>226</v>
      </c>
      <c r="E8" s="17"/>
      <c r="F8" s="17"/>
      <c r="G8" s="23" t="n">
        <f aca="false">B8/0.3048</f>
        <v>32.8083989501312</v>
      </c>
      <c r="H8" s="17"/>
      <c r="I8" s="19"/>
    </row>
    <row r="9" customFormat="false" ht="15" hidden="false" customHeight="false" outlineLevel="0" collapsed="false">
      <c r="A9" s="13" t="s">
        <v>445</v>
      </c>
      <c r="B9" s="14" t="n">
        <v>5</v>
      </c>
      <c r="C9" s="15" t="s">
        <v>230</v>
      </c>
      <c r="D9" s="16" t="s">
        <v>226</v>
      </c>
      <c r="E9" s="17"/>
      <c r="F9" s="17"/>
      <c r="G9" s="23" t="n">
        <f aca="false">B9/0.3048</f>
        <v>16.4041994750656</v>
      </c>
      <c r="H9" s="17"/>
      <c r="I9" s="19"/>
    </row>
    <row r="10" customFormat="false" ht="15" hidden="false" customHeight="false" outlineLevel="0" collapsed="false">
      <c r="A10" s="13" t="s">
        <v>622</v>
      </c>
      <c r="B10" s="14" t="n">
        <v>0</v>
      </c>
      <c r="C10" s="15" t="s">
        <v>238</v>
      </c>
      <c r="D10" s="16" t="s">
        <v>226</v>
      </c>
      <c r="E10" s="17"/>
      <c r="F10" s="17"/>
      <c r="G10" s="17"/>
      <c r="H10" s="17"/>
      <c r="I10" s="19"/>
    </row>
    <row r="11" customFormat="false" ht="15" hidden="false" customHeight="false" outlineLevel="0" collapsed="false">
      <c r="A11" s="13" t="s">
        <v>623</v>
      </c>
      <c r="B11" s="14" t="n">
        <v>0.4</v>
      </c>
      <c r="C11" s="15" t="s">
        <v>230</v>
      </c>
      <c r="D11" s="16" t="s">
        <v>226</v>
      </c>
      <c r="E11" s="17"/>
      <c r="F11" s="17"/>
      <c r="G11" s="23" t="n">
        <f aca="false">B11/0.3048</f>
        <v>1.31233595800525</v>
      </c>
      <c r="H11" s="17"/>
      <c r="I11" s="19"/>
    </row>
    <row r="12" customFormat="false" ht="15" hidden="false" customHeight="false" outlineLevel="0" collapsed="false">
      <c r="A12" s="13" t="s">
        <v>624</v>
      </c>
      <c r="B12" s="14" t="n">
        <v>0.45</v>
      </c>
      <c r="C12" s="15" t="s">
        <v>230</v>
      </c>
      <c r="D12" s="16" t="s">
        <v>226</v>
      </c>
      <c r="E12" s="17"/>
      <c r="F12" s="17"/>
      <c r="G12" s="23" t="n">
        <f aca="false">B12/0.3048</f>
        <v>1.47637795275591</v>
      </c>
      <c r="H12" s="17"/>
      <c r="I12" s="19"/>
    </row>
    <row r="13" customFormat="false" ht="15" hidden="false" customHeight="false" outlineLevel="0" collapsed="false">
      <c r="A13" s="13" t="s">
        <v>625</v>
      </c>
      <c r="B13" s="14" t="n">
        <v>0.3</v>
      </c>
      <c r="C13" s="15" t="s">
        <v>230</v>
      </c>
      <c r="D13" s="16" t="s">
        <v>226</v>
      </c>
      <c r="E13" s="17"/>
      <c r="F13" s="17"/>
      <c r="G13" s="23" t="n">
        <f aca="false">B13/0.3048</f>
        <v>0.984251968503937</v>
      </c>
      <c r="H13" s="17"/>
      <c r="I13" s="19"/>
    </row>
    <row r="14" customFormat="false" ht="15" hidden="false" customHeight="false" outlineLevel="0" collapsed="false">
      <c r="A14" s="13" t="s">
        <v>626</v>
      </c>
      <c r="B14" s="33" t="n">
        <f aca="false">($B$12-$B$11)/$B$13</f>
        <v>0.166666666666667</v>
      </c>
      <c r="C14" s="15" t="s">
        <v>241</v>
      </c>
      <c r="D14" s="21" t="s">
        <v>627</v>
      </c>
      <c r="E14" s="15" t="n">
        <v>0.16667</v>
      </c>
      <c r="F14" s="22" t="str">
        <f aca="false">IF(ABS(B14-E14)&lt;=H14,"OK","CHECK")</f>
        <v>OK</v>
      </c>
      <c r="G14" s="17"/>
      <c r="H14" s="24" t="n">
        <v>5E-006</v>
      </c>
      <c r="I14" s="19"/>
    </row>
    <row r="15" customFormat="false" ht="15" hidden="false" customHeight="false" outlineLevel="0" collapsed="false">
      <c r="A15" s="13" t="s">
        <v>628</v>
      </c>
      <c r="B15" s="20" t="n">
        <f aca="false">DEGREES($B$14)</f>
        <v>9.54929658551372</v>
      </c>
      <c r="C15" s="15" t="s">
        <v>238</v>
      </c>
      <c r="D15" s="21"/>
      <c r="E15" s="15" t="n">
        <v>9.549</v>
      </c>
      <c r="F15" s="22" t="str">
        <f aca="false">IF(ABS(B15-E15)&lt;=H15,"OK","CHECK")</f>
        <v>OK</v>
      </c>
      <c r="G15" s="17"/>
      <c r="H15" s="24" t="n">
        <v>0.0005</v>
      </c>
      <c r="I15" s="19"/>
    </row>
    <row r="16" customFormat="false" ht="15" hidden="false" customHeight="false" outlineLevel="0" collapsed="false">
      <c r="A16" s="13" t="s">
        <v>629</v>
      </c>
      <c r="B16" s="20" t="n">
        <f aca="false">$B$11/$B$14</f>
        <v>2.4</v>
      </c>
      <c r="C16" s="15" t="s">
        <v>230</v>
      </c>
      <c r="D16" s="21" t="s">
        <v>630</v>
      </c>
      <c r="E16" s="15" t="n">
        <v>2.4</v>
      </c>
      <c r="F16" s="22" t="str">
        <f aca="false">IF(ABS(B16-E16)&lt;=H16,"OK","CHECK")</f>
        <v>OK</v>
      </c>
      <c r="G16" s="23" t="n">
        <f aca="false">B16/0.3048</f>
        <v>7.8740157480315</v>
      </c>
      <c r="H16" s="24" t="n">
        <v>0.0005</v>
      </c>
      <c r="I16" s="19"/>
    </row>
    <row r="17" customFormat="false" ht="15" hidden="false" customHeight="false" outlineLevel="0" collapsed="false">
      <c r="A17" s="13" t="s">
        <v>631</v>
      </c>
      <c r="B17" s="20" t="n">
        <f aca="false">$B$16+$B$13/2</f>
        <v>2.55</v>
      </c>
      <c r="C17" s="15" t="s">
        <v>230</v>
      </c>
      <c r="D17" s="21" t="s">
        <v>632</v>
      </c>
      <c r="E17" s="15" t="n">
        <v>2.55</v>
      </c>
      <c r="F17" s="22" t="str">
        <f aca="false">IF(ABS(B17-E17)&lt;=H17,"OK","CHECK")</f>
        <v>OK</v>
      </c>
      <c r="G17" s="23" t="n">
        <f aca="false">B17/0.3048</f>
        <v>8.36614173228347</v>
      </c>
      <c r="H17" s="24" t="n">
        <v>0.0005</v>
      </c>
      <c r="I17" s="19"/>
    </row>
    <row r="18" customFormat="false" ht="15" hidden="false" customHeight="false" outlineLevel="0" collapsed="false">
      <c r="A18" s="13" t="s">
        <v>447</v>
      </c>
      <c r="B18" s="27" t="n">
        <f aca="false">$B$8+$B$17*(SIN(RADIANS($B$10)+$B$14)-SIN(RADIANS($B$10)))</f>
        <v>10.4230351383682</v>
      </c>
      <c r="C18" s="15" t="s">
        <v>230</v>
      </c>
      <c r="D18" s="21" t="s">
        <v>633</v>
      </c>
      <c r="E18" s="15" t="n">
        <v>10.423</v>
      </c>
      <c r="F18" s="22" t="str">
        <f aca="false">IF(ABS(B18-E18)&lt;=H18,"OK","CHECK")</f>
        <v>OK</v>
      </c>
      <c r="G18" s="23" t="n">
        <f aca="false">B18/0.3048</f>
        <v>34.1963095090821</v>
      </c>
      <c r="H18" s="24" t="n">
        <v>0.0005</v>
      </c>
      <c r="I18" s="19"/>
    </row>
    <row r="19" customFormat="false" ht="15" hidden="false" customHeight="false" outlineLevel="0" collapsed="false">
      <c r="A19" s="13" t="s">
        <v>449</v>
      </c>
      <c r="B19" s="27" t="n">
        <f aca="false">$B$9-$B$17*(COS(RADIANS($B$10)+$B$14)-COS(RADIANS($B$10)))</f>
        <v>5.03533475951454</v>
      </c>
      <c r="C19" s="15" t="s">
        <v>230</v>
      </c>
      <c r="D19" s="21" t="s">
        <v>634</v>
      </c>
      <c r="E19" s="15" t="n">
        <v>5.0353</v>
      </c>
      <c r="F19" s="22" t="str">
        <f aca="false">IF(ABS(B19-E19)&lt;=H19,"OK","CHECK")</f>
        <v>OK</v>
      </c>
      <c r="G19" s="23" t="n">
        <f aca="false">B19/0.3048</f>
        <v>16.5201271637616</v>
      </c>
      <c r="H19" s="24" t="n">
        <v>6E-005</v>
      </c>
      <c r="I19" s="19"/>
    </row>
    <row r="20" customFormat="false" ht="15" hidden="false" customHeight="false" outlineLevel="0" collapsed="false">
      <c r="A20" s="13" t="s">
        <v>635</v>
      </c>
      <c r="B20" s="20" t="n">
        <f aca="false">$B$10+$B$15</f>
        <v>9.54929658551372</v>
      </c>
      <c r="C20" s="15" t="s">
        <v>238</v>
      </c>
      <c r="D20" s="21" t="s">
        <v>636</v>
      </c>
      <c r="E20" s="15" t="n">
        <v>9.549</v>
      </c>
      <c r="F20" s="22" t="str">
        <f aca="false">IF(ABS(B20-E20)&lt;=H20,"OK","CHECK")</f>
        <v>OK</v>
      </c>
      <c r="G20" s="17"/>
      <c r="H20" s="24" t="n">
        <v>0.0005</v>
      </c>
      <c r="I20" s="19"/>
    </row>
    <row r="21" customFormat="false" ht="15" hidden="false" customHeight="false" outlineLevel="0" collapsed="false">
      <c r="A21" s="2"/>
      <c r="B21" s="2"/>
      <c r="C21" s="2"/>
      <c r="D21" s="2"/>
      <c r="E21" s="2"/>
      <c r="F21" s="2"/>
      <c r="G21" s="2"/>
      <c r="H21" s="2"/>
      <c r="I21" s="2"/>
    </row>
    <row r="22" customFormat="false" ht="15" hidden="false" customHeight="false" outlineLevel="0" collapsed="false">
      <c r="A22" s="10" t="s">
        <v>637</v>
      </c>
      <c r="B22" s="11"/>
      <c r="C22" s="11"/>
      <c r="D22" s="11"/>
      <c r="E22" s="11"/>
      <c r="F22" s="11"/>
      <c r="G22" s="11"/>
      <c r="H22" s="11"/>
      <c r="I22" s="11"/>
    </row>
    <row r="23" customFormat="false" ht="15" hidden="false" customHeight="true" outlineLevel="0" collapsed="false">
      <c r="A23" s="12" t="s">
        <v>638</v>
      </c>
      <c r="B23" s="12"/>
      <c r="C23" s="12"/>
      <c r="D23" s="12"/>
      <c r="E23" s="12"/>
      <c r="F23" s="12"/>
      <c r="G23" s="12"/>
      <c r="H23" s="12"/>
      <c r="I23" s="12"/>
    </row>
    <row r="24" customFormat="false" ht="15" hidden="false" customHeight="false" outlineLevel="0" collapsed="false">
      <c r="A24" s="13" t="s">
        <v>639</v>
      </c>
      <c r="B24" s="14" t="n">
        <v>100</v>
      </c>
      <c r="C24" s="15" t="s">
        <v>230</v>
      </c>
      <c r="D24" s="16" t="s">
        <v>226</v>
      </c>
      <c r="E24" s="17"/>
      <c r="F24" s="17"/>
      <c r="G24" s="23" t="n">
        <f aca="false">B24/0.3048</f>
        <v>328.083989501312</v>
      </c>
      <c r="H24" s="17"/>
      <c r="I24" s="19"/>
    </row>
    <row r="25" customFormat="false" ht="15" hidden="false" customHeight="false" outlineLevel="0" collapsed="false">
      <c r="A25" s="13" t="s">
        <v>640</v>
      </c>
      <c r="B25" s="14" t="n">
        <v>0.5</v>
      </c>
      <c r="C25" s="15" t="s">
        <v>230</v>
      </c>
      <c r="D25" s="16" t="s">
        <v>226</v>
      </c>
      <c r="E25" s="17"/>
      <c r="F25" s="17"/>
      <c r="G25" s="23" t="n">
        <f aca="false">B25/0.3048</f>
        <v>1.64041994750656</v>
      </c>
      <c r="H25" s="17"/>
      <c r="I25" s="19"/>
    </row>
    <row r="26" customFormat="false" ht="15" hidden="false" customHeight="false" outlineLevel="0" collapsed="false">
      <c r="A26" s="13" t="s">
        <v>641</v>
      </c>
      <c r="B26" s="14" t="n">
        <v>100.4</v>
      </c>
      <c r="C26" s="15" t="s">
        <v>230</v>
      </c>
      <c r="D26" s="16" t="s">
        <v>226</v>
      </c>
      <c r="E26" s="17"/>
      <c r="F26" s="17"/>
      <c r="G26" s="23" t="n">
        <f aca="false">B26/0.3048</f>
        <v>329.396325459318</v>
      </c>
      <c r="H26" s="17"/>
      <c r="I26" s="19"/>
    </row>
    <row r="27" customFormat="false" ht="15" hidden="false" customHeight="false" outlineLevel="0" collapsed="false">
      <c r="A27" s="13" t="s">
        <v>642</v>
      </c>
      <c r="B27" s="14" t="n">
        <v>0.2</v>
      </c>
      <c r="C27" s="15" t="s">
        <v>230</v>
      </c>
      <c r="D27" s="16" t="s">
        <v>226</v>
      </c>
      <c r="E27" s="17"/>
      <c r="F27" s="17"/>
      <c r="G27" s="23" t="n">
        <f aca="false">B27/0.3048</f>
        <v>0.656167979002625</v>
      </c>
      <c r="H27" s="17"/>
      <c r="I27" s="19"/>
    </row>
    <row r="28" customFormat="false" ht="15" hidden="false" customHeight="false" outlineLevel="0" collapsed="false">
      <c r="A28" s="13" t="s">
        <v>643</v>
      </c>
      <c r="B28" s="27" t="n">
        <f aca="false">$B$25^2</f>
        <v>0.25</v>
      </c>
      <c r="C28" s="15" t="s">
        <v>644</v>
      </c>
      <c r="D28" s="21" t="s">
        <v>645</v>
      </c>
      <c r="E28" s="15" t="n">
        <v>0.25</v>
      </c>
      <c r="F28" s="22" t="str">
        <f aca="false">IF(ABS(B28-E28)&lt;=H28,"OK","CHECK")</f>
        <v>OK</v>
      </c>
      <c r="G28" s="38" t="n">
        <f aca="false">B28/0.09290304</f>
        <v>2.69097760417743</v>
      </c>
      <c r="H28" s="24" t="n">
        <v>1E-009</v>
      </c>
      <c r="I28" s="19"/>
    </row>
    <row r="29" customFormat="false" ht="15" hidden="false" customHeight="false" outlineLevel="0" collapsed="false">
      <c r="A29" s="13" t="s">
        <v>646</v>
      </c>
      <c r="B29" s="27" t="n">
        <f aca="false">$B$27^2</f>
        <v>0.04</v>
      </c>
      <c r="C29" s="15" t="s">
        <v>644</v>
      </c>
      <c r="D29" s="21" t="s">
        <v>647</v>
      </c>
      <c r="E29" s="15" t="n">
        <v>0.04</v>
      </c>
      <c r="F29" s="22" t="str">
        <f aca="false">IF(ABS(B29-E29)&lt;=H29,"OK","CHECK")</f>
        <v>OK</v>
      </c>
      <c r="G29" s="38" t="n">
        <f aca="false">B29/0.09290304</f>
        <v>0.430556416668389</v>
      </c>
      <c r="H29" s="24" t="n">
        <v>1E-009</v>
      </c>
      <c r="I29" s="19"/>
    </row>
    <row r="30" customFormat="false" ht="15" hidden="false" customHeight="false" outlineLevel="0" collapsed="false">
      <c r="A30" s="13" t="s">
        <v>648</v>
      </c>
      <c r="B30" s="27" t="n">
        <f aca="false">$B$28/($B$28+$B$29)</f>
        <v>0.862068965517241</v>
      </c>
      <c r="C30" s="15"/>
      <c r="D30" s="21" t="s">
        <v>649</v>
      </c>
      <c r="E30" s="15" t="n">
        <v>0.8621</v>
      </c>
      <c r="F30" s="22" t="str">
        <f aca="false">IF(ABS(B30-E30)&lt;=H30,"OK","CHECK")</f>
        <v>OK</v>
      </c>
      <c r="G30" s="17"/>
      <c r="H30" s="24" t="n">
        <v>5E-005</v>
      </c>
      <c r="I30" s="19"/>
    </row>
    <row r="31" customFormat="false" ht="15" hidden="false" customHeight="false" outlineLevel="0" collapsed="false">
      <c r="A31" s="13" t="s">
        <v>650</v>
      </c>
      <c r="B31" s="20" t="n">
        <f aca="false">$B$24+$B$30*($B$26-$B$24)</f>
        <v>100.344827586207</v>
      </c>
      <c r="C31" s="15" t="s">
        <v>230</v>
      </c>
      <c r="D31" s="21" t="s">
        <v>651</v>
      </c>
      <c r="E31" s="15" t="n">
        <v>100.345</v>
      </c>
      <c r="F31" s="22" t="str">
        <f aca="false">IF(ABS(B31-E31)&lt;=H31,"OK","CHECK")</f>
        <v>OK</v>
      </c>
      <c r="G31" s="23" t="n">
        <f aca="false">B31/0.3048</f>
        <v>329.215313603041</v>
      </c>
      <c r="H31" s="24" t="n">
        <v>0.0005</v>
      </c>
      <c r="I31" s="19"/>
    </row>
    <row r="32" customFormat="false" ht="15" hidden="false" customHeight="false" outlineLevel="0" collapsed="false">
      <c r="A32" s="13" t="s">
        <v>652</v>
      </c>
      <c r="B32" s="33" t="n">
        <f aca="false">(1-$B$30)*$B$28</f>
        <v>0.0344827586206897</v>
      </c>
      <c r="C32" s="15" t="s">
        <v>644</v>
      </c>
      <c r="D32" s="21" t="s">
        <v>653</v>
      </c>
      <c r="E32" s="15" t="n">
        <v>0.03448</v>
      </c>
      <c r="F32" s="22" t="str">
        <f aca="false">IF(ABS(B32-E32)&lt;=H32,"OK","CHECK")</f>
        <v>OK</v>
      </c>
      <c r="G32" s="38" t="n">
        <f aca="false">B32/0.09290304</f>
        <v>0.371169324714129</v>
      </c>
      <c r="H32" s="24" t="n">
        <v>5E-006</v>
      </c>
      <c r="I32" s="19"/>
    </row>
    <row r="33" customFormat="false" ht="15" hidden="false" customHeight="false" outlineLevel="0" collapsed="false">
      <c r="A33" s="13" t="s">
        <v>654</v>
      </c>
      <c r="B33" s="20" t="n">
        <f aca="false">SQRT($B$32)</f>
        <v>0.185695338177052</v>
      </c>
      <c r="C33" s="15" t="s">
        <v>230</v>
      </c>
      <c r="D33" s="21"/>
      <c r="E33" s="15" t="n">
        <v>0.186</v>
      </c>
      <c r="F33" s="22" t="str">
        <f aca="false">IF(ABS(B33-E33)&lt;=H33,"OK","CHECK")</f>
        <v>OK</v>
      </c>
      <c r="G33" s="23" t="n">
        <f aca="false">B33/0.3048</f>
        <v>0.609236673809225</v>
      </c>
      <c r="H33" s="24" t="n">
        <v>0.0005</v>
      </c>
      <c r="I33" s="19"/>
    </row>
    <row r="34" customFormat="false" ht="15" hidden="false" customHeight="false" outlineLevel="0" collapsed="false">
      <c r="A34" s="2"/>
      <c r="B34" s="2"/>
      <c r="C34" s="2"/>
      <c r="D34" s="2"/>
      <c r="E34" s="2"/>
      <c r="F34" s="2"/>
      <c r="G34" s="2"/>
      <c r="H34" s="2"/>
      <c r="I34" s="2"/>
    </row>
    <row r="35" customFormat="false" ht="15" hidden="false" customHeight="false" outlineLevel="0" collapsed="false">
      <c r="A35" s="10" t="s">
        <v>655</v>
      </c>
      <c r="B35" s="11"/>
      <c r="C35" s="11"/>
      <c r="D35" s="11"/>
      <c r="E35" s="11"/>
      <c r="F35" s="11"/>
      <c r="G35" s="11"/>
      <c r="H35" s="11"/>
      <c r="I35" s="11"/>
    </row>
    <row r="36" customFormat="false" ht="15" hidden="false" customHeight="true" outlineLevel="0" collapsed="false">
      <c r="A36" s="12" t="s">
        <v>656</v>
      </c>
      <c r="B36" s="12"/>
      <c r="C36" s="12"/>
      <c r="D36" s="12"/>
      <c r="E36" s="12"/>
      <c r="F36" s="12"/>
      <c r="G36" s="12"/>
      <c r="H36" s="12"/>
      <c r="I36" s="12"/>
    </row>
    <row r="37" customFormat="false" ht="15" hidden="false" customHeight="false" outlineLevel="0" collapsed="false">
      <c r="A37" s="13" t="s">
        <v>657</v>
      </c>
      <c r="B37" s="14" t="n">
        <v>0.01</v>
      </c>
      <c r="C37" s="15"/>
      <c r="D37" s="16" t="s">
        <v>226</v>
      </c>
      <c r="E37" s="17"/>
      <c r="F37" s="17"/>
      <c r="G37" s="17"/>
      <c r="H37" s="17"/>
      <c r="I37" s="19"/>
    </row>
    <row r="38" customFormat="false" ht="15" hidden="false" customHeight="false" outlineLevel="0" collapsed="false">
      <c r="A38" s="13" t="s">
        <v>658</v>
      </c>
      <c r="B38" s="14" t="n">
        <v>0.01</v>
      </c>
      <c r="C38" s="15"/>
      <c r="D38" s="16" t="s">
        <v>226</v>
      </c>
      <c r="E38" s="17"/>
      <c r="F38" s="17"/>
      <c r="G38" s="17"/>
      <c r="H38" s="17"/>
      <c r="I38" s="19"/>
    </row>
    <row r="39" customFormat="false" ht="15" hidden="false" customHeight="false" outlineLevel="0" collapsed="false">
      <c r="A39" s="13" t="s">
        <v>659</v>
      </c>
      <c r="B39" s="14" t="n">
        <v>0.001</v>
      </c>
      <c r="C39" s="15"/>
      <c r="D39" s="16" t="s">
        <v>226</v>
      </c>
      <c r="E39" s="17"/>
      <c r="F39" s="17"/>
      <c r="G39" s="17"/>
      <c r="H39" s="17"/>
      <c r="I39" s="19"/>
    </row>
    <row r="40" customFormat="false" ht="15" hidden="false" customHeight="false" outlineLevel="0" collapsed="false">
      <c r="A40" s="13" t="s">
        <v>660</v>
      </c>
      <c r="B40" s="14" t="n">
        <v>0.002</v>
      </c>
      <c r="C40" s="15"/>
      <c r="D40" s="16" t="s">
        <v>226</v>
      </c>
      <c r="E40" s="17"/>
      <c r="F40" s="17"/>
      <c r="G40" s="17"/>
      <c r="H40" s="17"/>
      <c r="I40" s="19"/>
    </row>
    <row r="41" customFormat="false" ht="15" hidden="false" customHeight="false" outlineLevel="0" collapsed="false">
      <c r="A41" s="13" t="s">
        <v>661</v>
      </c>
      <c r="B41" s="14" t="n">
        <v>0.002</v>
      </c>
      <c r="C41" s="15"/>
      <c r="D41" s="16" t="s">
        <v>226</v>
      </c>
      <c r="E41" s="17"/>
      <c r="F41" s="17"/>
      <c r="G41" s="17"/>
      <c r="H41" s="17"/>
      <c r="I41" s="19"/>
    </row>
    <row r="42" customFormat="false" ht="15" hidden="false" customHeight="false" outlineLevel="0" collapsed="false">
      <c r="A42" s="13" t="s">
        <v>662</v>
      </c>
      <c r="B42" s="14" t="n">
        <v>0.0005</v>
      </c>
      <c r="C42" s="15"/>
      <c r="D42" s="16" t="s">
        <v>226</v>
      </c>
      <c r="E42" s="17"/>
      <c r="F42" s="17"/>
      <c r="G42" s="17"/>
      <c r="H42" s="17"/>
      <c r="I42" s="19"/>
    </row>
    <row r="43" customFormat="false" ht="15" hidden="false" customHeight="false" outlineLevel="0" collapsed="false">
      <c r="A43" s="13" t="s">
        <v>663</v>
      </c>
      <c r="B43" s="39" t="n">
        <f aca="false">$B$17*(COS(RADIANS($B$10)+$B$14)-COS(RADIANS($B$10)))</f>
        <v>-0.0353347595145411</v>
      </c>
      <c r="C43" s="15"/>
      <c r="D43" s="21" t="s">
        <v>664</v>
      </c>
      <c r="E43" s="15" t="n">
        <v>-0.0353</v>
      </c>
      <c r="F43" s="22" t="str">
        <f aca="false">IF(ABS(B43-E43)&lt;=H43,"OK","CHECK")</f>
        <v>OK</v>
      </c>
      <c r="G43" s="17"/>
      <c r="H43" s="24" t="n">
        <v>5E-005</v>
      </c>
      <c r="I43" s="19"/>
    </row>
    <row r="44" customFormat="false" ht="15" hidden="false" customHeight="false" outlineLevel="0" collapsed="false">
      <c r="A44" s="13" t="s">
        <v>665</v>
      </c>
      <c r="B44" s="39" t="n">
        <f aca="false">$B$17*(SIN(RADIANS($B$10)+$B$14)-SIN(RADIANS($B$10)))</f>
        <v>0.423035138368208</v>
      </c>
      <c r="C44" s="15"/>
      <c r="D44" s="21" t="s">
        <v>666</v>
      </c>
      <c r="E44" s="15" t="n">
        <v>0.423</v>
      </c>
      <c r="F44" s="22" t="str">
        <f aca="false">IF(ABS(B44-E44)&lt;=H44,"OK","CHECK")</f>
        <v>OK</v>
      </c>
      <c r="G44" s="17"/>
      <c r="H44" s="24" t="n">
        <v>5E-005</v>
      </c>
      <c r="I44" s="19"/>
    </row>
    <row r="45" customFormat="false" ht="15" hidden="false" customHeight="false" outlineLevel="0" collapsed="false">
      <c r="A45" s="13" t="s">
        <v>667</v>
      </c>
      <c r="B45" s="33" t="n">
        <f aca="false">$B$37+$B$43^2*$B$39</f>
        <v>0.01000124854523</v>
      </c>
      <c r="C45" s="15"/>
      <c r="D45" s="21"/>
      <c r="E45" s="15" t="n">
        <v>0.01</v>
      </c>
      <c r="F45" s="22" t="str">
        <f aca="false">IF(ABS(B45-E45)&lt;=H45,"OK","CHECK")</f>
        <v>OK</v>
      </c>
      <c r="G45" s="17"/>
      <c r="H45" s="24" t="n">
        <v>6E-006</v>
      </c>
      <c r="I45" s="19"/>
    </row>
    <row r="46" customFormat="false" ht="15" hidden="false" customHeight="false" outlineLevel="0" collapsed="false">
      <c r="A46" s="13" t="s">
        <v>668</v>
      </c>
      <c r="B46" s="33" t="n">
        <f aca="false">$B$43*$B$44*$B$39</f>
        <v>-1.49478448804413E-005</v>
      </c>
      <c r="C46" s="15"/>
      <c r="D46" s="21"/>
      <c r="E46" s="15" t="n">
        <v>-1E-005</v>
      </c>
      <c r="F46" s="22" t="str">
        <f aca="false">IF(ABS(B46-E46)&lt;=H46,"OK","CHECK")</f>
        <v>OK</v>
      </c>
      <c r="G46" s="17"/>
      <c r="H46" s="24" t="n">
        <v>6E-006</v>
      </c>
      <c r="I46" s="19"/>
    </row>
    <row r="47" customFormat="false" ht="15" hidden="false" customHeight="false" outlineLevel="0" collapsed="false">
      <c r="A47" s="13" t="s">
        <v>669</v>
      </c>
      <c r="B47" s="33" t="n">
        <f aca="false">$B$43*$B$39</f>
        <v>-3.53347595145411E-005</v>
      </c>
      <c r="C47" s="15"/>
      <c r="D47" s="21"/>
      <c r="E47" s="15" t="n">
        <v>-4E-005</v>
      </c>
      <c r="F47" s="22" t="str">
        <f aca="false">IF(ABS(B47-E47)&lt;=H47,"OK","CHECK")</f>
        <v>OK</v>
      </c>
      <c r="G47" s="17"/>
      <c r="H47" s="24" t="n">
        <v>6E-006</v>
      </c>
      <c r="I47" s="19"/>
    </row>
    <row r="48" customFormat="false" ht="15" hidden="false" customHeight="false" outlineLevel="0" collapsed="false">
      <c r="A48" s="13" t="s">
        <v>670</v>
      </c>
      <c r="B48" s="33" t="n">
        <f aca="false">$B$38+$B$44^2*$B$39</f>
        <v>0.0101789587282942</v>
      </c>
      <c r="C48" s="15"/>
      <c r="D48" s="21"/>
      <c r="E48" s="15" t="n">
        <v>0.01018</v>
      </c>
      <c r="F48" s="22" t="str">
        <f aca="false">IF(ABS(B48-E48)&lt;=H48,"OK","CHECK")</f>
        <v>OK</v>
      </c>
      <c r="G48" s="17"/>
      <c r="H48" s="24" t="n">
        <v>6E-006</v>
      </c>
      <c r="I48" s="19"/>
    </row>
    <row r="49" customFormat="false" ht="15" hidden="false" customHeight="false" outlineLevel="0" collapsed="false">
      <c r="A49" s="13" t="s">
        <v>671</v>
      </c>
      <c r="B49" s="33" t="n">
        <f aca="false">$B$44*$B$39</f>
        <v>0.000423035138368208</v>
      </c>
      <c r="C49" s="15"/>
      <c r="D49" s="21"/>
      <c r="E49" s="15" t="n">
        <v>0.00042</v>
      </c>
      <c r="F49" s="22" t="str">
        <f aca="false">IF(ABS(B49-E49)&lt;=H49,"OK","CHECK")</f>
        <v>OK</v>
      </c>
      <c r="G49" s="17"/>
      <c r="H49" s="24" t="n">
        <v>6E-006</v>
      </c>
      <c r="I49" s="19"/>
    </row>
    <row r="50" customFormat="false" ht="15" hidden="false" customHeight="false" outlineLevel="0" collapsed="false">
      <c r="A50" s="13" t="s">
        <v>672</v>
      </c>
      <c r="B50" s="33" t="n">
        <f aca="false">$B$45+$B$40</f>
        <v>0.01200124854523</v>
      </c>
      <c r="C50" s="15"/>
      <c r="D50" s="21" t="s">
        <v>673</v>
      </c>
      <c r="E50" s="15" t="n">
        <v>0.012</v>
      </c>
      <c r="F50" s="22" t="str">
        <f aca="false">IF(ABS(B50-E50)&lt;=H50,"OK","CHECK")</f>
        <v>OK</v>
      </c>
      <c r="G50" s="17"/>
      <c r="H50" s="24" t="n">
        <v>6E-006</v>
      </c>
      <c r="I50" s="19"/>
    </row>
    <row r="51" customFormat="false" ht="15" hidden="false" customHeight="false" outlineLevel="0" collapsed="false">
      <c r="A51" s="13" t="s">
        <v>674</v>
      </c>
      <c r="B51" s="33" t="n">
        <f aca="false">$B$46</f>
        <v>-1.49478448804413E-005</v>
      </c>
      <c r="C51" s="15"/>
      <c r="D51" s="21"/>
      <c r="E51" s="15" t="n">
        <v>-1E-005</v>
      </c>
      <c r="F51" s="22" t="str">
        <f aca="false">IF(ABS(B51-E51)&lt;=H51,"OK","CHECK")</f>
        <v>OK</v>
      </c>
      <c r="G51" s="17"/>
      <c r="H51" s="24" t="n">
        <v>6E-006</v>
      </c>
      <c r="I51" s="19"/>
    </row>
    <row r="52" customFormat="false" ht="15" hidden="false" customHeight="false" outlineLevel="0" collapsed="false">
      <c r="A52" s="13" t="s">
        <v>675</v>
      </c>
      <c r="B52" s="33" t="n">
        <f aca="false">$B$47</f>
        <v>-3.53347595145411E-005</v>
      </c>
      <c r="C52" s="15"/>
      <c r="D52" s="21"/>
      <c r="E52" s="15" t="n">
        <v>-4E-005</v>
      </c>
      <c r="F52" s="22" t="str">
        <f aca="false">IF(ABS(B52-E52)&lt;=H52,"OK","CHECK")</f>
        <v>OK</v>
      </c>
      <c r="G52" s="17"/>
      <c r="H52" s="24" t="n">
        <v>6E-006</v>
      </c>
      <c r="I52" s="19"/>
    </row>
    <row r="53" customFormat="false" ht="15" hidden="false" customHeight="false" outlineLevel="0" collapsed="false">
      <c r="A53" s="13" t="s">
        <v>676</v>
      </c>
      <c r="B53" s="33" t="n">
        <f aca="false">$B$48+$B$41</f>
        <v>0.0121789587282942</v>
      </c>
      <c r="C53" s="15"/>
      <c r="D53" s="21"/>
      <c r="E53" s="15" t="n">
        <v>0.01218</v>
      </c>
      <c r="F53" s="22" t="str">
        <f aca="false">IF(ABS(B53-E53)&lt;=H53,"OK","CHECK")</f>
        <v>OK</v>
      </c>
      <c r="G53" s="17"/>
      <c r="H53" s="24" t="n">
        <v>6E-006</v>
      </c>
      <c r="I53" s="19"/>
    </row>
    <row r="54" customFormat="false" ht="15" hidden="false" customHeight="false" outlineLevel="0" collapsed="false">
      <c r="A54" s="13" t="s">
        <v>677</v>
      </c>
      <c r="B54" s="33" t="n">
        <f aca="false">$B$49</f>
        <v>0.000423035138368208</v>
      </c>
      <c r="C54" s="15"/>
      <c r="D54" s="21"/>
      <c r="E54" s="15" t="n">
        <v>0.00042</v>
      </c>
      <c r="F54" s="22" t="str">
        <f aca="false">IF(ABS(B54-E54)&lt;=H54,"OK","CHECK")</f>
        <v>OK</v>
      </c>
      <c r="G54" s="17"/>
      <c r="H54" s="24" t="n">
        <v>6E-006</v>
      </c>
      <c r="I54" s="19"/>
    </row>
    <row r="55" customFormat="false" ht="15" hidden="false" customHeight="false" outlineLevel="0" collapsed="false">
      <c r="A55" s="13" t="s">
        <v>678</v>
      </c>
      <c r="B55" s="33" t="n">
        <f aca="false">$B$39+$B$42</f>
        <v>0.0015</v>
      </c>
      <c r="C55" s="15"/>
      <c r="D55" s="21"/>
      <c r="E55" s="15" t="n">
        <v>0.0015</v>
      </c>
      <c r="F55" s="22" t="str">
        <f aca="false">IF(ABS(B55-E55)&lt;=H55,"OK","CHECK")</f>
        <v>OK</v>
      </c>
      <c r="G55" s="17"/>
      <c r="H55" s="24" t="n">
        <v>6E-006</v>
      </c>
      <c r="I55" s="19"/>
    </row>
    <row r="56" customFormat="false" ht="15" hidden="false" customHeight="false" outlineLevel="0" collapsed="false">
      <c r="A56" s="13" t="s">
        <v>679</v>
      </c>
      <c r="B56" s="32" t="n">
        <f aca="false">SQRT($B$50)*100</f>
        <v>10.9550210156028</v>
      </c>
      <c r="C56" s="15" t="s">
        <v>300</v>
      </c>
      <c r="D56" s="21" t="s">
        <v>680</v>
      </c>
      <c r="E56" s="15" t="n">
        <v>11</v>
      </c>
      <c r="F56" s="22" t="str">
        <f aca="false">IF(ABS(B56-E56)&lt;=H56,"OK","CHECK")</f>
        <v>OK</v>
      </c>
      <c r="G56" s="23" t="n">
        <f aca="false">B56/30.48</f>
        <v>0.359416699986969</v>
      </c>
      <c r="H56" s="24" t="n">
        <v>0.05</v>
      </c>
      <c r="I56" s="19"/>
    </row>
    <row r="57" customFormat="false" ht="15" hidden="false" customHeight="false" outlineLevel="0" collapsed="false">
      <c r="A57" s="13" t="s">
        <v>681</v>
      </c>
      <c r="B57" s="32" t="n">
        <f aca="false">SQRT($B$53)*100</f>
        <v>11.035831970583</v>
      </c>
      <c r="C57" s="15" t="s">
        <v>300</v>
      </c>
      <c r="D57" s="21" t="s">
        <v>682</v>
      </c>
      <c r="E57" s="15" t="n">
        <v>11</v>
      </c>
      <c r="F57" s="22" t="str">
        <f aca="false">IF(ABS(B57-E57)&lt;=H57,"OK","CHECK")</f>
        <v>OK</v>
      </c>
      <c r="G57" s="23" t="n">
        <f aca="false">B57/30.48</f>
        <v>0.3620679780375</v>
      </c>
      <c r="H57" s="24" t="n">
        <v>0.05</v>
      </c>
      <c r="I57" s="19"/>
    </row>
    <row r="58" customFormat="false" ht="15" hidden="false" customHeight="false" outlineLevel="0" collapsed="false">
      <c r="A58" s="13" t="s">
        <v>683</v>
      </c>
      <c r="B58" s="27" t="n">
        <f aca="false">SQRT($B$55)</f>
        <v>0.0387298334620742</v>
      </c>
      <c r="C58" s="15" t="s">
        <v>241</v>
      </c>
      <c r="D58" s="21" t="s">
        <v>684</v>
      </c>
      <c r="E58" s="15" t="n">
        <v>0.0387</v>
      </c>
      <c r="F58" s="22" t="str">
        <f aca="false">IF(ABS(B58-E58)&lt;=H58,"OK","CHECK")</f>
        <v>OK</v>
      </c>
      <c r="G58" s="17"/>
      <c r="H58" s="24" t="n">
        <v>5E-005</v>
      </c>
      <c r="I58" s="19"/>
    </row>
    <row r="59" customFormat="false" ht="15" hidden="false" customHeight="false" outlineLevel="0" collapsed="false">
      <c r="A59" s="13" t="s">
        <v>685</v>
      </c>
      <c r="B59" s="28" t="n">
        <f aca="false">DEGREES($B$58)</f>
        <v>2.2190559986214</v>
      </c>
      <c r="C59" s="15" t="s">
        <v>238</v>
      </c>
      <c r="D59" s="21"/>
      <c r="E59" s="15" t="n">
        <v>2.22</v>
      </c>
      <c r="F59" s="22" t="str">
        <f aca="false">IF(ABS(B59-E59)&lt;=H59,"OK","CHECK")</f>
        <v>OK</v>
      </c>
      <c r="G59" s="17"/>
      <c r="H59" s="24" t="n">
        <v>0.005</v>
      </c>
      <c r="I59" s="19"/>
    </row>
    <row r="60" customFormat="false" ht="15" hidden="false" customHeight="false" outlineLevel="0" collapsed="false">
      <c r="A60" s="2"/>
      <c r="B60" s="2"/>
      <c r="C60" s="2"/>
      <c r="D60" s="2"/>
      <c r="E60" s="2"/>
      <c r="F60" s="2"/>
      <c r="G60" s="2"/>
      <c r="H60" s="2"/>
      <c r="I60" s="2"/>
    </row>
    <row r="61" customFormat="false" ht="15" hidden="false" customHeight="false" outlineLevel="0" collapsed="false">
      <c r="A61" s="10" t="s">
        <v>686</v>
      </c>
      <c r="B61" s="11"/>
      <c r="C61" s="11"/>
      <c r="D61" s="11"/>
      <c r="E61" s="11"/>
      <c r="F61" s="11"/>
      <c r="G61" s="11"/>
      <c r="H61" s="11"/>
      <c r="I61" s="11"/>
    </row>
    <row r="62" customFormat="false" ht="15" hidden="false" customHeight="true" outlineLevel="0" collapsed="false">
      <c r="A62" s="12" t="s">
        <v>687</v>
      </c>
      <c r="B62" s="12"/>
      <c r="C62" s="12"/>
      <c r="D62" s="12"/>
      <c r="E62" s="12"/>
      <c r="F62" s="12"/>
      <c r="G62" s="12"/>
      <c r="H62" s="12"/>
      <c r="I62" s="12"/>
    </row>
    <row r="63" customFormat="false" ht="15" hidden="false" customHeight="false" outlineLevel="0" collapsed="false">
      <c r="A63" s="13" t="s">
        <v>688</v>
      </c>
      <c r="B63" s="14" t="n">
        <v>25</v>
      </c>
      <c r="C63" s="15" t="s">
        <v>230</v>
      </c>
      <c r="D63" s="16" t="s">
        <v>226</v>
      </c>
      <c r="E63" s="17"/>
      <c r="F63" s="17"/>
      <c r="G63" s="23" t="n">
        <f aca="false">B63/0.3048</f>
        <v>82.0209973753281</v>
      </c>
      <c r="H63" s="17"/>
      <c r="I63" s="19"/>
    </row>
    <row r="64" customFormat="false" ht="15" hidden="false" customHeight="false" outlineLevel="0" collapsed="false">
      <c r="A64" s="13" t="s">
        <v>689</v>
      </c>
      <c r="B64" s="14" t="n">
        <v>8</v>
      </c>
      <c r="C64" s="15" t="s">
        <v>230</v>
      </c>
      <c r="D64" s="16" t="s">
        <v>226</v>
      </c>
      <c r="E64" s="17"/>
      <c r="F64" s="17"/>
      <c r="G64" s="23" t="n">
        <f aca="false">B64/0.3048</f>
        <v>26.246719160105</v>
      </c>
      <c r="H64" s="17"/>
      <c r="I64" s="19"/>
    </row>
    <row r="65" customFormat="false" ht="15" hidden="false" customHeight="false" outlineLevel="0" collapsed="false">
      <c r="A65" s="13" t="s">
        <v>690</v>
      </c>
      <c r="B65" s="14" t="n">
        <v>14.95</v>
      </c>
      <c r="C65" s="15" t="s">
        <v>230</v>
      </c>
      <c r="D65" s="16" t="s">
        <v>226</v>
      </c>
      <c r="E65" s="17"/>
      <c r="F65" s="17"/>
      <c r="G65" s="23" t="n">
        <f aca="false">B65/0.3048</f>
        <v>49.0485564304462</v>
      </c>
      <c r="H65" s="17"/>
      <c r="I65" s="19"/>
    </row>
    <row r="66" customFormat="false" ht="15" hidden="false" customHeight="false" outlineLevel="0" collapsed="false">
      <c r="A66" s="13" t="s">
        <v>691</v>
      </c>
      <c r="B66" s="14" t="n">
        <v>2.1</v>
      </c>
      <c r="C66" s="15" t="s">
        <v>238</v>
      </c>
      <c r="D66" s="16" t="s">
        <v>226</v>
      </c>
      <c r="E66" s="17"/>
      <c r="F66" s="17"/>
      <c r="G66" s="17"/>
      <c r="H66" s="17"/>
      <c r="I66" s="19"/>
    </row>
    <row r="67" customFormat="false" ht="15" hidden="false" customHeight="false" outlineLevel="0" collapsed="false">
      <c r="A67" s="13" t="s">
        <v>692</v>
      </c>
      <c r="B67" s="14" t="n">
        <v>0.05</v>
      </c>
      <c r="C67" s="15" t="s">
        <v>230</v>
      </c>
      <c r="D67" s="16" t="s">
        <v>226</v>
      </c>
      <c r="E67" s="17"/>
      <c r="F67" s="17"/>
      <c r="G67" s="23" t="n">
        <f aca="false">B67/0.3048</f>
        <v>0.164041994750656</v>
      </c>
      <c r="H67" s="17"/>
      <c r="I67" s="19"/>
    </row>
    <row r="68" customFormat="false" ht="15" hidden="false" customHeight="false" outlineLevel="0" collapsed="false">
      <c r="A68" s="13" t="s">
        <v>693</v>
      </c>
      <c r="B68" s="14" t="n">
        <v>1</v>
      </c>
      <c r="C68" s="15" t="s">
        <v>238</v>
      </c>
      <c r="D68" s="16" t="s">
        <v>226</v>
      </c>
      <c r="E68" s="17"/>
      <c r="F68" s="17"/>
      <c r="G68" s="17"/>
      <c r="H68" s="17"/>
      <c r="I68" s="19"/>
    </row>
    <row r="69" customFormat="false" ht="15" hidden="false" customHeight="false" outlineLevel="0" collapsed="false">
      <c r="A69" s="13" t="s">
        <v>694</v>
      </c>
      <c r="B69" s="37" t="n">
        <f aca="false">$B$63-$B$18</f>
        <v>14.5769648616318</v>
      </c>
      <c r="C69" s="15" t="s">
        <v>230</v>
      </c>
      <c r="D69" s="21" t="s">
        <v>695</v>
      </c>
      <c r="E69" s="15" t="n">
        <v>14.577</v>
      </c>
      <c r="F69" s="22" t="str">
        <f aca="false">IF(ABS(B69-E69)&lt;=H69,"OK","CHECK")</f>
        <v>OK</v>
      </c>
      <c r="G69" s="23" t="n">
        <f aca="false">B69/0.3048</f>
        <v>47.824687866246</v>
      </c>
      <c r="H69" s="24" t="n">
        <v>0.0005</v>
      </c>
      <c r="I69" s="19"/>
    </row>
    <row r="70" customFormat="false" ht="15" hidden="false" customHeight="false" outlineLevel="0" collapsed="false">
      <c r="A70" s="13" t="s">
        <v>696</v>
      </c>
      <c r="B70" s="37" t="n">
        <f aca="false">$B$64-$B$19</f>
        <v>2.96466524048546</v>
      </c>
      <c r="C70" s="15" t="s">
        <v>230</v>
      </c>
      <c r="D70" s="21" t="s">
        <v>697</v>
      </c>
      <c r="E70" s="15" t="n">
        <v>2.965</v>
      </c>
      <c r="F70" s="22" t="str">
        <f aca="false">IF(ABS(B70-E70)&lt;=H70,"OK","CHECK")</f>
        <v>OK</v>
      </c>
      <c r="G70" s="23" t="n">
        <f aca="false">B70/0.3048</f>
        <v>9.72659199634337</v>
      </c>
      <c r="H70" s="24" t="n">
        <v>0.0005</v>
      </c>
      <c r="I70" s="19"/>
    </row>
    <row r="71" customFormat="false" ht="15" hidden="false" customHeight="false" outlineLevel="0" collapsed="false">
      <c r="A71" s="13" t="s">
        <v>698</v>
      </c>
      <c r="B71" s="20" t="n">
        <f aca="false">$B$69^2+$B$70^2</f>
        <v>221.277144565391</v>
      </c>
      <c r="C71" s="15" t="s">
        <v>644</v>
      </c>
      <c r="D71" s="21"/>
      <c r="E71" s="15" t="n">
        <v>221.277</v>
      </c>
      <c r="F71" s="22" t="str">
        <f aca="false">IF(ABS(B71-E71)&lt;=H71,"OK","CHECK")</f>
        <v>OK</v>
      </c>
      <c r="G71" s="38" t="n">
        <f aca="false">B71/0.09290304</f>
        <v>2381.80736136719</v>
      </c>
      <c r="H71" s="24" t="n">
        <v>0.002</v>
      </c>
      <c r="I71" s="19"/>
    </row>
    <row r="72" customFormat="false" ht="15" hidden="false" customHeight="false" outlineLevel="0" collapsed="false">
      <c r="A72" s="13" t="s">
        <v>699</v>
      </c>
      <c r="B72" s="20" t="n">
        <f aca="false">SQRT($B$71)</f>
        <v>14.8753872072424</v>
      </c>
      <c r="C72" s="15" t="s">
        <v>230</v>
      </c>
      <c r="D72" s="21" t="s">
        <v>700</v>
      </c>
      <c r="E72" s="15" t="n">
        <v>14.875</v>
      </c>
      <c r="F72" s="22" t="str">
        <f aca="false">IF(ABS(B72-E72)&lt;=H72,"OK","CHECK")</f>
        <v>OK</v>
      </c>
      <c r="G72" s="23" t="n">
        <f aca="false">B72/0.3048</f>
        <v>48.8037638032887</v>
      </c>
      <c r="H72" s="24" t="n">
        <v>0.0005</v>
      </c>
      <c r="I72" s="19"/>
    </row>
    <row r="73" customFormat="false" ht="15" hidden="false" customHeight="false" outlineLevel="0" collapsed="false">
      <c r="A73" s="13" t="s">
        <v>701</v>
      </c>
      <c r="B73" s="37" t="n">
        <f aca="false">DEGREES(ATAN2($B$69,$B$70))-$B$20</f>
        <v>1.94673358684487</v>
      </c>
      <c r="C73" s="15" t="s">
        <v>238</v>
      </c>
      <c r="D73" s="21" t="s">
        <v>702</v>
      </c>
      <c r="E73" s="15" t="n">
        <v>1.947</v>
      </c>
      <c r="F73" s="22" t="str">
        <f aca="false">IF(ABS(B73-E73)&lt;=H73,"OK","CHECK")</f>
        <v>OK</v>
      </c>
      <c r="G73" s="17"/>
      <c r="H73" s="24" t="n">
        <v>0.0005</v>
      </c>
      <c r="I73" s="19"/>
    </row>
    <row r="74" customFormat="false" ht="15" hidden="false" customHeight="false" outlineLevel="0" collapsed="false">
      <c r="A74" s="13" t="s">
        <v>703</v>
      </c>
      <c r="B74" s="20" t="n">
        <f aca="false">$B$65-$B$72</f>
        <v>0.0746127927576055</v>
      </c>
      <c r="C74" s="15" t="s">
        <v>230</v>
      </c>
      <c r="D74" s="21" t="s">
        <v>704</v>
      </c>
      <c r="E74" s="15" t="n">
        <v>0.075</v>
      </c>
      <c r="F74" s="22" t="str">
        <f aca="false">IF(ABS(B74-E74)&lt;=H74,"OK","CHECK")</f>
        <v>OK</v>
      </c>
      <c r="G74" s="23" t="n">
        <f aca="false">B74/0.3048</f>
        <v>0.244792627157498</v>
      </c>
      <c r="H74" s="24" t="n">
        <v>0.0005</v>
      </c>
      <c r="I74" s="19"/>
    </row>
    <row r="75" customFormat="false" ht="15" hidden="false" customHeight="false" outlineLevel="0" collapsed="false">
      <c r="A75" s="13" t="s">
        <v>705</v>
      </c>
      <c r="B75" s="20" t="n">
        <f aca="false">$B$66-$B$73</f>
        <v>0.153266413155134</v>
      </c>
      <c r="C75" s="15" t="s">
        <v>238</v>
      </c>
      <c r="D75" s="21"/>
      <c r="E75" s="15" t="n">
        <v>0.153</v>
      </c>
      <c r="F75" s="22" t="str">
        <f aca="false">IF(ABS(B75-E75)&lt;=H75,"OK","CHECK")</f>
        <v>OK</v>
      </c>
      <c r="G75" s="17"/>
      <c r="H75" s="24" t="n">
        <v>0.0005</v>
      </c>
      <c r="I75" s="19"/>
    </row>
    <row r="76" customFormat="false" ht="15" hidden="false" customHeight="false" outlineLevel="0" collapsed="false">
      <c r="A76" s="13" t="s">
        <v>706</v>
      </c>
      <c r="B76" s="33" t="n">
        <f aca="false">RADIANS($B$75)</f>
        <v>0.00267500354227904</v>
      </c>
      <c r="C76" s="15" t="s">
        <v>241</v>
      </c>
      <c r="D76" s="21"/>
      <c r="E76" s="15" t="n">
        <v>0.00267</v>
      </c>
      <c r="F76" s="22" t="str">
        <f aca="false">IF(ABS(B76-E76)&lt;=H76,"OK","CHECK")</f>
        <v>OK</v>
      </c>
      <c r="G76" s="17"/>
      <c r="H76" s="24" t="n">
        <v>1E-005</v>
      </c>
      <c r="I76" s="19"/>
    </row>
    <row r="77" customFormat="false" ht="15" hidden="false" customHeight="false" outlineLevel="0" collapsed="false">
      <c r="A77" s="13" t="s">
        <v>707</v>
      </c>
      <c r="B77" s="27" t="n">
        <f aca="false">-$B$69/$B$72</f>
        <v>-0.979938515787656</v>
      </c>
      <c r="C77" s="15"/>
      <c r="D77" s="21" t="s">
        <v>708</v>
      </c>
      <c r="E77" s="15" t="n">
        <v>-0.9799</v>
      </c>
      <c r="F77" s="22" t="str">
        <f aca="false">IF(ABS(B77-E77)&lt;=H77,"OK","CHECK")</f>
        <v>OK</v>
      </c>
      <c r="G77" s="17"/>
      <c r="H77" s="24" t="n">
        <v>5E-005</v>
      </c>
      <c r="I77" s="19"/>
    </row>
    <row r="78" customFormat="false" ht="15" hidden="false" customHeight="false" outlineLevel="0" collapsed="false">
      <c r="A78" s="13" t="s">
        <v>709</v>
      </c>
      <c r="B78" s="27" t="n">
        <f aca="false">-$B$70/$B$72</f>
        <v>-0.199300038323846</v>
      </c>
      <c r="C78" s="15"/>
      <c r="D78" s="21" t="s">
        <v>710</v>
      </c>
      <c r="E78" s="15" t="n">
        <v>-0.1993</v>
      </c>
      <c r="F78" s="22" t="str">
        <f aca="false">IF(ABS(B78-E78)&lt;=H78,"OK","CHECK")</f>
        <v>OK</v>
      </c>
      <c r="G78" s="17"/>
      <c r="H78" s="24" t="n">
        <v>5E-005</v>
      </c>
      <c r="I78" s="19"/>
    </row>
    <row r="79" customFormat="false" ht="15" hidden="false" customHeight="false" outlineLevel="0" collapsed="false">
      <c r="A79" s="13" t="s">
        <v>711</v>
      </c>
      <c r="B79" s="27" t="n">
        <f aca="false">$B$70/$B$71</f>
        <v>0.0133979731449823</v>
      </c>
      <c r="C79" s="15"/>
      <c r="D79" s="21" t="s">
        <v>712</v>
      </c>
      <c r="E79" s="15" t="n">
        <v>0.0134</v>
      </c>
      <c r="F79" s="22" t="str">
        <f aca="false">IF(ABS(B79-E79)&lt;=H79,"OK","CHECK")</f>
        <v>OK</v>
      </c>
      <c r="G79" s="17"/>
      <c r="H79" s="24" t="n">
        <v>5E-005</v>
      </c>
      <c r="I79" s="19"/>
    </row>
    <row r="80" customFormat="false" ht="15" hidden="false" customHeight="false" outlineLevel="0" collapsed="false">
      <c r="A80" s="13" t="s">
        <v>713</v>
      </c>
      <c r="B80" s="27" t="n">
        <f aca="false">-$B$69/$B$71</f>
        <v>-0.06587650473465</v>
      </c>
      <c r="C80" s="15"/>
      <c r="D80" s="21" t="s">
        <v>714</v>
      </c>
      <c r="E80" s="15" t="n">
        <v>-0.0659</v>
      </c>
      <c r="F80" s="22" t="str">
        <f aca="false">IF(ABS(B80-E80)&lt;=H80,"OK","CHECK")</f>
        <v>OK</v>
      </c>
      <c r="G80" s="17"/>
      <c r="H80" s="24" t="n">
        <v>5E-005</v>
      </c>
      <c r="I80" s="19"/>
    </row>
    <row r="81" customFormat="false" ht="15" hidden="false" customHeight="false" outlineLevel="0" collapsed="false">
      <c r="A81" s="13" t="s">
        <v>715</v>
      </c>
      <c r="B81" s="29" t="n">
        <f aca="false">-1</f>
        <v>-1</v>
      </c>
      <c r="C81" s="15"/>
      <c r="D81" s="21"/>
      <c r="E81" s="15" t="n">
        <v>-1</v>
      </c>
      <c r="F81" s="22" t="str">
        <f aca="false">IF(ABS(B81-E81)&lt;=H81,"OK","CHECK")</f>
        <v>OK</v>
      </c>
      <c r="G81" s="17"/>
      <c r="H81" s="24" t="n">
        <v>1E-009</v>
      </c>
      <c r="I81" s="19"/>
    </row>
    <row r="82" customFormat="false" ht="15" hidden="false" customHeight="false" outlineLevel="0" collapsed="false">
      <c r="A82" s="13" t="s">
        <v>716</v>
      </c>
      <c r="B82" s="40" t="n">
        <f aca="false">$B$50*$B$77+$B$51*$B$78+$B$52*0</f>
        <v>-0.0117575065809539</v>
      </c>
      <c r="C82" s="15"/>
      <c r="D82" s="21"/>
      <c r="E82" s="17"/>
      <c r="F82" s="17"/>
      <c r="G82" s="17"/>
      <c r="H82" s="17"/>
      <c r="I82" s="19"/>
    </row>
    <row r="83" customFormat="false" ht="15" hidden="false" customHeight="false" outlineLevel="0" collapsed="false">
      <c r="A83" s="13" t="s">
        <v>717</v>
      </c>
      <c r="B83" s="40" t="n">
        <f aca="false">$B$50*$B$79+$B$51*$B$80+$B$52*$B$81</f>
        <v>0.000197111877003829</v>
      </c>
      <c r="C83" s="15"/>
      <c r="D83" s="21"/>
      <c r="E83" s="17"/>
      <c r="F83" s="17"/>
      <c r="G83" s="17"/>
      <c r="H83" s="17"/>
      <c r="I83" s="19"/>
    </row>
    <row r="84" customFormat="false" ht="15" hidden="false" customHeight="false" outlineLevel="0" collapsed="false">
      <c r="A84" s="13" t="s">
        <v>718</v>
      </c>
      <c r="B84" s="40" t="n">
        <f aca="false">$B$51*$B$77+$B$53*$B$78+$B$54*0</f>
        <v>-0.00241261897236721</v>
      </c>
      <c r="C84" s="15"/>
      <c r="D84" s="21"/>
      <c r="E84" s="17"/>
      <c r="F84" s="17"/>
      <c r="G84" s="17"/>
      <c r="H84" s="17"/>
      <c r="I84" s="19"/>
    </row>
    <row r="85" customFormat="false" ht="15" hidden="false" customHeight="false" outlineLevel="0" collapsed="false">
      <c r="A85" s="13" t="s">
        <v>719</v>
      </c>
      <c r="B85" s="40" t="n">
        <f aca="false">$B$51*$B$79+$B$53*$B$80+$B$54*$B$81</f>
        <v>-0.00122554264152007</v>
      </c>
      <c r="C85" s="15"/>
      <c r="D85" s="21"/>
      <c r="E85" s="17"/>
      <c r="F85" s="17"/>
      <c r="G85" s="17"/>
      <c r="H85" s="17"/>
      <c r="I85" s="19"/>
    </row>
    <row r="86" customFormat="false" ht="15" hidden="false" customHeight="false" outlineLevel="0" collapsed="false">
      <c r="A86" s="13" t="s">
        <v>720</v>
      </c>
      <c r="B86" s="40" t="n">
        <f aca="false">$B$52*$B$77+$B$54*$B$78+$B$55*0</f>
        <v>-4.96850274947243E-005</v>
      </c>
      <c r="C86" s="15"/>
      <c r="D86" s="21"/>
      <c r="E86" s="17"/>
      <c r="F86" s="17"/>
      <c r="G86" s="17"/>
      <c r="H86" s="17"/>
      <c r="I86" s="19"/>
    </row>
    <row r="87" customFormat="false" ht="15" hidden="false" customHeight="false" outlineLevel="0" collapsed="false">
      <c r="A87" s="13" t="s">
        <v>721</v>
      </c>
      <c r="B87" s="40" t="n">
        <f aca="false">$B$52*$B$79+$B$54*$B$80+$B$55*$B$81</f>
        <v>-0.0015283414904547</v>
      </c>
      <c r="C87" s="15"/>
      <c r="D87" s="21"/>
      <c r="E87" s="17"/>
      <c r="F87" s="17"/>
      <c r="G87" s="17"/>
      <c r="H87" s="17"/>
      <c r="I87" s="19"/>
    </row>
    <row r="88" customFormat="false" ht="15" hidden="false" customHeight="false" outlineLevel="0" collapsed="false">
      <c r="A88" s="13" t="s">
        <v>722</v>
      </c>
      <c r="B88" s="33" t="n">
        <f aca="false">$B$77*$B$82+$B$78*$B$84+$B$67^2</f>
        <v>0.0145024686019572</v>
      </c>
      <c r="C88" s="15"/>
      <c r="D88" s="21" t="s">
        <v>723</v>
      </c>
      <c r="E88" s="15" t="n">
        <v>0.0145</v>
      </c>
      <c r="F88" s="22" t="str">
        <f aca="false">IF(ABS(B88-E88)&lt;=H88,"OK","CHECK")</f>
        <v>OK</v>
      </c>
      <c r="G88" s="17"/>
      <c r="H88" s="24" t="n">
        <v>6E-006</v>
      </c>
      <c r="I88" s="19"/>
    </row>
    <row r="89" customFormat="false" ht="15" hidden="false" customHeight="false" outlineLevel="0" collapsed="false">
      <c r="A89" s="13" t="s">
        <v>724</v>
      </c>
      <c r="B89" s="33" t="n">
        <f aca="false">$B$77*$B$83+$B$78*$B$85</f>
        <v>5.10931752272074E-005</v>
      </c>
      <c r="C89" s="15"/>
      <c r="D89" s="21"/>
      <c r="E89" s="15" t="n">
        <v>5E-005</v>
      </c>
      <c r="F89" s="22" t="str">
        <f aca="false">IF(ABS(B89-E89)&lt;=H89,"OK","CHECK")</f>
        <v>OK</v>
      </c>
      <c r="G89" s="17"/>
      <c r="H89" s="24" t="n">
        <v>6E-006</v>
      </c>
      <c r="I89" s="19"/>
    </row>
    <row r="90" customFormat="false" ht="15" hidden="false" customHeight="false" outlineLevel="0" collapsed="false">
      <c r="A90" s="13" t="s">
        <v>725</v>
      </c>
      <c r="B90" s="33" t="n">
        <f aca="false">$B$79*$B$83+$B$80*$B$85+$B$81*$B$87+RADIANS($B$68)^2</f>
        <v>0.00191633427550267</v>
      </c>
      <c r="C90" s="15"/>
      <c r="D90" s="21"/>
      <c r="E90" s="15" t="n">
        <v>0.00192</v>
      </c>
      <c r="F90" s="22" t="str">
        <f aca="false">IF(ABS(B90-E90)&lt;=H90,"OK","CHECK")</f>
        <v>OK</v>
      </c>
      <c r="G90" s="17"/>
      <c r="H90" s="24" t="n">
        <v>6E-006</v>
      </c>
      <c r="I90" s="19"/>
    </row>
    <row r="91" customFormat="false" ht="15" hidden="false" customHeight="false" outlineLevel="0" collapsed="false">
      <c r="A91" s="13" t="s">
        <v>726</v>
      </c>
      <c r="B91" s="26" t="n">
        <f aca="false">$B$88*$B$90-$B$89^2</f>
        <v>2.7788967148777E-005</v>
      </c>
      <c r="C91" s="15"/>
      <c r="D91" s="21"/>
      <c r="E91" s="17"/>
      <c r="F91" s="17"/>
      <c r="G91" s="17"/>
      <c r="H91" s="17"/>
      <c r="I91" s="19"/>
    </row>
    <row r="92" customFormat="false" ht="15" hidden="false" customHeight="false" outlineLevel="0" collapsed="false">
      <c r="A92" s="13" t="s">
        <v>727</v>
      </c>
      <c r="B92" s="20" t="n">
        <f aca="false">$B$90/$B$91</f>
        <v>68.9602555302963</v>
      </c>
      <c r="C92" s="15"/>
      <c r="D92" s="21"/>
      <c r="E92" s="17"/>
      <c r="F92" s="17"/>
      <c r="G92" s="17"/>
      <c r="H92" s="17"/>
      <c r="I92" s="19"/>
    </row>
    <row r="93" customFormat="false" ht="15" hidden="false" customHeight="false" outlineLevel="0" collapsed="false">
      <c r="A93" s="13" t="s">
        <v>728</v>
      </c>
      <c r="B93" s="20" t="n">
        <f aca="false">-$B$89/$B$91</f>
        <v>-1.83861368267715</v>
      </c>
      <c r="C93" s="15"/>
      <c r="D93" s="21"/>
      <c r="E93" s="17"/>
      <c r="F93" s="17"/>
      <c r="G93" s="17"/>
      <c r="H93" s="17"/>
      <c r="I93" s="19"/>
    </row>
    <row r="94" customFormat="false" ht="15" hidden="false" customHeight="false" outlineLevel="0" collapsed="false">
      <c r="A94" s="13" t="s">
        <v>729</v>
      </c>
      <c r="B94" s="20" t="n">
        <f aca="false">$B$88/$B$91</f>
        <v>521.878647893375</v>
      </c>
      <c r="C94" s="15"/>
      <c r="D94" s="21"/>
      <c r="E94" s="17"/>
      <c r="F94" s="17"/>
      <c r="G94" s="17"/>
      <c r="H94" s="17"/>
      <c r="I94" s="19"/>
    </row>
    <row r="95" customFormat="false" ht="15" hidden="false" customHeight="false" outlineLevel="0" collapsed="false">
      <c r="A95" s="13" t="s">
        <v>730</v>
      </c>
      <c r="B95" s="27" t="n">
        <f aca="false">$B$82*$B$92+$B$83*$B$93</f>
        <v>-0.811163070815797</v>
      </c>
      <c r="C95" s="15"/>
      <c r="D95" s="21" t="s">
        <v>731</v>
      </c>
      <c r="E95" s="15" t="n">
        <v>-0.811</v>
      </c>
      <c r="F95" s="22" t="str">
        <f aca="false">IF(ABS(B95-E95)&lt;=H95,"OK","CHECK")</f>
        <v>OK</v>
      </c>
      <c r="G95" s="17"/>
      <c r="H95" s="24" t="n">
        <v>0.0006</v>
      </c>
      <c r="I95" s="19"/>
    </row>
    <row r="96" customFormat="false" ht="15" hidden="false" customHeight="false" outlineLevel="0" collapsed="false">
      <c r="A96" s="13" t="s">
        <v>732</v>
      </c>
      <c r="B96" s="27" t="n">
        <f aca="false">$B$82*$B$93+$B$83*$B$94</f>
        <v>0.124485992328392</v>
      </c>
      <c r="C96" s="15"/>
      <c r="D96" s="21"/>
      <c r="E96" s="15" t="n">
        <v>0.124</v>
      </c>
      <c r="F96" s="22" t="str">
        <f aca="false">IF(ABS(B96-E96)&lt;=H96,"OK","CHECK")</f>
        <v>OK</v>
      </c>
      <c r="G96" s="17"/>
      <c r="H96" s="24" t="n">
        <v>0.0006</v>
      </c>
      <c r="I96" s="19"/>
    </row>
    <row r="97" customFormat="false" ht="15" hidden="false" customHeight="false" outlineLevel="0" collapsed="false">
      <c r="A97" s="13" t="s">
        <v>733</v>
      </c>
      <c r="B97" s="27" t="n">
        <f aca="false">$B$84*$B$92+$B$85*$B$93</f>
        <v>-0.164121521362281</v>
      </c>
      <c r="C97" s="15"/>
      <c r="D97" s="21" t="s">
        <v>731</v>
      </c>
      <c r="E97" s="15" t="n">
        <v>-0.164</v>
      </c>
      <c r="F97" s="22" t="str">
        <f aca="false">IF(ABS(B97-E97)&lt;=H97,"OK","CHECK")</f>
        <v>OK</v>
      </c>
      <c r="G97" s="17"/>
      <c r="H97" s="24" t="n">
        <v>0.0006</v>
      </c>
      <c r="I97" s="19"/>
    </row>
    <row r="98" customFormat="false" ht="15" hidden="false" customHeight="false" outlineLevel="0" collapsed="false">
      <c r="A98" s="13" t="s">
        <v>734</v>
      </c>
      <c r="B98" s="27" t="n">
        <f aca="false">$B$84*$B$93+$B$85*$B$94</f>
        <v>-0.635148662438489</v>
      </c>
      <c r="C98" s="15"/>
      <c r="D98" s="21"/>
      <c r="E98" s="15" t="n">
        <v>-0.635</v>
      </c>
      <c r="F98" s="22" t="str">
        <f aca="false">IF(ABS(B98-E98)&lt;=H98,"OK","CHECK")</f>
        <v>OK</v>
      </c>
      <c r="G98" s="17"/>
      <c r="H98" s="24" t="n">
        <v>0.0006</v>
      </c>
      <c r="I98" s="19"/>
    </row>
    <row r="99" customFormat="false" ht="15" hidden="false" customHeight="false" outlineLevel="0" collapsed="false">
      <c r="A99" s="13" t="s">
        <v>735</v>
      </c>
      <c r="B99" s="27" t="n">
        <f aca="false">$B$86*$B$92+$B$87*$B$93</f>
        <v>-0.000616262615912783</v>
      </c>
      <c r="C99" s="15"/>
      <c r="D99" s="21" t="s">
        <v>731</v>
      </c>
      <c r="E99" s="15" t="n">
        <v>-0.0006</v>
      </c>
      <c r="F99" s="22" t="str">
        <f aca="false">IF(ABS(B99-E99)&lt;=H99,"OK","CHECK")</f>
        <v>OK</v>
      </c>
      <c r="G99" s="17"/>
      <c r="H99" s="24" t="n">
        <v>0.0002</v>
      </c>
      <c r="I99" s="19"/>
    </row>
    <row r="100" customFormat="false" ht="15" hidden="false" customHeight="false" outlineLevel="0" collapsed="false">
      <c r="A100" s="13" t="s">
        <v>736</v>
      </c>
      <c r="B100" s="27" t="n">
        <f aca="false">$B$86*$B$93+$B$87*$B$94</f>
        <v>-0.797517438986466</v>
      </c>
      <c r="C100" s="15"/>
      <c r="D100" s="21"/>
      <c r="E100" s="15" t="n">
        <v>-0.798</v>
      </c>
      <c r="F100" s="22" t="str">
        <f aca="false">IF(ABS(B100-E100)&lt;=H100,"OK","CHECK")</f>
        <v>OK</v>
      </c>
      <c r="G100" s="17"/>
      <c r="H100" s="24" t="n">
        <v>0.0006</v>
      </c>
      <c r="I100" s="19"/>
    </row>
    <row r="101" customFormat="false" ht="15" hidden="false" customHeight="false" outlineLevel="0" collapsed="false">
      <c r="A101" s="13" t="s">
        <v>737</v>
      </c>
      <c r="B101" s="37" t="n">
        <f aca="false">$B$18+$B$95*$B$74+$B$96*$B$76</f>
        <v>10.3628449967432</v>
      </c>
      <c r="C101" s="15" t="s">
        <v>230</v>
      </c>
      <c r="D101" s="21" t="s">
        <v>738</v>
      </c>
      <c r="E101" s="15" t="n">
        <v>10.363</v>
      </c>
      <c r="F101" s="22" t="str">
        <f aca="false">IF(ABS(B101-E101)&lt;=H101,"OK","CHECK")</f>
        <v>OK</v>
      </c>
      <c r="G101" s="23" t="n">
        <f aca="false">B101/0.3048</f>
        <v>33.9988352911524</v>
      </c>
      <c r="H101" s="24" t="n">
        <v>0.0005</v>
      </c>
      <c r="I101" s="19"/>
    </row>
    <row r="102" customFormat="false" ht="15" hidden="false" customHeight="false" outlineLevel="0" collapsed="false">
      <c r="A102" s="13" t="s">
        <v>739</v>
      </c>
      <c r="B102" s="37" t="n">
        <f aca="false">$B$19+$B$97*$B$74+$B$98*$B$76</f>
        <v>5.02139016953218</v>
      </c>
      <c r="C102" s="15" t="s">
        <v>230</v>
      </c>
      <c r="D102" s="21"/>
      <c r="E102" s="15" t="n">
        <v>5.021</v>
      </c>
      <c r="F102" s="22" t="str">
        <f aca="false">IF(ABS(B102-E102)&lt;=H102,"OK","CHECK")</f>
        <v>OK</v>
      </c>
      <c r="G102" s="23" t="n">
        <f aca="false">B102/0.3048</f>
        <v>16.4743771966279</v>
      </c>
      <c r="H102" s="24" t="n">
        <v>0.0005</v>
      </c>
      <c r="I102" s="19"/>
    </row>
    <row r="103" customFormat="false" ht="15" hidden="false" customHeight="false" outlineLevel="0" collapsed="false">
      <c r="A103" s="13" t="s">
        <v>740</v>
      </c>
      <c r="B103" s="37" t="n">
        <f aca="false">$B$20+DEGREES($B$99*$B$74+$B$100*$B$76)</f>
        <v>9.42442942668548</v>
      </c>
      <c r="C103" s="15" t="s">
        <v>238</v>
      </c>
      <c r="D103" s="21"/>
      <c r="E103" s="15" t="n">
        <v>9.424</v>
      </c>
      <c r="F103" s="22" t="str">
        <f aca="false">IF(ABS(B103-E103)&lt;=H103,"OK","CHECK")</f>
        <v>OK</v>
      </c>
      <c r="G103" s="17"/>
      <c r="H103" s="24" t="n">
        <v>0.0005</v>
      </c>
      <c r="I103" s="19"/>
    </row>
    <row r="104" customFormat="false" ht="15" hidden="false" customHeight="false" outlineLevel="0" collapsed="false">
      <c r="A104" s="13" t="s">
        <v>741</v>
      </c>
      <c r="B104" s="40" t="n">
        <f aca="false">$B$50-($B$95*$B$82+$B$96*$B$83)</f>
        <v>0.00243945573427794</v>
      </c>
      <c r="C104" s="15"/>
      <c r="D104" s="21" t="s">
        <v>742</v>
      </c>
      <c r="E104" s="17"/>
      <c r="F104" s="17"/>
      <c r="G104" s="17"/>
      <c r="H104" s="17"/>
      <c r="I104" s="19"/>
    </row>
    <row r="105" customFormat="false" ht="15" hidden="false" customHeight="false" outlineLevel="0" collapsed="false">
      <c r="A105" s="13" t="s">
        <v>743</v>
      </c>
      <c r="B105" s="40" t="n">
        <f aca="false">$B$53-($B$97*$B$84+$B$98*$B$85)</f>
        <v>0.011004594262559</v>
      </c>
      <c r="C105" s="15"/>
      <c r="D105" s="21"/>
      <c r="E105" s="17"/>
      <c r="F105" s="17"/>
      <c r="G105" s="17"/>
      <c r="H105" s="17"/>
      <c r="I105" s="19"/>
    </row>
    <row r="106" customFormat="false" ht="15" hidden="false" customHeight="false" outlineLevel="0" collapsed="false">
      <c r="A106" s="13" t="s">
        <v>744</v>
      </c>
      <c r="B106" s="40" t="n">
        <f aca="false">$B$55-($B$99*$B$86+$B$100*$B$87)</f>
        <v>0.000281090389610796</v>
      </c>
      <c r="C106" s="15"/>
      <c r="D106" s="21"/>
      <c r="E106" s="17"/>
      <c r="F106" s="17"/>
      <c r="G106" s="17"/>
      <c r="H106" s="17"/>
      <c r="I106" s="19"/>
    </row>
    <row r="107" customFormat="false" ht="15" hidden="false" customHeight="false" outlineLevel="0" collapsed="false">
      <c r="A107" s="13" t="s">
        <v>745</v>
      </c>
      <c r="B107" s="32" t="n">
        <f aca="false">SQRT($B$104)*100</f>
        <v>4.9390846664923</v>
      </c>
      <c r="C107" s="15" t="s">
        <v>300</v>
      </c>
      <c r="D107" s="21"/>
      <c r="E107" s="15" t="n">
        <v>4.9</v>
      </c>
      <c r="F107" s="22" t="str">
        <f aca="false">IF(ABS(B107-E107)&lt;=H107,"OK","CHECK")</f>
        <v>OK</v>
      </c>
      <c r="G107" s="23" t="n">
        <f aca="false">B107/30.48</f>
        <v>0.162043460186755</v>
      </c>
      <c r="H107" s="24" t="n">
        <v>0.05</v>
      </c>
      <c r="I107" s="19"/>
    </row>
    <row r="108" customFormat="false" ht="15" hidden="false" customHeight="false" outlineLevel="0" collapsed="false">
      <c r="A108" s="13" t="s">
        <v>746</v>
      </c>
      <c r="B108" s="32" t="n">
        <f aca="false">SQRT($B$105)*100</f>
        <v>10.490278481794</v>
      </c>
      <c r="C108" s="15" t="s">
        <v>300</v>
      </c>
      <c r="D108" s="21"/>
      <c r="E108" s="15" t="n">
        <v>10.5</v>
      </c>
      <c r="F108" s="22" t="str">
        <f aca="false">IF(ABS(B108-E108)&lt;=H108,"OK","CHECK")</f>
        <v>OK</v>
      </c>
      <c r="G108" s="23" t="n">
        <f aca="false">B108/30.48</f>
        <v>0.344169241528674</v>
      </c>
      <c r="H108" s="24" t="n">
        <v>0.05</v>
      </c>
      <c r="I108" s="19"/>
    </row>
    <row r="109" customFormat="false" ht="15" hidden="false" customHeight="false" outlineLevel="0" collapsed="false">
      <c r="A109" s="13" t="s">
        <v>747</v>
      </c>
      <c r="B109" s="28" t="n">
        <f aca="false">DEGREES(SQRT($B$106))</f>
        <v>0.960606743647782</v>
      </c>
      <c r="C109" s="15" t="s">
        <v>238</v>
      </c>
      <c r="D109" s="21"/>
      <c r="E109" s="15" t="n">
        <v>0.96</v>
      </c>
      <c r="F109" s="22" t="str">
        <f aca="false">IF(ABS(B109-E109)&lt;=H109,"OK","CHECK")</f>
        <v>OK</v>
      </c>
      <c r="G109" s="17"/>
      <c r="H109" s="24" t="n">
        <v>0.005</v>
      </c>
      <c r="I109" s="19"/>
    </row>
  </sheetData>
  <mergeCells count="4">
    <mergeCell ref="A7:I7"/>
    <mergeCell ref="A23:I23"/>
    <mergeCell ref="A36:I36"/>
    <mergeCell ref="A62:I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748</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749</v>
      </c>
      <c r="B6" s="11"/>
      <c r="C6" s="11"/>
      <c r="D6" s="11"/>
      <c r="E6" s="11"/>
      <c r="F6" s="11"/>
      <c r="G6" s="11"/>
      <c r="H6" s="11"/>
      <c r="I6" s="11"/>
    </row>
    <row r="7" customFormat="false" ht="15" hidden="false" customHeight="true" outlineLevel="0" collapsed="false">
      <c r="A7" s="12" t="s">
        <v>750</v>
      </c>
      <c r="B7" s="12"/>
      <c r="C7" s="12"/>
      <c r="D7" s="12"/>
      <c r="E7" s="12"/>
      <c r="F7" s="12"/>
      <c r="G7" s="12"/>
      <c r="H7" s="12"/>
      <c r="I7" s="12"/>
    </row>
    <row r="8" customFormat="false" ht="15" hidden="false" customHeight="false" outlineLevel="0" collapsed="false">
      <c r="A8" s="13" t="s">
        <v>751</v>
      </c>
      <c r="B8" s="14" t="n">
        <v>0</v>
      </c>
      <c r="C8" s="15" t="s">
        <v>230</v>
      </c>
      <c r="D8" s="16" t="s">
        <v>226</v>
      </c>
      <c r="E8" s="17"/>
      <c r="F8" s="17"/>
      <c r="G8" s="23" t="n">
        <f aca="false">B8/0.3048</f>
        <v>0</v>
      </c>
      <c r="H8" s="17"/>
      <c r="I8" s="19"/>
    </row>
    <row r="9" customFormat="false" ht="15" hidden="false" customHeight="false" outlineLevel="0" collapsed="false">
      <c r="A9" s="13" t="s">
        <v>752</v>
      </c>
      <c r="B9" s="14" t="n">
        <v>2</v>
      </c>
      <c r="C9" s="15" t="s">
        <v>230</v>
      </c>
      <c r="D9" s="16" t="s">
        <v>226</v>
      </c>
      <c r="E9" s="17"/>
      <c r="F9" s="17"/>
      <c r="G9" s="23" t="n">
        <f aca="false">B9/0.3048</f>
        <v>6.56167979002625</v>
      </c>
      <c r="H9" s="17"/>
      <c r="I9" s="19"/>
    </row>
    <row r="10" customFormat="false" ht="15" hidden="false" customHeight="false" outlineLevel="0" collapsed="false">
      <c r="A10" s="13" t="s">
        <v>753</v>
      </c>
      <c r="B10" s="14" t="n">
        <v>2</v>
      </c>
      <c r="C10" s="15" t="s">
        <v>230</v>
      </c>
      <c r="D10" s="16" t="s">
        <v>226</v>
      </c>
      <c r="E10" s="17"/>
      <c r="F10" s="17"/>
      <c r="G10" s="23" t="n">
        <f aca="false">B10/0.3048</f>
        <v>6.56167979002625</v>
      </c>
      <c r="H10" s="17"/>
      <c r="I10" s="19"/>
    </row>
    <row r="11" customFormat="false" ht="15" hidden="false" customHeight="false" outlineLevel="0" collapsed="false">
      <c r="A11" s="13" t="s">
        <v>754</v>
      </c>
      <c r="B11" s="14" t="n">
        <v>0</v>
      </c>
      <c r="C11" s="15" t="s">
        <v>230</v>
      </c>
      <c r="D11" s="16" t="s">
        <v>226</v>
      </c>
      <c r="E11" s="17"/>
      <c r="F11" s="17"/>
      <c r="G11" s="23" t="n">
        <f aca="false">B11/0.3048</f>
        <v>0</v>
      </c>
      <c r="H11" s="17"/>
      <c r="I11" s="19"/>
    </row>
    <row r="12" customFormat="false" ht="15" hidden="false" customHeight="false" outlineLevel="0" collapsed="false">
      <c r="A12" s="13" t="s">
        <v>755</v>
      </c>
      <c r="B12" s="14" t="n">
        <v>0</v>
      </c>
      <c r="C12" s="15" t="s">
        <v>230</v>
      </c>
      <c r="D12" s="16" t="s">
        <v>226</v>
      </c>
      <c r="E12" s="17"/>
      <c r="F12" s="17"/>
      <c r="G12" s="23" t="n">
        <f aca="false">B12/0.3048</f>
        <v>0</v>
      </c>
      <c r="H12" s="17"/>
      <c r="I12" s="19"/>
    </row>
    <row r="13" customFormat="false" ht="15" hidden="false" customHeight="false" outlineLevel="0" collapsed="false">
      <c r="A13" s="13" t="s">
        <v>756</v>
      </c>
      <c r="B13" s="14" t="n">
        <v>0</v>
      </c>
      <c r="C13" s="15" t="s">
        <v>230</v>
      </c>
      <c r="D13" s="16" t="s">
        <v>226</v>
      </c>
      <c r="E13" s="17"/>
      <c r="F13" s="17"/>
      <c r="G13" s="23" t="n">
        <f aca="false">B13/0.3048</f>
        <v>0</v>
      </c>
      <c r="H13" s="17"/>
      <c r="I13" s="19"/>
    </row>
    <row r="14" customFormat="false" ht="15" hidden="false" customHeight="false" outlineLevel="0" collapsed="false">
      <c r="A14" s="13" t="s">
        <v>757</v>
      </c>
      <c r="B14" s="14" t="n">
        <v>1</v>
      </c>
      <c r="C14" s="15" t="s">
        <v>230</v>
      </c>
      <c r="D14" s="16" t="s">
        <v>226</v>
      </c>
      <c r="E14" s="17"/>
      <c r="F14" s="17"/>
      <c r="G14" s="23" t="n">
        <f aca="false">B14/0.3048</f>
        <v>3.28083989501312</v>
      </c>
      <c r="H14" s="17"/>
      <c r="I14" s="19"/>
    </row>
    <row r="15" customFormat="false" ht="15" hidden="false" customHeight="false" outlineLevel="0" collapsed="false">
      <c r="A15" s="13" t="s">
        <v>758</v>
      </c>
      <c r="B15" s="14" t="n">
        <v>3</v>
      </c>
      <c r="C15" s="15" t="s">
        <v>230</v>
      </c>
      <c r="D15" s="16" t="s">
        <v>226</v>
      </c>
      <c r="E15" s="17"/>
      <c r="F15" s="17"/>
      <c r="G15" s="23" t="n">
        <f aca="false">B15/0.3048</f>
        <v>9.84251968503937</v>
      </c>
      <c r="H15" s="17"/>
      <c r="I15" s="19"/>
    </row>
    <row r="16" customFormat="false" ht="15" hidden="false" customHeight="false" outlineLevel="0" collapsed="false">
      <c r="A16" s="13" t="s">
        <v>759</v>
      </c>
      <c r="B16" s="14" t="n">
        <v>1</v>
      </c>
      <c r="C16" s="15" t="s">
        <v>230</v>
      </c>
      <c r="D16" s="16" t="s">
        <v>226</v>
      </c>
      <c r="E16" s="17"/>
      <c r="F16" s="17"/>
      <c r="G16" s="23" t="n">
        <f aca="false">B16/0.3048</f>
        <v>3.28083989501312</v>
      </c>
      <c r="H16" s="17"/>
      <c r="I16" s="19"/>
    </row>
    <row r="17" customFormat="false" ht="15" hidden="false" customHeight="false" outlineLevel="0" collapsed="false">
      <c r="A17" s="13" t="s">
        <v>760</v>
      </c>
      <c r="B17" s="14" t="n">
        <v>2.97</v>
      </c>
      <c r="C17" s="15" t="s">
        <v>230</v>
      </c>
      <c r="D17" s="16" t="s">
        <v>226</v>
      </c>
      <c r="E17" s="17"/>
      <c r="F17" s="17"/>
      <c r="G17" s="23" t="n">
        <f aca="false">B17/0.3048</f>
        <v>9.74409448818898</v>
      </c>
      <c r="H17" s="17"/>
      <c r="I17" s="19"/>
    </row>
    <row r="18" customFormat="false" ht="15" hidden="false" customHeight="false" outlineLevel="0" collapsed="false">
      <c r="A18" s="13" t="s">
        <v>761</v>
      </c>
      <c r="B18" s="14" t="n">
        <v>2.796</v>
      </c>
      <c r="C18" s="15" t="s">
        <v>230</v>
      </c>
      <c r="D18" s="16" t="s">
        <v>226</v>
      </c>
      <c r="E18" s="17"/>
      <c r="F18" s="17"/>
      <c r="G18" s="23" t="n">
        <f aca="false">B18/0.3048</f>
        <v>9.17322834645669</v>
      </c>
      <c r="H18" s="17"/>
      <c r="I18" s="19"/>
    </row>
    <row r="19" customFormat="false" ht="15" hidden="false" customHeight="false" outlineLevel="0" collapsed="false">
      <c r="A19" s="13" t="s">
        <v>762</v>
      </c>
      <c r="B19" s="14" t="n">
        <v>0.479</v>
      </c>
      <c r="C19" s="15" t="s">
        <v>230</v>
      </c>
      <c r="D19" s="16" t="s">
        <v>226</v>
      </c>
      <c r="E19" s="17"/>
      <c r="F19" s="17"/>
      <c r="G19" s="23" t="n">
        <f aca="false">B19/0.3048</f>
        <v>1.57152230971129</v>
      </c>
      <c r="H19" s="17"/>
      <c r="I19" s="19"/>
    </row>
    <row r="20" customFormat="false" ht="15" hidden="false" customHeight="false" outlineLevel="0" collapsed="false">
      <c r="A20" s="13" t="s">
        <v>763</v>
      </c>
      <c r="B20" s="14" t="n">
        <v>0.5</v>
      </c>
      <c r="C20" s="15" t="s">
        <v>230</v>
      </c>
      <c r="D20" s="16" t="s">
        <v>226</v>
      </c>
      <c r="E20" s="17"/>
      <c r="F20" s="17"/>
      <c r="G20" s="23" t="n">
        <f aca="false">B20/0.3048</f>
        <v>1.64041994750656</v>
      </c>
      <c r="H20" s="17"/>
      <c r="I20" s="19"/>
    </row>
    <row r="21" customFormat="false" ht="15" hidden="false" customHeight="false" outlineLevel="0" collapsed="false">
      <c r="A21" s="13" t="s">
        <v>764</v>
      </c>
      <c r="B21" s="14" t="n">
        <v>0.847</v>
      </c>
      <c r="C21" s="15" t="s">
        <v>230</v>
      </c>
      <c r="D21" s="16" t="s">
        <v>226</v>
      </c>
      <c r="E21" s="17"/>
      <c r="F21" s="17"/>
      <c r="G21" s="23" t="n">
        <f aca="false">B21/0.3048</f>
        <v>2.77887139107612</v>
      </c>
      <c r="H21" s="17"/>
      <c r="I21" s="19"/>
    </row>
    <row r="22" customFormat="false" ht="15" hidden="false" customHeight="false" outlineLevel="0" collapsed="false">
      <c r="A22" s="13" t="s">
        <v>765</v>
      </c>
      <c r="B22" s="14" t="n">
        <v>1.832</v>
      </c>
      <c r="C22" s="15" t="s">
        <v>230</v>
      </c>
      <c r="D22" s="16" t="s">
        <v>226</v>
      </c>
      <c r="E22" s="17"/>
      <c r="F22" s="17"/>
      <c r="G22" s="23" t="n">
        <f aca="false">B22/0.3048</f>
        <v>6.01049868766404</v>
      </c>
      <c r="H22" s="17"/>
      <c r="I22" s="19"/>
    </row>
    <row r="23" customFormat="false" ht="15" hidden="false" customHeight="false" outlineLevel="0" collapsed="false">
      <c r="A23" s="13" t="s">
        <v>766</v>
      </c>
      <c r="B23" s="14" t="n">
        <v>3.454</v>
      </c>
      <c r="C23" s="15" t="s">
        <v>230</v>
      </c>
      <c r="D23" s="16" t="s">
        <v>226</v>
      </c>
      <c r="E23" s="17"/>
      <c r="F23" s="17"/>
      <c r="G23" s="23" t="n">
        <f aca="false">B23/0.3048</f>
        <v>11.3320209973753</v>
      </c>
      <c r="H23" s="17"/>
      <c r="I23" s="19"/>
    </row>
    <row r="24" customFormat="false" ht="15" hidden="false" customHeight="false" outlineLevel="0" collapsed="false">
      <c r="A24" s="13" t="s">
        <v>767</v>
      </c>
      <c r="B24" s="20" t="n">
        <f aca="false">AVERAGE($B$8:$B$11)</f>
        <v>1</v>
      </c>
      <c r="C24" s="15" t="s">
        <v>230</v>
      </c>
      <c r="D24" s="21" t="s">
        <v>768</v>
      </c>
      <c r="E24" s="15" t="n">
        <v>1</v>
      </c>
      <c r="F24" s="22" t="str">
        <f aca="false">IF(ABS(B24-E24)&lt;=H24,"OK","CHECK")</f>
        <v>OK</v>
      </c>
      <c r="G24" s="23" t="n">
        <f aca="false">B24/0.3048</f>
        <v>3.28083989501312</v>
      </c>
      <c r="H24" s="24" t="n">
        <v>1E-009</v>
      </c>
      <c r="I24" s="19"/>
    </row>
    <row r="25" customFormat="false" ht="15" hidden="false" customHeight="false" outlineLevel="0" collapsed="false">
      <c r="A25" s="13" t="s">
        <v>769</v>
      </c>
      <c r="B25" s="20" t="n">
        <f aca="false">AVERAGE($B$12:$B$15)</f>
        <v>1</v>
      </c>
      <c r="C25" s="15" t="s">
        <v>230</v>
      </c>
      <c r="D25" s="21" t="s">
        <v>768</v>
      </c>
      <c r="E25" s="15" t="n">
        <v>1</v>
      </c>
      <c r="F25" s="22" t="str">
        <f aca="false">IF(ABS(B25-E25)&lt;=H25,"OK","CHECK")</f>
        <v>OK</v>
      </c>
      <c r="G25" s="23" t="n">
        <f aca="false">B25/0.3048</f>
        <v>3.28083989501312</v>
      </c>
      <c r="H25" s="24" t="n">
        <v>1E-009</v>
      </c>
      <c r="I25" s="19"/>
    </row>
    <row r="26" customFormat="false" ht="15" hidden="false" customHeight="false" outlineLevel="0" collapsed="false">
      <c r="A26" s="13" t="s">
        <v>770</v>
      </c>
      <c r="B26" s="20" t="n">
        <f aca="false">AVERAGE($B$16:$B$19)</f>
        <v>1.81125</v>
      </c>
      <c r="C26" s="15" t="s">
        <v>230</v>
      </c>
      <c r="D26" s="21" t="s">
        <v>768</v>
      </c>
      <c r="E26" s="15" t="n">
        <v>1.811</v>
      </c>
      <c r="F26" s="22" t="str">
        <f aca="false">IF(ABS(B26-E26)&lt;=H26,"OK","CHECK")</f>
        <v>OK</v>
      </c>
      <c r="G26" s="23" t="n">
        <f aca="false">B26/0.3048</f>
        <v>5.94242125984252</v>
      </c>
      <c r="H26" s="24" t="n">
        <v>0.0005</v>
      </c>
      <c r="I26" s="19"/>
    </row>
    <row r="27" customFormat="false" ht="15" hidden="false" customHeight="false" outlineLevel="0" collapsed="false">
      <c r="A27" s="13" t="s">
        <v>771</v>
      </c>
      <c r="B27" s="20" t="n">
        <f aca="false">AVERAGE($B$20:$B$23)</f>
        <v>1.65825</v>
      </c>
      <c r="C27" s="15" t="s">
        <v>230</v>
      </c>
      <c r="D27" s="21" t="s">
        <v>768</v>
      </c>
      <c r="E27" s="15" t="n">
        <v>1.658</v>
      </c>
      <c r="F27" s="22" t="str">
        <f aca="false">IF(ABS(B27-E27)&lt;=H27,"OK","CHECK")</f>
        <v>OK</v>
      </c>
      <c r="G27" s="23" t="n">
        <f aca="false">B27/0.3048</f>
        <v>5.44045275590551</v>
      </c>
      <c r="H27" s="24" t="n">
        <v>0.0005</v>
      </c>
      <c r="I27" s="19"/>
    </row>
    <row r="28" customFormat="false" ht="15" hidden="false" customHeight="false" outlineLevel="0" collapsed="false">
      <c r="A28" s="13" t="s">
        <v>772</v>
      </c>
      <c r="B28" s="20" t="n">
        <f aca="false">SUMPRODUCT($B$8:$B$11-$B$24,$B$16:$B$19-$B$26)</f>
        <v>4.287</v>
      </c>
      <c r="C28" s="15"/>
      <c r="D28" s="21" t="s">
        <v>773</v>
      </c>
      <c r="E28" s="15" t="n">
        <v>4.287</v>
      </c>
      <c r="F28" s="22" t="str">
        <f aca="false">IF(ABS(B28-E28)&lt;=H28,"OK","CHECK")</f>
        <v>OK</v>
      </c>
      <c r="G28" s="17"/>
      <c r="H28" s="24" t="n">
        <v>0.002</v>
      </c>
      <c r="I28" s="19"/>
    </row>
    <row r="29" customFormat="false" ht="15" hidden="false" customHeight="false" outlineLevel="0" collapsed="false">
      <c r="A29" s="13" t="s">
        <v>774</v>
      </c>
      <c r="B29" s="20" t="n">
        <f aca="false">SUMPRODUCT($B$8:$B$11-$B$24,$B$20:$B$23-$B$27)</f>
        <v>-1.275</v>
      </c>
      <c r="C29" s="15"/>
      <c r="D29" s="21"/>
      <c r="E29" s="15" t="n">
        <v>-1.275</v>
      </c>
      <c r="F29" s="22" t="str">
        <f aca="false">IF(ABS(B29-E29)&lt;=H29,"OK","CHECK")</f>
        <v>OK</v>
      </c>
      <c r="G29" s="17"/>
      <c r="H29" s="24" t="n">
        <v>0.002</v>
      </c>
      <c r="I29" s="19"/>
    </row>
    <row r="30" customFormat="false" ht="15" hidden="false" customHeight="false" outlineLevel="0" collapsed="false">
      <c r="A30" s="13" t="s">
        <v>775</v>
      </c>
      <c r="B30" s="20" t="n">
        <f aca="false">SUMPRODUCT($B$12:$B$15-$B$25,$B$16:$B$19-$B$26)</f>
        <v>-3.012</v>
      </c>
      <c r="C30" s="15"/>
      <c r="D30" s="21"/>
      <c r="E30" s="15" t="n">
        <v>-3.012</v>
      </c>
      <c r="F30" s="22" t="str">
        <f aca="false">IF(ABS(B30-E30)&lt;=H30,"OK","CHECK")</f>
        <v>OK</v>
      </c>
      <c r="G30" s="17"/>
      <c r="H30" s="24" t="n">
        <v>0.002</v>
      </c>
      <c r="I30" s="19"/>
    </row>
    <row r="31" customFormat="false" ht="15" hidden="false" customHeight="false" outlineLevel="0" collapsed="false">
      <c r="A31" s="13" t="s">
        <v>776</v>
      </c>
      <c r="B31" s="20" t="n">
        <f aca="false">SUMPRODUCT($B$12:$B$15-$B$25,$B$20:$B$23-$B$27)</f>
        <v>5.561</v>
      </c>
      <c r="C31" s="15"/>
      <c r="D31" s="21"/>
      <c r="E31" s="15" t="n">
        <v>5.562</v>
      </c>
      <c r="F31" s="22" t="str">
        <f aca="false">IF(ABS(B31-E31)&lt;=H31,"OK","CHECK")</f>
        <v>OK</v>
      </c>
      <c r="G31" s="17"/>
      <c r="H31" s="24" t="n">
        <v>0.002</v>
      </c>
      <c r="I31" s="19"/>
    </row>
    <row r="32" customFormat="false" ht="15" hidden="false" customHeight="false" outlineLevel="0" collapsed="false">
      <c r="A32" s="13" t="s">
        <v>777</v>
      </c>
      <c r="B32" s="20" t="n">
        <f aca="false">$B$29-$B$30</f>
        <v>1.737</v>
      </c>
      <c r="C32" s="15"/>
      <c r="D32" s="21"/>
      <c r="E32" s="15" t="n">
        <v>1.736</v>
      </c>
      <c r="F32" s="22" t="str">
        <f aca="false">IF(ABS(B32-E32)&lt;=H32,"OK","CHECK")</f>
        <v>OK</v>
      </c>
      <c r="G32" s="17"/>
      <c r="H32" s="24" t="n">
        <v>0.002</v>
      </c>
      <c r="I32" s="19"/>
    </row>
    <row r="33" customFormat="false" ht="15" hidden="false" customHeight="false" outlineLevel="0" collapsed="false">
      <c r="A33" s="13" t="s">
        <v>778</v>
      </c>
      <c r="B33" s="20" t="n">
        <f aca="false">$B$28+$B$31</f>
        <v>9.848</v>
      </c>
      <c r="C33" s="15"/>
      <c r="D33" s="21"/>
      <c r="E33" s="15" t="n">
        <v>9.848</v>
      </c>
      <c r="F33" s="22" t="str">
        <f aca="false">IF(ABS(B33-E33)&lt;=H33,"OK","CHECK")</f>
        <v>OK</v>
      </c>
      <c r="G33" s="17"/>
      <c r="H33" s="24" t="n">
        <v>0.002</v>
      </c>
      <c r="I33" s="19"/>
    </row>
    <row r="34" customFormat="false" ht="15" hidden="false" customHeight="false" outlineLevel="0" collapsed="false">
      <c r="A34" s="13" t="s">
        <v>779</v>
      </c>
      <c r="B34" s="28" t="n">
        <f aca="false">DEGREES(ATAN2($B$33,$B$32))</f>
        <v>10.0030012251437</v>
      </c>
      <c r="C34" s="15" t="s">
        <v>238</v>
      </c>
      <c r="D34" s="21" t="s">
        <v>780</v>
      </c>
      <c r="E34" s="15" t="n">
        <v>10</v>
      </c>
      <c r="F34" s="22" t="str">
        <f aca="false">IF(ABS(B34-E34)&lt;=H34,"OK","CHECK")</f>
        <v>OK</v>
      </c>
      <c r="G34" s="17"/>
      <c r="H34" s="24" t="n">
        <v>0.01</v>
      </c>
      <c r="I34" s="19"/>
    </row>
    <row r="35" customFormat="false" ht="15" hidden="false" customHeight="false" outlineLevel="0" collapsed="false">
      <c r="A35" s="13" t="s">
        <v>781</v>
      </c>
      <c r="B35" s="20" t="n">
        <f aca="false">$B$26-(COS(RADIANS($B$34))*$B$24-SIN(RADIANS($B$34))*$B$25)</f>
        <v>1.00015110714923</v>
      </c>
      <c r="C35" s="15" t="s">
        <v>230</v>
      </c>
      <c r="D35" s="21" t="s">
        <v>782</v>
      </c>
      <c r="E35" s="15" t="n">
        <v>1</v>
      </c>
      <c r="F35" s="22" t="str">
        <f aca="false">IF(ABS(B35-E35)&lt;=H35,"OK","CHECK")</f>
        <v>OK</v>
      </c>
      <c r="G35" s="23" t="n">
        <f aca="false">B35/0.3048</f>
        <v>3.28133565337675</v>
      </c>
      <c r="H35" s="24" t="n">
        <v>0.001</v>
      </c>
      <c r="I35" s="19"/>
    </row>
    <row r="36" customFormat="false" ht="15" hidden="false" customHeight="false" outlineLevel="0" collapsed="false">
      <c r="A36" s="13" t="s">
        <v>783</v>
      </c>
      <c r="B36" s="20" t="n">
        <f aca="false">$B$27-(SIN(RADIANS($B$34))*$B$24+COS(RADIANS($B$34))*$B$25)</f>
        <v>0.499751581349262</v>
      </c>
      <c r="C36" s="15" t="s">
        <v>230</v>
      </c>
      <c r="D36" s="21"/>
      <c r="E36" s="15" t="n">
        <v>0.5</v>
      </c>
      <c r="F36" s="22" t="str">
        <f aca="false">IF(ABS(B36-E36)&lt;=H36,"OK","CHECK")</f>
        <v>OK</v>
      </c>
      <c r="G36" s="23" t="n">
        <f aca="false">B36/0.3048</f>
        <v>1.63960492568656</v>
      </c>
      <c r="H36" s="24" t="n">
        <v>0.001</v>
      </c>
      <c r="I36" s="19"/>
    </row>
    <row r="37" customFormat="false" ht="15" hidden="false" customHeight="false" outlineLevel="0" collapsed="false">
      <c r="A37" s="2"/>
      <c r="B37" s="2"/>
      <c r="C37" s="2"/>
      <c r="D37" s="2"/>
      <c r="E37" s="2"/>
      <c r="F37" s="2"/>
      <c r="G37" s="2"/>
      <c r="H37" s="2"/>
      <c r="I37" s="2"/>
    </row>
    <row r="38" customFormat="false" ht="15" hidden="false" customHeight="false" outlineLevel="0" collapsed="false">
      <c r="A38" s="10" t="s">
        <v>784</v>
      </c>
      <c r="B38" s="11"/>
      <c r="C38" s="11"/>
      <c r="D38" s="11"/>
      <c r="E38" s="11"/>
      <c r="F38" s="11"/>
      <c r="G38" s="11"/>
      <c r="H38" s="11"/>
      <c r="I38" s="11"/>
    </row>
    <row r="39" customFormat="false" ht="15" hidden="false" customHeight="true" outlineLevel="0" collapsed="false">
      <c r="A39" s="12" t="s">
        <v>785</v>
      </c>
      <c r="B39" s="12"/>
      <c r="C39" s="12"/>
      <c r="D39" s="12"/>
      <c r="E39" s="12"/>
      <c r="F39" s="12"/>
      <c r="G39" s="12"/>
      <c r="H39" s="12"/>
      <c r="I39" s="12"/>
    </row>
    <row r="40" customFormat="false" ht="15" hidden="false" customHeight="false" outlineLevel="0" collapsed="false">
      <c r="A40" s="13" t="s">
        <v>786</v>
      </c>
      <c r="B40" s="14" t="n">
        <v>10</v>
      </c>
      <c r="C40" s="15" t="s">
        <v>230</v>
      </c>
      <c r="D40" s="16" t="s">
        <v>226</v>
      </c>
      <c r="E40" s="17"/>
      <c r="F40" s="17"/>
      <c r="G40" s="23" t="n">
        <f aca="false">B40/0.3048</f>
        <v>32.8083989501312</v>
      </c>
      <c r="H40" s="17"/>
      <c r="I40" s="19"/>
    </row>
    <row r="41" customFormat="false" ht="15" hidden="false" customHeight="false" outlineLevel="0" collapsed="false">
      <c r="A41" s="13" t="s">
        <v>787</v>
      </c>
      <c r="B41" s="14" t="n">
        <v>10.01</v>
      </c>
      <c r="C41" s="15" t="s">
        <v>230</v>
      </c>
      <c r="D41" s="16" t="s">
        <v>226</v>
      </c>
      <c r="E41" s="17"/>
      <c r="F41" s="17"/>
      <c r="G41" s="23" t="n">
        <f aca="false">B41/0.3048</f>
        <v>32.8412073490814</v>
      </c>
      <c r="H41" s="17"/>
      <c r="I41" s="19"/>
    </row>
    <row r="42" customFormat="false" ht="15" hidden="false" customHeight="false" outlineLevel="0" collapsed="false">
      <c r="A42" s="13" t="s">
        <v>788</v>
      </c>
      <c r="B42" s="14" t="n">
        <v>10</v>
      </c>
      <c r="C42" s="15" t="s">
        <v>230</v>
      </c>
      <c r="D42" s="16" t="s">
        <v>226</v>
      </c>
      <c r="E42" s="17"/>
      <c r="F42" s="17"/>
      <c r="G42" s="23" t="n">
        <f aca="false">B42/0.3048</f>
        <v>32.8083989501312</v>
      </c>
      <c r="H42" s="17"/>
      <c r="I42" s="19"/>
    </row>
    <row r="43" customFormat="false" ht="15" hidden="false" customHeight="false" outlineLevel="0" collapsed="false">
      <c r="A43" s="13" t="s">
        <v>789</v>
      </c>
      <c r="B43" s="14" t="n">
        <v>9.99</v>
      </c>
      <c r="C43" s="15" t="s">
        <v>230</v>
      </c>
      <c r="D43" s="16" t="s">
        <v>226</v>
      </c>
      <c r="E43" s="17"/>
      <c r="F43" s="17"/>
      <c r="G43" s="23" t="n">
        <f aca="false">B43/0.3048</f>
        <v>32.7755905511811</v>
      </c>
      <c r="H43" s="17"/>
      <c r="I43" s="19"/>
    </row>
    <row r="44" customFormat="false" ht="15" hidden="false" customHeight="false" outlineLevel="0" collapsed="false">
      <c r="A44" s="13" t="s">
        <v>790</v>
      </c>
      <c r="B44" s="14" t="n">
        <v>10</v>
      </c>
      <c r="C44" s="15" t="s">
        <v>230</v>
      </c>
      <c r="D44" s="16" t="s">
        <v>226</v>
      </c>
      <c r="E44" s="17"/>
      <c r="F44" s="17"/>
      <c r="G44" s="23" t="n">
        <f aca="false">B44/0.3048</f>
        <v>32.8083989501312</v>
      </c>
      <c r="H44" s="17"/>
      <c r="I44" s="19"/>
    </row>
    <row r="45" customFormat="false" ht="15" hidden="false" customHeight="false" outlineLevel="0" collapsed="false">
      <c r="A45" s="13" t="s">
        <v>791</v>
      </c>
      <c r="B45" s="14" t="n">
        <v>10</v>
      </c>
      <c r="C45" s="15" t="s">
        <v>230</v>
      </c>
      <c r="D45" s="16" t="s">
        <v>226</v>
      </c>
      <c r="E45" s="17"/>
      <c r="F45" s="17"/>
      <c r="G45" s="23" t="n">
        <f aca="false">B45/0.3048</f>
        <v>32.8083989501312</v>
      </c>
      <c r="H45" s="17"/>
      <c r="I45" s="19"/>
    </row>
    <row r="46" customFormat="false" ht="15" hidden="false" customHeight="false" outlineLevel="0" collapsed="false">
      <c r="A46" s="13" t="s">
        <v>792</v>
      </c>
      <c r="B46" s="14" t="n">
        <v>10</v>
      </c>
      <c r="C46" s="15" t="s">
        <v>230</v>
      </c>
      <c r="D46" s="16" t="s">
        <v>226</v>
      </c>
      <c r="E46" s="17"/>
      <c r="F46" s="17"/>
      <c r="G46" s="23" t="n">
        <f aca="false">B46/0.3048</f>
        <v>32.8083989501312</v>
      </c>
      <c r="H46" s="17"/>
      <c r="I46" s="19"/>
    </row>
    <row r="47" customFormat="false" ht="15" hidden="false" customHeight="false" outlineLevel="0" collapsed="false">
      <c r="A47" s="13" t="s">
        <v>793</v>
      </c>
      <c r="B47" s="14" t="n">
        <v>8</v>
      </c>
      <c r="C47" s="15" t="s">
        <v>230</v>
      </c>
      <c r="D47" s="16" t="s">
        <v>226</v>
      </c>
      <c r="E47" s="17"/>
      <c r="F47" s="17"/>
      <c r="G47" s="23" t="n">
        <f aca="false">B47/0.3048</f>
        <v>26.246719160105</v>
      </c>
      <c r="H47" s="17"/>
      <c r="I47" s="19"/>
    </row>
    <row r="48" customFormat="false" ht="15" hidden="false" customHeight="false" outlineLevel="0" collapsed="false">
      <c r="A48" s="13" t="s">
        <v>794</v>
      </c>
      <c r="B48" s="14" t="n">
        <v>8</v>
      </c>
      <c r="C48" s="15" t="s">
        <v>230</v>
      </c>
      <c r="D48" s="16" t="s">
        <v>226</v>
      </c>
      <c r="E48" s="17"/>
      <c r="F48" s="17"/>
      <c r="G48" s="23" t="n">
        <f aca="false">B48/0.3048</f>
        <v>26.246719160105</v>
      </c>
      <c r="H48" s="17"/>
      <c r="I48" s="19"/>
    </row>
    <row r="49" customFormat="false" ht="15" hidden="false" customHeight="false" outlineLevel="0" collapsed="false">
      <c r="A49" s="13" t="s">
        <v>795</v>
      </c>
      <c r="B49" s="14" t="n">
        <v>8</v>
      </c>
      <c r="C49" s="15" t="s">
        <v>230</v>
      </c>
      <c r="D49" s="16" t="s">
        <v>226</v>
      </c>
      <c r="E49" s="17"/>
      <c r="F49" s="17"/>
      <c r="G49" s="23" t="n">
        <f aca="false">B49/0.3048</f>
        <v>26.246719160105</v>
      </c>
      <c r="H49" s="17"/>
      <c r="I49" s="19"/>
    </row>
    <row r="50" customFormat="false" ht="15" hidden="false" customHeight="false" outlineLevel="0" collapsed="false">
      <c r="A50" s="13" t="s">
        <v>796</v>
      </c>
      <c r="B50" s="20" t="n">
        <f aca="false">ABS($B$40+$B$41+$B$43+$B$44-4*$B$42)/(4*$B$42)</f>
        <v>0</v>
      </c>
      <c r="C50" s="15"/>
      <c r="D50" s="21" t="s">
        <v>797</v>
      </c>
      <c r="E50" s="15" t="n">
        <v>0</v>
      </c>
      <c r="F50" s="22" t="str">
        <f aca="false">IF(ABS(B50-E50)&lt;=H50,"OK","CHECK")</f>
        <v>OK</v>
      </c>
      <c r="G50" s="17"/>
      <c r="H50" s="24" t="n">
        <v>1E-006</v>
      </c>
      <c r="I50" s="19"/>
    </row>
    <row r="51" customFormat="false" ht="15" hidden="false" customHeight="false" outlineLevel="0" collapsed="false">
      <c r="A51" s="13" t="s">
        <v>798</v>
      </c>
      <c r="B51" s="20" t="n">
        <f aca="false">ABS($B$45+$B$46+$B$48+$B$49-4*$B$47)/(4*$B$47)</f>
        <v>0.125</v>
      </c>
      <c r="C51" s="15"/>
      <c r="D51" s="21"/>
      <c r="E51" s="15" t="n">
        <v>0.125</v>
      </c>
      <c r="F51" s="22" t="str">
        <f aca="false">IF(ABS(B51-E51)&lt;=H51,"OK","CHECK")</f>
        <v>OK</v>
      </c>
      <c r="G51" s="17"/>
      <c r="H51" s="24" t="n">
        <v>1E-006</v>
      </c>
      <c r="I51" s="19"/>
    </row>
    <row r="52" customFormat="false" ht="15" hidden="false" customHeight="true" outlineLevel="0" collapsed="false">
      <c r="A52" s="34" t="s">
        <v>799</v>
      </c>
      <c r="B52" s="34"/>
      <c r="C52" s="34"/>
      <c r="D52" s="34"/>
      <c r="E52" s="34"/>
      <c r="F52" s="34"/>
      <c r="G52" s="34"/>
      <c r="H52" s="34"/>
      <c r="I52" s="34"/>
    </row>
    <row r="53" customFormat="false" ht="15" hidden="false" customHeight="false" outlineLevel="0" collapsed="false">
      <c r="A53" s="2"/>
      <c r="B53" s="2"/>
      <c r="C53" s="2"/>
      <c r="D53" s="2"/>
      <c r="E53" s="2"/>
      <c r="F53" s="2"/>
      <c r="G53" s="2"/>
      <c r="H53" s="2"/>
      <c r="I53" s="2"/>
    </row>
    <row r="54" customFormat="false" ht="15" hidden="false" customHeight="false" outlineLevel="0" collapsed="false">
      <c r="A54" s="10" t="s">
        <v>800</v>
      </c>
      <c r="B54" s="11"/>
      <c r="C54" s="11"/>
      <c r="D54" s="11"/>
      <c r="E54" s="11"/>
      <c r="F54" s="11"/>
      <c r="G54" s="11"/>
      <c r="H54" s="11"/>
      <c r="I54" s="11"/>
    </row>
    <row r="55" customFormat="false" ht="15" hidden="false" customHeight="true" outlineLevel="0" collapsed="false">
      <c r="A55" s="12" t="s">
        <v>801</v>
      </c>
      <c r="B55" s="12"/>
      <c r="C55" s="12"/>
      <c r="D55" s="12"/>
      <c r="E55" s="12"/>
      <c r="F55" s="12"/>
      <c r="G55" s="12"/>
      <c r="H55" s="12"/>
      <c r="I55" s="12"/>
    </row>
    <row r="56" customFormat="false" ht="15" hidden="false" customHeight="false" outlineLevel="0" collapsed="false">
      <c r="A56" s="13" t="s">
        <v>802</v>
      </c>
      <c r="B56" s="14" t="n">
        <v>0</v>
      </c>
      <c r="C56" s="15" t="s">
        <v>230</v>
      </c>
      <c r="D56" s="16" t="s">
        <v>226</v>
      </c>
      <c r="E56" s="17"/>
      <c r="F56" s="17"/>
      <c r="G56" s="23" t="n">
        <f aca="false">B56/0.3048</f>
        <v>0</v>
      </c>
      <c r="H56" s="17"/>
      <c r="I56" s="19"/>
    </row>
    <row r="57" customFormat="false" ht="15" hidden="false" customHeight="false" outlineLevel="0" collapsed="false">
      <c r="A57" s="13" t="s">
        <v>803</v>
      </c>
      <c r="B57" s="14" t="n">
        <v>0</v>
      </c>
      <c r="C57" s="15" t="s">
        <v>230</v>
      </c>
      <c r="D57" s="16" t="s">
        <v>226</v>
      </c>
      <c r="E57" s="17"/>
      <c r="F57" s="17"/>
      <c r="G57" s="23" t="n">
        <f aca="false">B57/0.3048</f>
        <v>0</v>
      </c>
      <c r="H57" s="17"/>
      <c r="I57" s="19"/>
    </row>
    <row r="58" customFormat="false" ht="15" hidden="false" customHeight="false" outlineLevel="0" collapsed="false">
      <c r="A58" s="13" t="s">
        <v>804</v>
      </c>
      <c r="B58" s="14" t="n">
        <v>0</v>
      </c>
      <c r="C58" s="15" t="s">
        <v>230</v>
      </c>
      <c r="D58" s="16" t="s">
        <v>226</v>
      </c>
      <c r="E58" s="17"/>
      <c r="F58" s="17"/>
      <c r="G58" s="23" t="n">
        <f aca="false">B58/0.3048</f>
        <v>0</v>
      </c>
      <c r="H58" s="17"/>
      <c r="I58" s="19"/>
    </row>
    <row r="59" customFormat="false" ht="15" hidden="false" customHeight="false" outlineLevel="0" collapsed="false">
      <c r="A59" s="13" t="s">
        <v>805</v>
      </c>
      <c r="B59" s="14" t="n">
        <v>2</v>
      </c>
      <c r="C59" s="15" t="s">
        <v>230</v>
      </c>
      <c r="D59" s="16" t="s">
        <v>226</v>
      </c>
      <c r="E59" s="17"/>
      <c r="F59" s="17"/>
      <c r="G59" s="23" t="n">
        <f aca="false">B59/0.3048</f>
        <v>6.56167979002625</v>
      </c>
      <c r="H59" s="17"/>
      <c r="I59" s="19"/>
    </row>
    <row r="60" customFormat="false" ht="15" hidden="false" customHeight="false" outlineLevel="0" collapsed="false">
      <c r="A60" s="13" t="s">
        <v>806</v>
      </c>
      <c r="B60" s="14" t="n">
        <v>0</v>
      </c>
      <c r="C60" s="15" t="s">
        <v>230</v>
      </c>
      <c r="D60" s="16" t="s">
        <v>226</v>
      </c>
      <c r="E60" s="17"/>
      <c r="F60" s="17"/>
      <c r="G60" s="23" t="n">
        <f aca="false">B60/0.3048</f>
        <v>0</v>
      </c>
      <c r="H60" s="17"/>
      <c r="I60" s="19"/>
    </row>
    <row r="61" customFormat="false" ht="15" hidden="false" customHeight="false" outlineLevel="0" collapsed="false">
      <c r="A61" s="13" t="s">
        <v>807</v>
      </c>
      <c r="B61" s="14" t="n">
        <v>0</v>
      </c>
      <c r="C61" s="15" t="s">
        <v>230</v>
      </c>
      <c r="D61" s="16" t="s">
        <v>226</v>
      </c>
      <c r="E61" s="17"/>
      <c r="F61" s="17"/>
      <c r="G61" s="23" t="n">
        <f aca="false">B61/0.3048</f>
        <v>0</v>
      </c>
      <c r="H61" s="17"/>
      <c r="I61" s="19"/>
    </row>
    <row r="62" customFormat="false" ht="15" hidden="false" customHeight="false" outlineLevel="0" collapsed="false">
      <c r="A62" s="13" t="s">
        <v>808</v>
      </c>
      <c r="B62" s="14" t="n">
        <v>1</v>
      </c>
      <c r="C62" s="15" t="s">
        <v>230</v>
      </c>
      <c r="D62" s="16" t="s">
        <v>226</v>
      </c>
      <c r="E62" s="17"/>
      <c r="F62" s="17"/>
      <c r="G62" s="23" t="n">
        <f aca="false">B62/0.3048</f>
        <v>3.28083989501312</v>
      </c>
      <c r="H62" s="17"/>
      <c r="I62" s="19"/>
    </row>
    <row r="63" customFormat="false" ht="15" hidden="false" customHeight="false" outlineLevel="0" collapsed="false">
      <c r="A63" s="13" t="s">
        <v>809</v>
      </c>
      <c r="B63" s="14" t="n">
        <v>0.6</v>
      </c>
      <c r="C63" s="15" t="s">
        <v>230</v>
      </c>
      <c r="D63" s="16" t="s">
        <v>226</v>
      </c>
      <c r="E63" s="17"/>
      <c r="F63" s="17"/>
      <c r="G63" s="23" t="n">
        <f aca="false">B63/0.3048</f>
        <v>1.96850393700787</v>
      </c>
      <c r="H63" s="17"/>
      <c r="I63" s="19"/>
    </row>
    <row r="64" customFormat="false" ht="15" hidden="false" customHeight="false" outlineLevel="0" collapsed="false">
      <c r="A64" s="13" t="s">
        <v>810</v>
      </c>
      <c r="B64" s="14" t="n">
        <v>0.8</v>
      </c>
      <c r="C64" s="15" t="s">
        <v>230</v>
      </c>
      <c r="D64" s="16" t="s">
        <v>226</v>
      </c>
      <c r="E64" s="17"/>
      <c r="F64" s="17"/>
      <c r="G64" s="23" t="n">
        <f aca="false">B64/0.3048</f>
        <v>2.6246719160105</v>
      </c>
      <c r="H64" s="17"/>
      <c r="I64" s="19"/>
    </row>
    <row r="65" customFormat="false" ht="15" hidden="false" customHeight="false" outlineLevel="0" collapsed="false">
      <c r="A65" s="13" t="s">
        <v>811</v>
      </c>
      <c r="B65" s="20" t="n">
        <f aca="false">($B$63-$B$57)*($B$64-$B$61)-($B$64-$B$58)*($B$63-$B$60)</f>
        <v>0</v>
      </c>
      <c r="C65" s="15"/>
      <c r="D65" s="21" t="s">
        <v>438</v>
      </c>
      <c r="E65" s="15" t="n">
        <v>0</v>
      </c>
      <c r="F65" s="22" t="str">
        <f aca="false">IF(ABS(B65-E65)&lt;=H65,"OK","CHECK")</f>
        <v>OK</v>
      </c>
      <c r="G65" s="17"/>
      <c r="H65" s="24" t="n">
        <v>1E-009</v>
      </c>
      <c r="I65" s="19"/>
    </row>
    <row r="66" customFormat="false" ht="15" hidden="false" customHeight="false" outlineLevel="0" collapsed="false">
      <c r="A66" s="13" t="s">
        <v>812</v>
      </c>
      <c r="B66" s="20" t="n">
        <f aca="false">($B$64-$B$58)*($B$62-$B$59)-($B$62-$B$56)*($B$64-$B$61)</f>
        <v>-1.6</v>
      </c>
      <c r="C66" s="15"/>
      <c r="D66" s="21"/>
      <c r="E66" s="15" t="n">
        <v>-1.6</v>
      </c>
      <c r="F66" s="22" t="str">
        <f aca="false">IF(ABS(B66-E66)&lt;=H66,"OK","CHECK")</f>
        <v>OK</v>
      </c>
      <c r="G66" s="17"/>
      <c r="H66" s="24" t="n">
        <v>1E-009</v>
      </c>
      <c r="I66" s="19"/>
    </row>
    <row r="67" customFormat="false" ht="15" hidden="false" customHeight="false" outlineLevel="0" collapsed="false">
      <c r="A67" s="13" t="s">
        <v>813</v>
      </c>
      <c r="B67" s="20" t="n">
        <f aca="false">($B$62-$B$56)*($B$63-$B$60)-($B$63-$B$57)*($B$62-$B$59)</f>
        <v>1.2</v>
      </c>
      <c r="C67" s="15"/>
      <c r="D67" s="21"/>
      <c r="E67" s="15" t="n">
        <v>1.2</v>
      </c>
      <c r="F67" s="22" t="str">
        <f aca="false">IF(ABS(B67-E67)&lt;=H67,"OK","CHECK")</f>
        <v>OK</v>
      </c>
      <c r="G67" s="17"/>
      <c r="H67" s="24" t="n">
        <v>1E-009</v>
      </c>
      <c r="I67" s="19"/>
    </row>
    <row r="68" customFormat="false" ht="15" hidden="false" customHeight="false" outlineLevel="0" collapsed="false">
      <c r="A68" s="13" t="s">
        <v>814</v>
      </c>
      <c r="B68" s="20" t="n">
        <f aca="false">SQRT($B$65^2+$B$66^2+$B$67^2)/SQRT(($B$56-$B$59)^2+($B$57-$B$60)^2+($B$58-$B$61)^2)</f>
        <v>1</v>
      </c>
      <c r="C68" s="15" t="s">
        <v>230</v>
      </c>
      <c r="D68" s="21" t="s">
        <v>815</v>
      </c>
      <c r="E68" s="15" t="n">
        <v>1</v>
      </c>
      <c r="F68" s="22" t="str">
        <f aca="false">IF(ABS(B68-E68)&lt;=H68,"OK","CHECK")</f>
        <v>OK</v>
      </c>
      <c r="G68" s="23" t="n">
        <f aca="false">B68/0.3048</f>
        <v>3.28083989501312</v>
      </c>
      <c r="H68" s="24" t="n">
        <v>1E-009</v>
      </c>
      <c r="I68" s="19"/>
    </row>
    <row r="69" customFormat="false" ht="15" hidden="false" customHeight="false" outlineLevel="0" collapsed="false">
      <c r="A69" s="13" t="s">
        <v>816</v>
      </c>
      <c r="B69" s="14" t="n">
        <v>0</v>
      </c>
      <c r="C69" s="15" t="s">
        <v>230</v>
      </c>
      <c r="D69" s="16" t="s">
        <v>226</v>
      </c>
      <c r="E69" s="17"/>
      <c r="F69" s="17"/>
      <c r="G69" s="23" t="n">
        <f aca="false">B69/0.3048</f>
        <v>0</v>
      </c>
      <c r="H69" s="17"/>
      <c r="I69" s="19"/>
    </row>
    <row r="70" customFormat="false" ht="15" hidden="false" customHeight="false" outlineLevel="0" collapsed="false">
      <c r="A70" s="13" t="s">
        <v>817</v>
      </c>
      <c r="B70" s="14" t="n">
        <v>0</v>
      </c>
      <c r="C70" s="15" t="s">
        <v>230</v>
      </c>
      <c r="D70" s="16" t="s">
        <v>226</v>
      </c>
      <c r="E70" s="17"/>
      <c r="F70" s="17"/>
      <c r="G70" s="23" t="n">
        <f aca="false">B70/0.3048</f>
        <v>0</v>
      </c>
      <c r="H70" s="17"/>
      <c r="I70" s="19"/>
    </row>
    <row r="71" customFormat="false" ht="15" hidden="false" customHeight="false" outlineLevel="0" collapsed="false">
      <c r="A71" s="13" t="s">
        <v>818</v>
      </c>
      <c r="B71" s="14" t="n">
        <v>0</v>
      </c>
      <c r="C71" s="15" t="s">
        <v>230</v>
      </c>
      <c r="D71" s="16" t="s">
        <v>226</v>
      </c>
      <c r="E71" s="17"/>
      <c r="F71" s="17"/>
      <c r="G71" s="23" t="n">
        <f aca="false">B71/0.3048</f>
        <v>0</v>
      </c>
      <c r="H71" s="17"/>
      <c r="I71" s="19"/>
    </row>
    <row r="72" customFormat="false" ht="15" hidden="false" customHeight="false" outlineLevel="0" collapsed="false">
      <c r="A72" s="13" t="s">
        <v>819</v>
      </c>
      <c r="B72" s="14" t="n">
        <v>1</v>
      </c>
      <c r="C72" s="15" t="s">
        <v>230</v>
      </c>
      <c r="D72" s="16" t="s">
        <v>226</v>
      </c>
      <c r="E72" s="17"/>
      <c r="F72" s="17"/>
      <c r="G72" s="23" t="n">
        <f aca="false">B72/0.3048</f>
        <v>3.28083989501312</v>
      </c>
      <c r="H72" s="17"/>
      <c r="I72" s="19"/>
    </row>
    <row r="73" customFormat="false" ht="15" hidden="false" customHeight="false" outlineLevel="0" collapsed="false">
      <c r="A73" s="13" t="s">
        <v>820</v>
      </c>
      <c r="B73" s="14" t="n">
        <v>0</v>
      </c>
      <c r="C73" s="15" t="s">
        <v>230</v>
      </c>
      <c r="D73" s="16" t="s">
        <v>226</v>
      </c>
      <c r="E73" s="17"/>
      <c r="F73" s="17"/>
      <c r="G73" s="23" t="n">
        <f aca="false">B73/0.3048</f>
        <v>0</v>
      </c>
      <c r="H73" s="17"/>
      <c r="I73" s="19"/>
    </row>
    <row r="74" customFormat="false" ht="15" hidden="false" customHeight="false" outlineLevel="0" collapsed="false">
      <c r="A74" s="13" t="s">
        <v>821</v>
      </c>
      <c r="B74" s="14" t="n">
        <v>0</v>
      </c>
      <c r="C74" s="15" t="s">
        <v>230</v>
      </c>
      <c r="D74" s="16" t="s">
        <v>226</v>
      </c>
      <c r="E74" s="17"/>
      <c r="F74" s="17"/>
      <c r="G74" s="23" t="n">
        <f aca="false">B74/0.3048</f>
        <v>0</v>
      </c>
      <c r="H74" s="17"/>
      <c r="I74" s="19"/>
    </row>
    <row r="75" customFormat="false" ht="15" hidden="false" customHeight="false" outlineLevel="0" collapsed="false">
      <c r="A75" s="13" t="s">
        <v>822</v>
      </c>
      <c r="B75" s="14" t="n">
        <v>0</v>
      </c>
      <c r="C75" s="15" t="s">
        <v>230</v>
      </c>
      <c r="D75" s="16" t="s">
        <v>226</v>
      </c>
      <c r="E75" s="17"/>
      <c r="F75" s="17"/>
      <c r="G75" s="23" t="n">
        <f aca="false">B75/0.3048</f>
        <v>0</v>
      </c>
      <c r="H75" s="17"/>
      <c r="I75" s="19"/>
    </row>
    <row r="76" customFormat="false" ht="15" hidden="false" customHeight="false" outlineLevel="0" collapsed="false">
      <c r="A76" s="13" t="s">
        <v>823</v>
      </c>
      <c r="B76" s="14" t="n">
        <v>1</v>
      </c>
      <c r="C76" s="15" t="s">
        <v>230</v>
      </c>
      <c r="D76" s="16" t="s">
        <v>226</v>
      </c>
      <c r="E76" s="17"/>
      <c r="F76" s="17"/>
      <c r="G76" s="23" t="n">
        <f aca="false">B76/0.3048</f>
        <v>3.28083989501312</v>
      </c>
      <c r="H76" s="17"/>
      <c r="I76" s="19"/>
    </row>
    <row r="77" customFormat="false" ht="15" hidden="false" customHeight="false" outlineLevel="0" collapsed="false">
      <c r="A77" s="13" t="s">
        <v>824</v>
      </c>
      <c r="B77" s="14" t="n">
        <v>0</v>
      </c>
      <c r="C77" s="15" t="s">
        <v>230</v>
      </c>
      <c r="D77" s="16" t="s">
        <v>226</v>
      </c>
      <c r="E77" s="17"/>
      <c r="F77" s="17"/>
      <c r="G77" s="23" t="n">
        <f aca="false">B77/0.3048</f>
        <v>0</v>
      </c>
      <c r="H77" s="17"/>
      <c r="I77" s="19"/>
    </row>
    <row r="78" customFormat="false" ht="15" hidden="false" customHeight="false" outlineLevel="0" collapsed="false">
      <c r="A78" s="13" t="s">
        <v>825</v>
      </c>
      <c r="B78" s="14" t="n">
        <v>0.3</v>
      </c>
      <c r="C78" s="15" t="s">
        <v>230</v>
      </c>
      <c r="D78" s="16" t="s">
        <v>226</v>
      </c>
      <c r="E78" s="17"/>
      <c r="F78" s="17"/>
      <c r="G78" s="23" t="n">
        <f aca="false">B78/0.3048</f>
        <v>0.984251968503937</v>
      </c>
      <c r="H78" s="17"/>
      <c r="I78" s="19"/>
    </row>
    <row r="79" customFormat="false" ht="15" hidden="false" customHeight="false" outlineLevel="0" collapsed="false">
      <c r="A79" s="13" t="s">
        <v>826</v>
      </c>
      <c r="B79" s="14" t="n">
        <v>0.4</v>
      </c>
      <c r="C79" s="15" t="s">
        <v>230</v>
      </c>
      <c r="D79" s="16" t="s">
        <v>226</v>
      </c>
      <c r="E79" s="17"/>
      <c r="F79" s="17"/>
      <c r="G79" s="23" t="n">
        <f aca="false">B79/0.3048</f>
        <v>1.31233595800525</v>
      </c>
      <c r="H79" s="17"/>
      <c r="I79" s="19"/>
    </row>
    <row r="80" customFormat="false" ht="15" hidden="false" customHeight="false" outlineLevel="0" collapsed="false">
      <c r="A80" s="13" t="s">
        <v>827</v>
      </c>
      <c r="B80" s="14" t="n">
        <v>0.12</v>
      </c>
      <c r="C80" s="15" t="s">
        <v>230</v>
      </c>
      <c r="D80" s="16" t="s">
        <v>226</v>
      </c>
      <c r="E80" s="17"/>
      <c r="F80" s="17"/>
      <c r="G80" s="23" t="n">
        <f aca="false">B80/0.3048</f>
        <v>0.393700787401575</v>
      </c>
      <c r="H80" s="17"/>
      <c r="I80" s="19"/>
    </row>
    <row r="81" customFormat="false" ht="15" hidden="false" customHeight="false" outlineLevel="0" collapsed="false">
      <c r="A81" s="13" t="s">
        <v>828</v>
      </c>
      <c r="B81" s="20" t="n">
        <f aca="false">($B$70-$B$73)*($B$71-$B$77)-($B$71-$B$74)*($B$70-$B$76)</f>
        <v>0</v>
      </c>
      <c r="C81" s="15"/>
      <c r="D81" s="21" t="s">
        <v>829</v>
      </c>
      <c r="E81" s="15" t="n">
        <v>0</v>
      </c>
      <c r="F81" s="22" t="str">
        <f aca="false">IF(ABS(B81-E81)&lt;=H81,"OK","CHECK")</f>
        <v>OK</v>
      </c>
      <c r="G81" s="17"/>
      <c r="H81" s="24" t="n">
        <v>1E-009</v>
      </c>
      <c r="I81" s="19"/>
    </row>
    <row r="82" customFormat="false" ht="15" hidden="false" customHeight="false" outlineLevel="0" collapsed="false">
      <c r="A82" s="13" t="s">
        <v>830</v>
      </c>
      <c r="B82" s="20" t="n">
        <f aca="false">($B$71-$B$74)*($B$69-$B$75)-($B$69-$B$72)*($B$71-$B$77)</f>
        <v>0</v>
      </c>
      <c r="C82" s="15"/>
      <c r="D82" s="21"/>
      <c r="E82" s="15" t="n">
        <v>0</v>
      </c>
      <c r="F82" s="22" t="str">
        <f aca="false">IF(ABS(B82-E82)&lt;=H82,"OK","CHECK")</f>
        <v>OK</v>
      </c>
      <c r="G82" s="17"/>
      <c r="H82" s="24" t="n">
        <v>1E-009</v>
      </c>
      <c r="I82" s="19"/>
    </row>
    <row r="83" customFormat="false" ht="15" hidden="false" customHeight="false" outlineLevel="0" collapsed="false">
      <c r="A83" s="13" t="s">
        <v>831</v>
      </c>
      <c r="B83" s="20" t="n">
        <f aca="false">($B$69-$B$72)*($B$70-$B$76)-($B$70-$B$73)*($B$69-$B$75)</f>
        <v>1</v>
      </c>
      <c r="C83" s="15"/>
      <c r="D83" s="21"/>
      <c r="E83" s="15" t="n">
        <v>1</v>
      </c>
      <c r="F83" s="22" t="str">
        <f aca="false">IF(ABS(B83-E83)&lt;=H83,"OK","CHECK")</f>
        <v>OK</v>
      </c>
      <c r="G83" s="17"/>
      <c r="H83" s="24" t="n">
        <v>1E-009</v>
      </c>
      <c r="I83" s="19"/>
    </row>
    <row r="84" customFormat="false" ht="15" hidden="false" customHeight="false" outlineLevel="0" collapsed="false">
      <c r="A84" s="13" t="s">
        <v>832</v>
      </c>
      <c r="B84" s="20" t="n">
        <f aca="false">ABS(($B$78-$B$69)*$B$81+($B$79-$B$70)*$B$82+($B$80-$B$71)*$B$83)/SQRT($B$81^2+$B$82^2+$B$83^2)</f>
        <v>0.12</v>
      </c>
      <c r="C84" s="15" t="s">
        <v>230</v>
      </c>
      <c r="D84" s="21" t="s">
        <v>833</v>
      </c>
      <c r="E84" s="15" t="n">
        <v>0.12</v>
      </c>
      <c r="F84" s="22" t="str">
        <f aca="false">IF(ABS(B84-E84)&lt;=H84,"OK","CHECK")</f>
        <v>OK</v>
      </c>
      <c r="G84" s="23" t="n">
        <f aca="false">B84/0.3048</f>
        <v>0.393700787401575</v>
      </c>
      <c r="H84" s="24" t="n">
        <v>1E-009</v>
      </c>
      <c r="I84" s="19"/>
    </row>
  </sheetData>
  <mergeCells count="4">
    <mergeCell ref="A7:I7"/>
    <mergeCell ref="A39:I39"/>
    <mergeCell ref="A52:I52"/>
    <mergeCell ref="A55:I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834</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835</v>
      </c>
      <c r="B6" s="11"/>
      <c r="C6" s="11"/>
      <c r="D6" s="11"/>
      <c r="E6" s="11"/>
      <c r="F6" s="11"/>
      <c r="G6" s="11"/>
      <c r="H6" s="11"/>
      <c r="I6" s="11"/>
    </row>
    <row r="7" customFormat="false" ht="15" hidden="false" customHeight="true" outlineLevel="0" collapsed="false">
      <c r="A7" s="12" t="s">
        <v>836</v>
      </c>
      <c r="B7" s="12"/>
      <c r="C7" s="12"/>
      <c r="D7" s="12"/>
      <c r="E7" s="12"/>
      <c r="F7" s="12"/>
      <c r="G7" s="12"/>
      <c r="H7" s="12"/>
      <c r="I7" s="12"/>
    </row>
    <row r="8" customFormat="false" ht="15" hidden="false" customHeight="false" outlineLevel="0" collapsed="false">
      <c r="A8" s="13" t="s">
        <v>837</v>
      </c>
      <c r="B8" s="14" t="n">
        <v>1</v>
      </c>
      <c r="C8" s="15" t="s">
        <v>230</v>
      </c>
      <c r="D8" s="16" t="s">
        <v>226</v>
      </c>
      <c r="E8" s="17"/>
      <c r="F8" s="17"/>
      <c r="G8" s="23" t="n">
        <f aca="false">B8/0.3048</f>
        <v>3.28083989501312</v>
      </c>
      <c r="H8" s="17"/>
      <c r="I8" s="19"/>
    </row>
    <row r="9" customFormat="false" ht="15" hidden="false" customHeight="false" outlineLevel="0" collapsed="false">
      <c r="A9" s="13" t="s">
        <v>838</v>
      </c>
      <c r="B9" s="14" t="n">
        <v>1.1</v>
      </c>
      <c r="C9" s="15" t="s">
        <v>230</v>
      </c>
      <c r="D9" s="16" t="s">
        <v>226</v>
      </c>
      <c r="E9" s="17"/>
      <c r="F9" s="17"/>
      <c r="G9" s="23" t="n">
        <f aca="false">B9/0.3048</f>
        <v>3.60892388451444</v>
      </c>
      <c r="H9" s="17"/>
      <c r="I9" s="19"/>
    </row>
    <row r="10" customFormat="false" ht="15" hidden="false" customHeight="false" outlineLevel="0" collapsed="false">
      <c r="A10" s="13" t="s">
        <v>839</v>
      </c>
      <c r="B10" s="14" t="n">
        <v>0.9</v>
      </c>
      <c r="C10" s="15" t="s">
        <v>230</v>
      </c>
      <c r="D10" s="16" t="s">
        <v>226</v>
      </c>
      <c r="E10" s="17"/>
      <c r="F10" s="17"/>
      <c r="G10" s="23" t="n">
        <f aca="false">B10/0.3048</f>
        <v>2.95275590551181</v>
      </c>
      <c r="H10" s="17"/>
      <c r="I10" s="19"/>
    </row>
    <row r="11" customFormat="false" ht="15" hidden="false" customHeight="false" outlineLevel="0" collapsed="false">
      <c r="A11" s="13" t="s">
        <v>840</v>
      </c>
      <c r="B11" s="14" t="n">
        <v>3.2</v>
      </c>
      <c r="C11" s="15" t="s">
        <v>230</v>
      </c>
      <c r="D11" s="16" t="s">
        <v>226</v>
      </c>
      <c r="E11" s="17"/>
      <c r="F11" s="17"/>
      <c r="G11" s="23" t="n">
        <f aca="false">B11/0.3048</f>
        <v>10.498687664042</v>
      </c>
      <c r="H11" s="17"/>
      <c r="I11" s="19"/>
    </row>
    <row r="12" customFormat="false" ht="15" hidden="false" customHeight="false" outlineLevel="0" collapsed="false">
      <c r="A12" s="13" t="s">
        <v>841</v>
      </c>
      <c r="B12" s="20" t="n">
        <f aca="false">$B$8-$B$9</f>
        <v>-0.1</v>
      </c>
      <c r="C12" s="15" t="s">
        <v>230</v>
      </c>
      <c r="D12" s="21"/>
      <c r="E12" s="15" t="n">
        <v>-0.1</v>
      </c>
      <c r="F12" s="22" t="str">
        <f aca="false">IF(ABS(B12-E12)&lt;=H12,"OK","CHECK")</f>
        <v>OK</v>
      </c>
      <c r="G12" s="23" t="n">
        <f aca="false">B12/0.3048</f>
        <v>-0.328083989501313</v>
      </c>
      <c r="H12" s="24" t="n">
        <v>1E-009</v>
      </c>
      <c r="I12" s="19"/>
    </row>
    <row r="13" customFormat="false" ht="15" hidden="false" customHeight="false" outlineLevel="0" collapsed="false">
      <c r="A13" s="13" t="s">
        <v>842</v>
      </c>
      <c r="B13" s="20" t="n">
        <f aca="false">$B$9-$B$10</f>
        <v>0.2</v>
      </c>
      <c r="C13" s="15" t="s">
        <v>230</v>
      </c>
      <c r="D13" s="21"/>
      <c r="E13" s="15" t="n">
        <v>0.2</v>
      </c>
      <c r="F13" s="22" t="str">
        <f aca="false">IF(ABS(B13-E13)&lt;=H13,"OK","CHECK")</f>
        <v>OK</v>
      </c>
      <c r="G13" s="23" t="n">
        <f aca="false">B13/0.3048</f>
        <v>0.656167979002625</v>
      </c>
      <c r="H13" s="24" t="n">
        <v>1E-009</v>
      </c>
      <c r="I13" s="19"/>
    </row>
    <row r="14" customFormat="false" ht="15" hidden="false" customHeight="false" outlineLevel="0" collapsed="false">
      <c r="A14" s="13" t="s">
        <v>843</v>
      </c>
      <c r="B14" s="20" t="n">
        <f aca="false">$B$10+$B$11</f>
        <v>4.1</v>
      </c>
      <c r="C14" s="15" t="s">
        <v>230</v>
      </c>
      <c r="D14" s="21"/>
      <c r="E14" s="15" t="n">
        <v>4.1</v>
      </c>
      <c r="F14" s="22" t="str">
        <f aca="false">IF(ABS(B14-E14)&lt;=H14,"OK","CHECK")</f>
        <v>OK</v>
      </c>
      <c r="G14" s="23" t="n">
        <f aca="false">B14/0.3048</f>
        <v>13.4514435695538</v>
      </c>
      <c r="H14" s="24" t="n">
        <v>1E-009</v>
      </c>
      <c r="I14" s="19"/>
    </row>
    <row r="15" customFormat="false" ht="15" hidden="false" customHeight="false" outlineLevel="0" collapsed="false">
      <c r="A15" s="13" t="s">
        <v>844</v>
      </c>
      <c r="B15" s="20" t="n">
        <f aca="false">(3*$B$12+2*$B$13+$B$14)/4</f>
        <v>1.05</v>
      </c>
      <c r="C15" s="15" t="s">
        <v>230</v>
      </c>
      <c r="D15" s="21" t="s">
        <v>845</v>
      </c>
      <c r="E15" s="15" t="n">
        <v>1.05</v>
      </c>
      <c r="F15" s="22" t="str">
        <f aca="false">IF(ABS(B15-E15)&lt;=H15,"OK","CHECK")</f>
        <v>OK</v>
      </c>
      <c r="G15" s="23" t="n">
        <f aca="false">B15/0.3048</f>
        <v>3.44488188976378</v>
      </c>
      <c r="H15" s="24" t="n">
        <v>1E-006</v>
      </c>
      <c r="I15" s="19"/>
    </row>
    <row r="16" customFormat="false" ht="15" hidden="false" customHeight="false" outlineLevel="0" collapsed="false">
      <c r="A16" s="13" t="s">
        <v>846</v>
      </c>
      <c r="B16" s="20" t="n">
        <f aca="false">(2*$B$12+4*$B$13+2*$B$14)/4</f>
        <v>2.2</v>
      </c>
      <c r="C16" s="15" t="s">
        <v>230</v>
      </c>
      <c r="D16" s="21"/>
      <c r="E16" s="15" t="n">
        <v>2.2</v>
      </c>
      <c r="F16" s="22" t="str">
        <f aca="false">IF(ABS(B16-E16)&lt;=H16,"OK","CHECK")</f>
        <v>OK</v>
      </c>
      <c r="G16" s="23" t="n">
        <f aca="false">B16/0.3048</f>
        <v>7.21784776902887</v>
      </c>
      <c r="H16" s="24" t="n">
        <v>1E-006</v>
      </c>
      <c r="I16" s="19"/>
    </row>
    <row r="17" customFormat="false" ht="15" hidden="false" customHeight="false" outlineLevel="0" collapsed="false">
      <c r="A17" s="13" t="s">
        <v>847</v>
      </c>
      <c r="B17" s="20" t="n">
        <f aca="false">($B$12+2*$B$13+3*$B$14)/4</f>
        <v>3.15</v>
      </c>
      <c r="C17" s="15" t="s">
        <v>230</v>
      </c>
      <c r="D17" s="21"/>
      <c r="E17" s="15" t="n">
        <v>3.15</v>
      </c>
      <c r="F17" s="22" t="str">
        <f aca="false">IF(ABS(B17-E17)&lt;=H17,"OK","CHECK")</f>
        <v>OK</v>
      </c>
      <c r="G17" s="23" t="n">
        <f aca="false">B17/0.3048</f>
        <v>10.3346456692913</v>
      </c>
      <c r="H17" s="24" t="n">
        <v>1E-006</v>
      </c>
      <c r="I17" s="19"/>
    </row>
    <row r="18" customFormat="false" ht="15" hidden="false" customHeight="false" outlineLevel="0" collapsed="false">
      <c r="A18" s="13" t="s">
        <v>848</v>
      </c>
      <c r="B18" s="20" t="n">
        <f aca="false">$B$15-$B$8</f>
        <v>0.05</v>
      </c>
      <c r="C18" s="15" t="s">
        <v>230</v>
      </c>
      <c r="D18" s="21"/>
      <c r="E18" s="15" t="n">
        <v>0.05</v>
      </c>
      <c r="F18" s="22" t="str">
        <f aca="false">IF(ABS(B18-E18)&lt;=H18,"OK","CHECK")</f>
        <v>OK</v>
      </c>
      <c r="G18" s="23" t="n">
        <f aca="false">B18/0.3048</f>
        <v>0.164041994750656</v>
      </c>
      <c r="H18" s="24" t="n">
        <v>1E-006</v>
      </c>
      <c r="I18" s="19"/>
    </row>
    <row r="19" customFormat="false" ht="15" hidden="false" customHeight="false" outlineLevel="0" collapsed="false">
      <c r="A19" s="13" t="s">
        <v>849</v>
      </c>
      <c r="B19" s="20" t="n">
        <f aca="false">$B$16-$B$15-$B$9</f>
        <v>0.05</v>
      </c>
      <c r="C19" s="15" t="s">
        <v>230</v>
      </c>
      <c r="D19" s="21"/>
      <c r="E19" s="15" t="n">
        <v>0.05</v>
      </c>
      <c r="F19" s="22" t="str">
        <f aca="false">IF(ABS(B19-E19)&lt;=H19,"OK","CHECK")</f>
        <v>OK</v>
      </c>
      <c r="G19" s="23" t="n">
        <f aca="false">B19/0.3048</f>
        <v>0.164041994750656</v>
      </c>
      <c r="H19" s="24" t="n">
        <v>1E-006</v>
      </c>
      <c r="I19" s="19"/>
    </row>
    <row r="20" customFormat="false" ht="15" hidden="false" customHeight="false" outlineLevel="0" collapsed="false">
      <c r="A20" s="13" t="s">
        <v>850</v>
      </c>
      <c r="B20" s="20" t="n">
        <f aca="false">$B$17-$B$16-$B$10</f>
        <v>0.0500000000000002</v>
      </c>
      <c r="C20" s="15" t="s">
        <v>230</v>
      </c>
      <c r="D20" s="21"/>
      <c r="E20" s="15" t="n">
        <v>0.05</v>
      </c>
      <c r="F20" s="22" t="str">
        <f aca="false">IF(ABS(B20-E20)&lt;=H20,"OK","CHECK")</f>
        <v>OK</v>
      </c>
      <c r="G20" s="23" t="n">
        <f aca="false">B20/0.3048</f>
        <v>0.164041994750657</v>
      </c>
      <c r="H20" s="24" t="n">
        <v>1E-006</v>
      </c>
      <c r="I20" s="19"/>
    </row>
    <row r="21" customFormat="false" ht="15" hidden="false" customHeight="false" outlineLevel="0" collapsed="false">
      <c r="A21" s="13" t="s">
        <v>851</v>
      </c>
      <c r="B21" s="20" t="n">
        <f aca="false">$B$17-$B$11</f>
        <v>-0.0499999999999998</v>
      </c>
      <c r="C21" s="15" t="s">
        <v>230</v>
      </c>
      <c r="D21" s="21"/>
      <c r="E21" s="15" t="n">
        <v>-0.05</v>
      </c>
      <c r="F21" s="22" t="str">
        <f aca="false">IF(ABS(B21-E21)&lt;=H21,"OK","CHECK")</f>
        <v>OK</v>
      </c>
      <c r="G21" s="23" t="n">
        <f aca="false">B21/0.3048</f>
        <v>-0.164041994750656</v>
      </c>
      <c r="H21" s="24" t="n">
        <v>1E-006</v>
      </c>
      <c r="I21" s="19"/>
    </row>
    <row r="22" customFormat="false" ht="15" hidden="false" customHeight="false" outlineLevel="0" collapsed="false">
      <c r="A22" s="13" t="s">
        <v>852</v>
      </c>
      <c r="B22" s="20" t="n">
        <f aca="false">ABS($B$8+$B$9+$B$10-$B$11)</f>
        <v>0.2</v>
      </c>
      <c r="C22" s="15" t="s">
        <v>230</v>
      </c>
      <c r="D22" s="21" t="s">
        <v>853</v>
      </c>
      <c r="E22" s="15" t="n">
        <v>0.2</v>
      </c>
      <c r="F22" s="22" t="str">
        <f aca="false">IF(ABS(B22-E22)&lt;=H22,"OK","CHECK")</f>
        <v>OK</v>
      </c>
      <c r="G22" s="23" t="n">
        <f aca="false">B22/0.3048</f>
        <v>0.656167979002625</v>
      </c>
      <c r="H22" s="24" t="n">
        <v>1E-006</v>
      </c>
      <c r="I22" s="19"/>
    </row>
    <row r="23" customFormat="false" ht="15" hidden="false" customHeight="false" outlineLevel="0" collapsed="false">
      <c r="A23" s="2"/>
      <c r="B23" s="2"/>
      <c r="C23" s="2"/>
      <c r="D23" s="2"/>
      <c r="E23" s="2"/>
      <c r="F23" s="2"/>
      <c r="G23" s="2"/>
      <c r="H23" s="2"/>
      <c r="I23" s="2"/>
    </row>
    <row r="24" customFormat="false" ht="15" hidden="false" customHeight="false" outlineLevel="0" collapsed="false">
      <c r="A24" s="10" t="s">
        <v>854</v>
      </c>
      <c r="B24" s="11"/>
      <c r="C24" s="11"/>
      <c r="D24" s="11"/>
      <c r="E24" s="11"/>
      <c r="F24" s="11"/>
      <c r="G24" s="11"/>
      <c r="H24" s="11"/>
      <c r="I24" s="11"/>
    </row>
    <row r="25" customFormat="false" ht="15" hidden="false" customHeight="true" outlineLevel="0" collapsed="false">
      <c r="A25" s="12" t="s">
        <v>855</v>
      </c>
      <c r="B25" s="12"/>
      <c r="C25" s="12"/>
      <c r="D25" s="12"/>
      <c r="E25" s="12"/>
      <c r="F25" s="12"/>
      <c r="G25" s="12"/>
      <c r="H25" s="12"/>
      <c r="I25" s="12"/>
    </row>
    <row r="26" customFormat="false" ht="15" hidden="false" customHeight="false" outlineLevel="0" collapsed="false">
      <c r="A26" s="13" t="s">
        <v>856</v>
      </c>
      <c r="B26" s="14" t="n">
        <v>10</v>
      </c>
      <c r="C26" s="15" t="s">
        <v>228</v>
      </c>
      <c r="D26" s="16" t="s">
        <v>226</v>
      </c>
      <c r="E26" s="17"/>
      <c r="F26" s="17"/>
      <c r="G26" s="17"/>
      <c r="H26" s="17"/>
      <c r="I26" s="19"/>
    </row>
    <row r="27" customFormat="false" ht="15" hidden="false" customHeight="false" outlineLevel="0" collapsed="false">
      <c r="A27" s="13" t="s">
        <v>857</v>
      </c>
      <c r="B27" s="14" t="n">
        <v>100</v>
      </c>
      <c r="C27" s="15" t="s">
        <v>230</v>
      </c>
      <c r="D27" s="16" t="s">
        <v>226</v>
      </c>
      <c r="E27" s="17"/>
      <c r="F27" s="17"/>
      <c r="G27" s="23" t="n">
        <f aca="false">B27/0.3048</f>
        <v>328.083989501312</v>
      </c>
      <c r="H27" s="17"/>
      <c r="I27" s="19"/>
    </row>
    <row r="28" customFormat="false" ht="15" hidden="false" customHeight="false" outlineLevel="0" collapsed="false">
      <c r="A28" s="13" t="s">
        <v>858</v>
      </c>
      <c r="B28" s="14" t="n">
        <v>200</v>
      </c>
      <c r="C28" s="15" t="s">
        <v>230</v>
      </c>
      <c r="D28" s="16" t="s">
        <v>226</v>
      </c>
      <c r="E28" s="17"/>
      <c r="F28" s="17"/>
      <c r="G28" s="23" t="n">
        <f aca="false">B28/0.3048</f>
        <v>656.167979002625</v>
      </c>
      <c r="H28" s="17"/>
      <c r="I28" s="19"/>
    </row>
    <row r="29" customFormat="false" ht="15" hidden="false" customHeight="false" outlineLevel="0" collapsed="false">
      <c r="A29" s="13" t="s">
        <v>859</v>
      </c>
      <c r="B29" s="14" t="n">
        <v>30</v>
      </c>
      <c r="C29" s="15" t="s">
        <v>238</v>
      </c>
      <c r="D29" s="16" t="s">
        <v>226</v>
      </c>
      <c r="E29" s="17"/>
      <c r="F29" s="17"/>
      <c r="G29" s="17"/>
      <c r="H29" s="17"/>
      <c r="I29" s="19"/>
    </row>
    <row r="30" customFormat="false" ht="15" hidden="false" customHeight="false" outlineLevel="0" collapsed="false">
      <c r="A30" s="13" t="s">
        <v>860</v>
      </c>
      <c r="B30" s="14" t="n">
        <v>10.1</v>
      </c>
      <c r="C30" s="15" t="s">
        <v>228</v>
      </c>
      <c r="D30" s="16" t="s">
        <v>226</v>
      </c>
      <c r="E30" s="17"/>
      <c r="F30" s="17"/>
      <c r="G30" s="17"/>
      <c r="H30" s="17"/>
      <c r="I30" s="19"/>
    </row>
    <row r="31" customFormat="false" ht="15" hidden="false" customHeight="false" outlineLevel="0" collapsed="false">
      <c r="A31" s="13" t="s">
        <v>861</v>
      </c>
      <c r="B31" s="14" t="n">
        <v>101.5</v>
      </c>
      <c r="C31" s="15" t="s">
        <v>230</v>
      </c>
      <c r="D31" s="16" t="s">
        <v>226</v>
      </c>
      <c r="E31" s="17"/>
      <c r="F31" s="17"/>
      <c r="G31" s="23" t="n">
        <f aca="false">B31/0.3048</f>
        <v>333.005249343832</v>
      </c>
      <c r="H31" s="17"/>
      <c r="I31" s="19"/>
    </row>
    <row r="32" customFormat="false" ht="15" hidden="false" customHeight="false" outlineLevel="0" collapsed="false">
      <c r="A32" s="13" t="s">
        <v>862</v>
      </c>
      <c r="B32" s="14" t="n">
        <v>200.1</v>
      </c>
      <c r="C32" s="15" t="s">
        <v>230</v>
      </c>
      <c r="D32" s="16" t="s">
        <v>226</v>
      </c>
      <c r="E32" s="17"/>
      <c r="F32" s="17"/>
      <c r="G32" s="23" t="n">
        <f aca="false">B32/0.3048</f>
        <v>656.496062992126</v>
      </c>
      <c r="H32" s="17"/>
      <c r="I32" s="19"/>
    </row>
    <row r="33" customFormat="false" ht="15" hidden="false" customHeight="false" outlineLevel="0" collapsed="false">
      <c r="A33" s="13" t="s">
        <v>863</v>
      </c>
      <c r="B33" s="14" t="n">
        <v>31</v>
      </c>
      <c r="C33" s="15" t="s">
        <v>238</v>
      </c>
      <c r="D33" s="16" t="s">
        <v>226</v>
      </c>
      <c r="E33" s="17"/>
      <c r="F33" s="17"/>
      <c r="G33" s="17"/>
      <c r="H33" s="17"/>
      <c r="I33" s="19"/>
    </row>
    <row r="34" customFormat="false" ht="15" hidden="false" customHeight="false" outlineLevel="0" collapsed="false">
      <c r="A34" s="13" t="s">
        <v>864</v>
      </c>
      <c r="B34" s="14" t="n">
        <v>10.04</v>
      </c>
      <c r="C34" s="15" t="s">
        <v>228</v>
      </c>
      <c r="D34" s="16" t="s">
        <v>226</v>
      </c>
      <c r="E34" s="17"/>
      <c r="F34" s="17"/>
      <c r="G34" s="17"/>
      <c r="H34" s="17"/>
      <c r="I34" s="19"/>
    </row>
    <row r="35" customFormat="false" ht="15" hidden="false" customHeight="false" outlineLevel="0" collapsed="false">
      <c r="A35" s="13" t="s">
        <v>865</v>
      </c>
      <c r="B35" s="20" t="n">
        <f aca="false">($B$34-$B$26)/($B$30-$B$26)</f>
        <v>0.399999999999993</v>
      </c>
      <c r="C35" s="15"/>
      <c r="D35" s="21" t="s">
        <v>866</v>
      </c>
      <c r="E35" s="15" t="n">
        <v>0.4</v>
      </c>
      <c r="F35" s="22" t="str">
        <f aca="false">IF(ABS(B35-E35)&lt;=H35,"OK","CHECK")</f>
        <v>OK</v>
      </c>
      <c r="G35" s="17"/>
      <c r="H35" s="24" t="n">
        <v>1E-006</v>
      </c>
      <c r="I35" s="19"/>
    </row>
    <row r="36" customFormat="false" ht="15" hidden="false" customHeight="false" outlineLevel="0" collapsed="false">
      <c r="A36" s="13" t="s">
        <v>867</v>
      </c>
      <c r="B36" s="28" t="n">
        <f aca="false">$B$27+$B$35*($B$31-$B$27)</f>
        <v>100.6</v>
      </c>
      <c r="C36" s="15" t="s">
        <v>230</v>
      </c>
      <c r="D36" s="21" t="s">
        <v>868</v>
      </c>
      <c r="E36" s="15" t="n">
        <v>100.6</v>
      </c>
      <c r="F36" s="22" t="str">
        <f aca="false">IF(ABS(B36-E36)&lt;=H36,"OK","CHECK")</f>
        <v>OK</v>
      </c>
      <c r="G36" s="23" t="n">
        <f aca="false">B36/0.3048</f>
        <v>330.05249343832</v>
      </c>
      <c r="H36" s="24" t="n">
        <v>0.005</v>
      </c>
      <c r="I36" s="19"/>
    </row>
    <row r="37" customFormat="false" ht="15" hidden="false" customHeight="false" outlineLevel="0" collapsed="false">
      <c r="A37" s="13" t="s">
        <v>869</v>
      </c>
      <c r="B37" s="28" t="n">
        <f aca="false">$B$28+$B$35*($B$32-$B$28)</f>
        <v>200.04</v>
      </c>
      <c r="C37" s="15" t="s">
        <v>230</v>
      </c>
      <c r="D37" s="21"/>
      <c r="E37" s="15" t="n">
        <v>200.04</v>
      </c>
      <c r="F37" s="22" t="str">
        <f aca="false">IF(ABS(B37-E37)&lt;=H37,"OK","CHECK")</f>
        <v>OK</v>
      </c>
      <c r="G37" s="23" t="n">
        <f aca="false">B37/0.3048</f>
        <v>656.299212598425</v>
      </c>
      <c r="H37" s="24" t="n">
        <v>0.005</v>
      </c>
      <c r="I37" s="19"/>
    </row>
    <row r="38" customFormat="false" ht="15" hidden="false" customHeight="false" outlineLevel="0" collapsed="false">
      <c r="A38" s="13" t="s">
        <v>870</v>
      </c>
      <c r="B38" s="28" t="n">
        <f aca="false">$B$29+$B$35*($B$33-$B$29)</f>
        <v>30.4</v>
      </c>
      <c r="C38" s="15" t="s">
        <v>238</v>
      </c>
      <c r="D38" s="21"/>
      <c r="E38" s="15" t="n">
        <v>30.4</v>
      </c>
      <c r="F38" s="22" t="str">
        <f aca="false">IF(ABS(B38-E38)&lt;=H38,"OK","CHECK")</f>
        <v>OK</v>
      </c>
      <c r="G38" s="17"/>
      <c r="H38" s="24" t="n">
        <v>0.005</v>
      </c>
      <c r="I38" s="19"/>
    </row>
    <row r="39" customFormat="false" ht="15" hidden="false" customHeight="false" outlineLevel="0" collapsed="false">
      <c r="A39" s="2"/>
      <c r="B39" s="2"/>
      <c r="C39" s="2"/>
      <c r="D39" s="2"/>
      <c r="E39" s="2"/>
      <c r="F39" s="2"/>
      <c r="G39" s="2"/>
      <c r="H39" s="2"/>
      <c r="I39" s="2"/>
    </row>
    <row r="40" customFormat="false" ht="15" hidden="false" customHeight="false" outlineLevel="0" collapsed="false">
      <c r="A40" s="10" t="s">
        <v>871</v>
      </c>
      <c r="B40" s="11"/>
      <c r="C40" s="11"/>
      <c r="D40" s="11"/>
      <c r="E40" s="11"/>
      <c r="F40" s="11"/>
      <c r="G40" s="11"/>
      <c r="H40" s="11"/>
      <c r="I40" s="11"/>
    </row>
    <row r="41" customFormat="false" ht="15" hidden="false" customHeight="true" outlineLevel="0" collapsed="false">
      <c r="A41" s="12" t="s">
        <v>872</v>
      </c>
      <c r="B41" s="12"/>
      <c r="C41" s="12"/>
      <c r="D41" s="12"/>
      <c r="E41" s="12"/>
      <c r="F41" s="12"/>
      <c r="G41" s="12"/>
      <c r="H41" s="12"/>
      <c r="I41" s="12"/>
    </row>
    <row r="42" customFormat="false" ht="15" hidden="false" customHeight="false" outlineLevel="0" collapsed="false">
      <c r="A42" s="13" t="s">
        <v>873</v>
      </c>
      <c r="B42" s="14" t="n">
        <v>0.1</v>
      </c>
      <c r="C42" s="15" t="s">
        <v>238</v>
      </c>
      <c r="D42" s="16" t="s">
        <v>226</v>
      </c>
      <c r="E42" s="17"/>
      <c r="F42" s="17"/>
      <c r="G42" s="17"/>
      <c r="H42" s="17"/>
      <c r="I42" s="19"/>
    </row>
    <row r="43" customFormat="false" ht="15" hidden="false" customHeight="false" outlineLevel="0" collapsed="false">
      <c r="A43" s="13" t="s">
        <v>329</v>
      </c>
      <c r="B43" s="14" t="n">
        <v>20</v>
      </c>
      <c r="C43" s="15" t="s">
        <v>230</v>
      </c>
      <c r="D43" s="16" t="s">
        <v>226</v>
      </c>
      <c r="E43" s="17"/>
      <c r="F43" s="17"/>
      <c r="G43" s="23" t="n">
        <f aca="false">B43/0.3048</f>
        <v>65.6167979002625</v>
      </c>
      <c r="H43" s="17"/>
      <c r="I43" s="19"/>
    </row>
    <row r="44" customFormat="false" ht="15" hidden="false" customHeight="false" outlineLevel="0" collapsed="false">
      <c r="A44" s="13" t="s">
        <v>874</v>
      </c>
      <c r="B44" s="14" t="n">
        <v>0.005</v>
      </c>
      <c r="C44" s="15" t="s">
        <v>228</v>
      </c>
      <c r="D44" s="16" t="s">
        <v>226</v>
      </c>
      <c r="E44" s="17"/>
      <c r="F44" s="17"/>
      <c r="G44" s="17"/>
      <c r="H44" s="17"/>
      <c r="I44" s="19"/>
    </row>
    <row r="45" customFormat="false" ht="15" hidden="false" customHeight="false" outlineLevel="0" collapsed="false">
      <c r="A45" s="13" t="s">
        <v>414</v>
      </c>
      <c r="B45" s="14" t="n">
        <v>10</v>
      </c>
      <c r="C45" s="15" t="s">
        <v>225</v>
      </c>
      <c r="D45" s="16" t="s">
        <v>226</v>
      </c>
      <c r="E45" s="17"/>
      <c r="F45" s="17"/>
      <c r="G45" s="18" t="n">
        <f aca="false">B45/0.3048</f>
        <v>32.8083989501312</v>
      </c>
      <c r="H45" s="17"/>
      <c r="I45" s="19"/>
    </row>
    <row r="46" customFormat="false" ht="15" hidden="false" customHeight="false" outlineLevel="0" collapsed="false">
      <c r="A46" s="13" t="s">
        <v>875</v>
      </c>
      <c r="B46" s="20" t="n">
        <f aca="false">$B$43*RADIANS($B$42)</f>
        <v>0.0349065850398866</v>
      </c>
      <c r="C46" s="15" t="s">
        <v>230</v>
      </c>
      <c r="D46" s="21" t="s">
        <v>563</v>
      </c>
      <c r="E46" s="15" t="n">
        <v>0.035</v>
      </c>
      <c r="F46" s="22" t="str">
        <f aca="false">IF(ABS(B46-E46)&lt;=H46,"OK","CHECK")</f>
        <v>OK</v>
      </c>
      <c r="G46" s="23" t="n">
        <f aca="false">B46/0.3048</f>
        <v>0.114522916797528</v>
      </c>
      <c r="H46" s="24" t="n">
        <v>0.0005</v>
      </c>
      <c r="I46" s="19"/>
    </row>
    <row r="47" customFormat="false" ht="15" hidden="false" customHeight="false" outlineLevel="0" collapsed="false">
      <c r="A47" s="13" t="s">
        <v>876</v>
      </c>
      <c r="B47" s="20" t="n">
        <f aca="false">$B$45*$B$44</f>
        <v>0.05</v>
      </c>
      <c r="C47" s="15" t="s">
        <v>230</v>
      </c>
      <c r="D47" s="21" t="s">
        <v>544</v>
      </c>
      <c r="E47" s="15" t="n">
        <v>0.05</v>
      </c>
      <c r="F47" s="22" t="str">
        <f aca="false">IF(ABS(B47-E47)&lt;=H47,"OK","CHECK")</f>
        <v>OK</v>
      </c>
      <c r="G47" s="23" t="n">
        <f aca="false">B47/0.3048</f>
        <v>0.164041994750656</v>
      </c>
      <c r="H47" s="24" t="n">
        <v>1E-006</v>
      </c>
      <c r="I47" s="19"/>
    </row>
  </sheetData>
  <mergeCells count="3">
    <mergeCell ref="A7:I7"/>
    <mergeCell ref="A25:I25"/>
    <mergeCell ref="A41:I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877</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878</v>
      </c>
      <c r="B6" s="11"/>
      <c r="C6" s="11"/>
      <c r="D6" s="11"/>
      <c r="E6" s="11"/>
      <c r="F6" s="11"/>
      <c r="G6" s="11"/>
      <c r="H6" s="11"/>
      <c r="I6" s="11"/>
    </row>
    <row r="7" customFormat="false" ht="15" hidden="false" customHeight="true" outlineLevel="0" collapsed="false">
      <c r="A7" s="12" t="s">
        <v>879</v>
      </c>
      <c r="B7" s="12"/>
      <c r="C7" s="12"/>
      <c r="D7" s="12"/>
      <c r="E7" s="12"/>
      <c r="F7" s="12"/>
      <c r="G7" s="12"/>
      <c r="H7" s="12"/>
      <c r="I7" s="12"/>
    </row>
    <row r="8" customFormat="false" ht="15" hidden="false" customHeight="false" outlineLevel="0" collapsed="false">
      <c r="A8" s="13" t="s">
        <v>880</v>
      </c>
      <c r="B8" s="14" t="n">
        <v>2.1</v>
      </c>
      <c r="C8" s="15" t="s">
        <v>300</v>
      </c>
      <c r="D8" s="16" t="s">
        <v>226</v>
      </c>
      <c r="E8" s="17"/>
      <c r="F8" s="17"/>
      <c r="G8" s="23" t="n">
        <f aca="false">B8/30.48</f>
        <v>0.0688976377952756</v>
      </c>
      <c r="H8" s="17"/>
      <c r="I8" s="19"/>
    </row>
    <row r="9" customFormat="false" ht="15" hidden="false" customHeight="false" outlineLevel="0" collapsed="false">
      <c r="A9" s="13" t="s">
        <v>881</v>
      </c>
      <c r="B9" s="14" t="n">
        <v>-3.4</v>
      </c>
      <c r="C9" s="15" t="s">
        <v>300</v>
      </c>
      <c r="D9" s="16" t="s">
        <v>226</v>
      </c>
      <c r="E9" s="17"/>
      <c r="F9" s="17"/>
      <c r="G9" s="23" t="n">
        <f aca="false">B9/30.48</f>
        <v>-0.111548556430446</v>
      </c>
      <c r="H9" s="17"/>
      <c r="I9" s="19"/>
    </row>
    <row r="10" customFormat="false" ht="15" hidden="false" customHeight="false" outlineLevel="0" collapsed="false">
      <c r="A10" s="13" t="s">
        <v>882</v>
      </c>
      <c r="B10" s="14" t="n">
        <v>1.2</v>
      </c>
      <c r="C10" s="15" t="s">
        <v>300</v>
      </c>
      <c r="D10" s="16" t="s">
        <v>226</v>
      </c>
      <c r="E10" s="17"/>
      <c r="F10" s="17"/>
      <c r="G10" s="23" t="n">
        <f aca="false">B10/30.48</f>
        <v>0.0393700787401575</v>
      </c>
      <c r="H10" s="17"/>
      <c r="I10" s="19"/>
    </row>
    <row r="11" customFormat="false" ht="15" hidden="false" customHeight="false" outlineLevel="0" collapsed="false">
      <c r="A11" s="13" t="s">
        <v>883</v>
      </c>
      <c r="B11" s="14" t="n">
        <v>4.5</v>
      </c>
      <c r="C11" s="15" t="s">
        <v>300</v>
      </c>
      <c r="D11" s="16" t="s">
        <v>226</v>
      </c>
      <c r="E11" s="17"/>
      <c r="F11" s="17"/>
      <c r="G11" s="23" t="n">
        <f aca="false">B11/30.48</f>
        <v>0.147637795275591</v>
      </c>
      <c r="H11" s="17"/>
      <c r="I11" s="19"/>
    </row>
    <row r="12" customFormat="false" ht="15" hidden="false" customHeight="false" outlineLevel="0" collapsed="false">
      <c r="A12" s="13" t="s">
        <v>884</v>
      </c>
      <c r="B12" s="14" t="n">
        <v>-0.8</v>
      </c>
      <c r="C12" s="15" t="s">
        <v>300</v>
      </c>
      <c r="D12" s="16" t="s">
        <v>226</v>
      </c>
      <c r="E12" s="17"/>
      <c r="F12" s="17"/>
      <c r="G12" s="23" t="n">
        <f aca="false">B12/30.48</f>
        <v>-0.026246719160105</v>
      </c>
      <c r="H12" s="17"/>
      <c r="I12" s="19"/>
    </row>
    <row r="13" customFormat="false" ht="15" hidden="false" customHeight="false" outlineLevel="0" collapsed="false">
      <c r="A13" s="13" t="s">
        <v>885</v>
      </c>
      <c r="B13" s="14" t="n">
        <v>2.7</v>
      </c>
      <c r="C13" s="15" t="s">
        <v>300</v>
      </c>
      <c r="D13" s="16" t="s">
        <v>226</v>
      </c>
      <c r="E13" s="17"/>
      <c r="F13" s="17"/>
      <c r="G13" s="23" t="n">
        <f aca="false">B13/30.48</f>
        <v>0.0885826771653543</v>
      </c>
      <c r="H13" s="17"/>
      <c r="I13" s="19"/>
    </row>
    <row r="14" customFormat="false" ht="15" hidden="false" customHeight="false" outlineLevel="0" collapsed="false">
      <c r="A14" s="13" t="s">
        <v>886</v>
      </c>
      <c r="B14" s="14" t="n">
        <v>-1.9</v>
      </c>
      <c r="C14" s="15" t="s">
        <v>300</v>
      </c>
      <c r="D14" s="16" t="s">
        <v>226</v>
      </c>
      <c r="E14" s="17"/>
      <c r="F14" s="17"/>
      <c r="G14" s="23" t="n">
        <f aca="false">B14/30.48</f>
        <v>-0.0623359580052493</v>
      </c>
      <c r="H14" s="17"/>
      <c r="I14" s="19"/>
    </row>
    <row r="15" customFormat="false" ht="15" hidden="false" customHeight="false" outlineLevel="0" collapsed="false">
      <c r="A15" s="13" t="s">
        <v>887</v>
      </c>
      <c r="B15" s="14" t="n">
        <v>3.1</v>
      </c>
      <c r="C15" s="15" t="s">
        <v>300</v>
      </c>
      <c r="D15" s="16" t="s">
        <v>226</v>
      </c>
      <c r="E15" s="17"/>
      <c r="F15" s="17"/>
      <c r="G15" s="23" t="n">
        <f aca="false">B15/30.48</f>
        <v>0.101706036745407</v>
      </c>
      <c r="H15" s="17"/>
      <c r="I15" s="19"/>
    </row>
    <row r="16" customFormat="false" ht="15" hidden="false" customHeight="false" outlineLevel="0" collapsed="false">
      <c r="A16" s="13" t="s">
        <v>888</v>
      </c>
      <c r="B16" s="14" t="n">
        <v>0.4</v>
      </c>
      <c r="C16" s="15" t="s">
        <v>300</v>
      </c>
      <c r="D16" s="16" t="s">
        <v>226</v>
      </c>
      <c r="E16" s="17"/>
      <c r="F16" s="17"/>
      <c r="G16" s="23" t="n">
        <f aca="false">B16/30.48</f>
        <v>0.0131233595800525</v>
      </c>
      <c r="H16" s="17"/>
      <c r="I16" s="19"/>
    </row>
    <row r="17" customFormat="false" ht="15" hidden="false" customHeight="false" outlineLevel="0" collapsed="false">
      <c r="A17" s="13" t="s">
        <v>889</v>
      </c>
      <c r="B17" s="14" t="n">
        <v>-2.6</v>
      </c>
      <c r="C17" s="15" t="s">
        <v>300</v>
      </c>
      <c r="D17" s="16" t="s">
        <v>226</v>
      </c>
      <c r="E17" s="17"/>
      <c r="F17" s="17"/>
      <c r="G17" s="23" t="n">
        <f aca="false">B17/30.48</f>
        <v>-0.0853018372703412</v>
      </c>
      <c r="H17" s="17"/>
      <c r="I17" s="19"/>
    </row>
    <row r="18" customFormat="false" ht="15" hidden="false" customHeight="false" outlineLevel="0" collapsed="false">
      <c r="A18" s="13" t="s">
        <v>890</v>
      </c>
      <c r="B18" s="14" t="n">
        <v>1</v>
      </c>
      <c r="C18" s="15" t="s">
        <v>300</v>
      </c>
      <c r="D18" s="16" t="s">
        <v>226</v>
      </c>
      <c r="E18" s="17"/>
      <c r="F18" s="17"/>
      <c r="G18" s="23" t="n">
        <f aca="false">B18/30.48</f>
        <v>0.0328083989501312</v>
      </c>
      <c r="H18" s="17"/>
      <c r="I18" s="19"/>
    </row>
    <row r="19" customFormat="false" ht="15" hidden="false" customHeight="false" outlineLevel="0" collapsed="false">
      <c r="A19" s="13" t="s">
        <v>891</v>
      </c>
      <c r="B19" s="28" t="n">
        <f aca="false">SUM($B$8:$B$17)</f>
        <v>5.3</v>
      </c>
      <c r="C19" s="15" t="s">
        <v>300</v>
      </c>
      <c r="D19" s="21" t="s">
        <v>892</v>
      </c>
      <c r="E19" s="15" t="n">
        <v>5.3</v>
      </c>
      <c r="F19" s="22" t="str">
        <f aca="false">IF(ABS(B19-E19)&lt;=H19,"OK","CHECK")</f>
        <v>OK</v>
      </c>
      <c r="G19" s="23" t="n">
        <f aca="false">B19/30.48</f>
        <v>0.173884514435696</v>
      </c>
      <c r="H19" s="24" t="n">
        <v>1E-006</v>
      </c>
      <c r="I19" s="19"/>
    </row>
    <row r="20" customFormat="false" ht="15" hidden="false" customHeight="false" outlineLevel="0" collapsed="false">
      <c r="A20" s="13" t="s">
        <v>307</v>
      </c>
      <c r="B20" s="28" t="n">
        <f aca="false">AVERAGE($B$8:$B$17)</f>
        <v>0.53</v>
      </c>
      <c r="C20" s="15" t="s">
        <v>300</v>
      </c>
      <c r="D20" s="21" t="s">
        <v>893</v>
      </c>
      <c r="E20" s="15" t="n">
        <v>0.53</v>
      </c>
      <c r="F20" s="22" t="str">
        <f aca="false">IF(ABS(B20-E20)&lt;=H20,"OK","CHECK")</f>
        <v>OK</v>
      </c>
      <c r="G20" s="23" t="n">
        <f aca="false">B20/30.48</f>
        <v>0.0173884514435696</v>
      </c>
      <c r="H20" s="24" t="n">
        <v>1E-006</v>
      </c>
      <c r="I20" s="19"/>
    </row>
    <row r="21" customFormat="false" ht="15" hidden="false" customHeight="false" outlineLevel="0" collapsed="false">
      <c r="A21" s="13" t="s">
        <v>894</v>
      </c>
      <c r="B21" s="28" t="n">
        <f aca="false">SUMSQ($B$8:$B$17)</f>
        <v>65.73</v>
      </c>
      <c r="C21" s="15" t="s">
        <v>314</v>
      </c>
      <c r="D21" s="21" t="s">
        <v>895</v>
      </c>
      <c r="E21" s="15" t="n">
        <v>65.73</v>
      </c>
      <c r="F21" s="22" t="str">
        <f aca="false">IF(ABS(B21-E21)&lt;=H21,"OK","CHECK")</f>
        <v>OK</v>
      </c>
      <c r="G21" s="17"/>
      <c r="H21" s="24" t="n">
        <v>1E-006</v>
      </c>
      <c r="I21" s="19"/>
    </row>
    <row r="22" customFormat="false" ht="15" hidden="false" customHeight="false" outlineLevel="0" collapsed="false">
      <c r="A22" s="13" t="s">
        <v>896</v>
      </c>
      <c r="B22" s="28" t="n">
        <f aca="false">SQRT($B$21/COUNT($B$8:$B$17))</f>
        <v>2.56378626254218</v>
      </c>
      <c r="C22" s="15" t="s">
        <v>300</v>
      </c>
      <c r="D22" s="21" t="s">
        <v>897</v>
      </c>
      <c r="E22" s="15" t="n">
        <v>2.56</v>
      </c>
      <c r="F22" s="22" t="str">
        <f aca="false">IF(ABS(B22-E22)&lt;=H22,"OK","CHECK")</f>
        <v>OK</v>
      </c>
      <c r="G22" s="23" t="n">
        <f aca="false">B22/30.48</f>
        <v>0.0841137225243497</v>
      </c>
      <c r="H22" s="24" t="n">
        <v>0.005</v>
      </c>
      <c r="I22" s="19"/>
    </row>
    <row r="23" customFormat="false" ht="15" hidden="false" customHeight="false" outlineLevel="0" collapsed="false">
      <c r="A23" s="13" t="s">
        <v>898</v>
      </c>
      <c r="B23" s="28" t="n">
        <f aca="false">STDEV($B$8:$B$17)</f>
        <v>2.64409194662784</v>
      </c>
      <c r="C23" s="15" t="s">
        <v>300</v>
      </c>
      <c r="D23" s="21"/>
      <c r="E23" s="15" t="n">
        <v>2.64</v>
      </c>
      <c r="F23" s="22" t="str">
        <f aca="false">IF(ABS(B23-E23)&lt;=H23,"OK","CHECK")</f>
        <v>OK</v>
      </c>
      <c r="G23" s="23" t="n">
        <f aca="false">B23/30.48</f>
        <v>0.0867484234457954</v>
      </c>
      <c r="H23" s="24" t="n">
        <v>0.005</v>
      </c>
      <c r="I23" s="19"/>
    </row>
    <row r="24" customFormat="false" ht="15" hidden="false" customHeight="false" outlineLevel="0" collapsed="false">
      <c r="A24" s="13" t="s">
        <v>899</v>
      </c>
      <c r="B24" s="28" t="n">
        <f aca="false">SQRT($B$22^2+$B$18^2)</f>
        <v>2.75190842870907</v>
      </c>
      <c r="C24" s="15" t="s">
        <v>300</v>
      </c>
      <c r="D24" s="21" t="s">
        <v>900</v>
      </c>
      <c r="E24" s="15" t="n">
        <v>2.75</v>
      </c>
      <c r="F24" s="22" t="str">
        <f aca="false">IF(ABS(B24-E24)&lt;=H24,"OK","CHECK")</f>
        <v>OK</v>
      </c>
      <c r="G24" s="23" t="n">
        <f aca="false">B24/30.48</f>
        <v>0.0902857096033158</v>
      </c>
      <c r="H24" s="24" t="n">
        <v>0.005</v>
      </c>
      <c r="I24" s="19"/>
    </row>
    <row r="25" customFormat="false" ht="15" hidden="false" customHeight="false" outlineLevel="0" collapsed="false">
      <c r="A25" s="2"/>
      <c r="B25" s="2"/>
      <c r="C25" s="2"/>
      <c r="D25" s="2"/>
      <c r="E25" s="2"/>
      <c r="F25" s="2"/>
      <c r="G25" s="2"/>
      <c r="H25" s="2"/>
      <c r="I25" s="2"/>
    </row>
    <row r="26" customFormat="false" ht="15" hidden="false" customHeight="false" outlineLevel="0" collapsed="false">
      <c r="A26" s="10" t="s">
        <v>901</v>
      </c>
      <c r="B26" s="11"/>
      <c r="C26" s="11"/>
      <c r="D26" s="11"/>
      <c r="E26" s="11"/>
      <c r="F26" s="11"/>
      <c r="G26" s="11"/>
      <c r="H26" s="11"/>
      <c r="I26" s="11"/>
    </row>
    <row r="27" customFormat="false" ht="15" hidden="false" customHeight="true" outlineLevel="0" collapsed="false">
      <c r="A27" s="12" t="s">
        <v>902</v>
      </c>
      <c r="B27" s="12"/>
      <c r="C27" s="12"/>
      <c r="D27" s="12"/>
      <c r="E27" s="12"/>
      <c r="F27" s="12"/>
      <c r="G27" s="12"/>
      <c r="H27" s="12"/>
      <c r="I27" s="12"/>
    </row>
    <row r="28" customFormat="false" ht="15" hidden="false" customHeight="false" outlineLevel="0" collapsed="false">
      <c r="A28" s="13" t="s">
        <v>903</v>
      </c>
      <c r="B28" s="14" t="n">
        <v>2.25</v>
      </c>
      <c r="C28" s="15" t="s">
        <v>300</v>
      </c>
      <c r="D28" s="16" t="s">
        <v>226</v>
      </c>
      <c r="E28" s="17"/>
      <c r="F28" s="17"/>
      <c r="G28" s="23" t="n">
        <f aca="false">B28/30.48</f>
        <v>0.0738188976377953</v>
      </c>
      <c r="H28" s="17"/>
      <c r="I28" s="19"/>
    </row>
    <row r="29" customFormat="false" ht="15" hidden="false" customHeight="false" outlineLevel="0" collapsed="false">
      <c r="A29" s="13" t="s">
        <v>904</v>
      </c>
      <c r="B29" s="14" t="n">
        <v>2.16</v>
      </c>
      <c r="C29" s="15" t="s">
        <v>300</v>
      </c>
      <c r="D29" s="16" t="s">
        <v>226</v>
      </c>
      <c r="E29" s="17"/>
      <c r="F29" s="17"/>
      <c r="G29" s="23" t="n">
        <f aca="false">B29/30.48</f>
        <v>0.0708661417322835</v>
      </c>
      <c r="H29" s="17"/>
      <c r="I29" s="19"/>
    </row>
    <row r="30" customFormat="false" ht="15" hidden="false" customHeight="false" outlineLevel="0" collapsed="false">
      <c r="A30" s="13" t="s">
        <v>905</v>
      </c>
      <c r="B30" s="28" t="n">
        <f aca="false">SQRT($B$28^2+$B$29^2)</f>
        <v>3.11899022120942</v>
      </c>
      <c r="C30" s="15" t="s">
        <v>300</v>
      </c>
      <c r="D30" s="21" t="s">
        <v>906</v>
      </c>
      <c r="E30" s="15" t="n">
        <v>3.12</v>
      </c>
      <c r="F30" s="22" t="str">
        <f aca="false">IF(ABS(B30-E30)&lt;=H30,"OK","CHECK")</f>
        <v>OK</v>
      </c>
      <c r="G30" s="23" t="n">
        <f aca="false">B30/30.48</f>
        <v>0.102329075498997</v>
      </c>
      <c r="H30" s="24" t="n">
        <v>0.005</v>
      </c>
      <c r="I30" s="19"/>
    </row>
  </sheetData>
  <mergeCells count="2">
    <mergeCell ref="A7:I7"/>
    <mergeCell ref="A27:I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907</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908</v>
      </c>
      <c r="B6" s="11"/>
      <c r="C6" s="11"/>
      <c r="D6" s="11"/>
      <c r="E6" s="11"/>
      <c r="F6" s="11"/>
      <c r="G6" s="11"/>
      <c r="H6" s="11"/>
      <c r="I6" s="11"/>
    </row>
    <row r="7" customFormat="false" ht="15" hidden="false" customHeight="true" outlineLevel="0" collapsed="false">
      <c r="A7" s="12" t="s">
        <v>909</v>
      </c>
      <c r="B7" s="12"/>
      <c r="C7" s="12"/>
      <c r="D7" s="12"/>
      <c r="E7" s="12"/>
      <c r="F7" s="12"/>
      <c r="G7" s="12"/>
      <c r="H7" s="12"/>
      <c r="I7" s="12"/>
    </row>
    <row r="8" customFormat="false" ht="15" hidden="false" customHeight="false" outlineLevel="0" collapsed="false">
      <c r="A8" s="13" t="s">
        <v>910</v>
      </c>
      <c r="B8" s="14" t="n">
        <v>2</v>
      </c>
      <c r="C8" s="15" t="s">
        <v>230</v>
      </c>
      <c r="D8" s="16" t="s">
        <v>226</v>
      </c>
      <c r="E8" s="17"/>
      <c r="F8" s="17"/>
      <c r="G8" s="23" t="n">
        <f aca="false">B8/0.3048</f>
        <v>6.56167979002625</v>
      </c>
      <c r="H8" s="17"/>
      <c r="I8" s="19"/>
    </row>
    <row r="9" customFormat="false" ht="15" hidden="false" customHeight="false" outlineLevel="0" collapsed="false">
      <c r="A9" s="13" t="s">
        <v>911</v>
      </c>
      <c r="B9" s="14" t="n">
        <v>20</v>
      </c>
      <c r="C9" s="15" t="s">
        <v>230</v>
      </c>
      <c r="D9" s="16" t="s">
        <v>226</v>
      </c>
      <c r="E9" s="17"/>
      <c r="F9" s="17"/>
      <c r="G9" s="23" t="n">
        <f aca="false">B9/0.3048</f>
        <v>65.6167979002625</v>
      </c>
      <c r="H9" s="17"/>
      <c r="I9" s="19"/>
    </row>
    <row r="10" customFormat="false" ht="15" hidden="false" customHeight="false" outlineLevel="0" collapsed="false">
      <c r="A10" s="13" t="s">
        <v>912</v>
      </c>
      <c r="B10" s="14" t="n">
        <v>0.35</v>
      </c>
      <c r="C10" s="15" t="s">
        <v>300</v>
      </c>
      <c r="D10" s="16" t="s">
        <v>226</v>
      </c>
      <c r="E10" s="17"/>
      <c r="F10" s="17"/>
      <c r="G10" s="23" t="n">
        <f aca="false">B10/30.48</f>
        <v>0.0114829396325459</v>
      </c>
      <c r="H10" s="17"/>
      <c r="I10" s="19"/>
    </row>
    <row r="11" customFormat="false" ht="15" hidden="false" customHeight="false" outlineLevel="0" collapsed="false">
      <c r="A11" s="13" t="s">
        <v>913</v>
      </c>
      <c r="B11" s="14" t="n">
        <v>0.01</v>
      </c>
      <c r="C11" s="15" t="s">
        <v>238</v>
      </c>
      <c r="D11" s="16" t="s">
        <v>226</v>
      </c>
      <c r="E11" s="17"/>
      <c r="F11" s="17"/>
      <c r="G11" s="17"/>
      <c r="H11" s="17"/>
      <c r="I11" s="19"/>
    </row>
    <row r="12" customFormat="false" ht="15" hidden="false" customHeight="false" outlineLevel="0" collapsed="false">
      <c r="A12" s="13" t="s">
        <v>397</v>
      </c>
      <c r="B12" s="20" t="n">
        <f aca="false">SQRT($B$9^2+$B$8^2)</f>
        <v>20.0997512422418</v>
      </c>
      <c r="C12" s="15" t="s">
        <v>230</v>
      </c>
      <c r="D12" s="21" t="s">
        <v>914</v>
      </c>
      <c r="E12" s="15" t="n">
        <v>20.1</v>
      </c>
      <c r="F12" s="22" t="str">
        <f aca="false">IF(ABS(B12-E12)&lt;=H12,"OK","CHECK")</f>
        <v>OK</v>
      </c>
      <c r="G12" s="23" t="n">
        <f aca="false">B12/0.3048</f>
        <v>65.9440657553864</v>
      </c>
      <c r="H12" s="24" t="n">
        <v>0.0005</v>
      </c>
      <c r="I12" s="19"/>
    </row>
    <row r="13" customFormat="false" ht="15" hidden="false" customHeight="false" outlineLevel="0" collapsed="false">
      <c r="A13" s="13" t="s">
        <v>399</v>
      </c>
      <c r="B13" s="20" t="n">
        <f aca="false">-DEGREES(ATAN($B$8/$B$9))</f>
        <v>-5.71059313749964</v>
      </c>
      <c r="C13" s="15" t="s">
        <v>238</v>
      </c>
      <c r="D13" s="21" t="s">
        <v>915</v>
      </c>
      <c r="E13" s="15" t="n">
        <v>-5.711</v>
      </c>
      <c r="F13" s="22" t="str">
        <f aca="false">IF(ABS(B13-E13)&lt;=H13,"OK","CHECK")</f>
        <v>OK</v>
      </c>
      <c r="G13" s="17"/>
      <c r="H13" s="24" t="n">
        <v>0.0005</v>
      </c>
      <c r="I13" s="19"/>
    </row>
    <row r="14" customFormat="false" ht="15" hidden="false" customHeight="false" outlineLevel="0" collapsed="false">
      <c r="A14" s="13" t="s">
        <v>916</v>
      </c>
      <c r="B14" s="33" t="n">
        <f aca="false">SIN(RADIANS($B$13))</f>
        <v>-0.0995037190209989</v>
      </c>
      <c r="C14" s="15"/>
      <c r="D14" s="21"/>
      <c r="E14" s="15" t="n">
        <v>-0.0995</v>
      </c>
      <c r="F14" s="22" t="str">
        <f aca="false">IF(ABS(B14-E14)&lt;=H14,"OK","CHECK")</f>
        <v>OK</v>
      </c>
      <c r="G14" s="17"/>
      <c r="H14" s="24" t="n">
        <v>5E-006</v>
      </c>
      <c r="I14" s="19"/>
    </row>
    <row r="15" customFormat="false" ht="15" hidden="false" customHeight="false" outlineLevel="0" collapsed="false">
      <c r="A15" s="13" t="s">
        <v>917</v>
      </c>
      <c r="B15" s="33" t="n">
        <f aca="false">COS(RADIANS($B$13))</f>
        <v>0.995037190209989</v>
      </c>
      <c r="C15" s="15"/>
      <c r="D15" s="21"/>
      <c r="E15" s="15" t="n">
        <v>0.99504</v>
      </c>
      <c r="F15" s="22" t="str">
        <f aca="false">IF(ABS(B15-E15)&lt;=H15,"OK","CHECK")</f>
        <v>OK</v>
      </c>
      <c r="G15" s="17"/>
      <c r="H15" s="24" t="n">
        <v>5E-006</v>
      </c>
      <c r="I15" s="19"/>
    </row>
    <row r="16" customFormat="false" ht="15" hidden="false" customHeight="false" outlineLevel="0" collapsed="false">
      <c r="A16" s="13" t="s">
        <v>918</v>
      </c>
      <c r="B16" s="20" t="n">
        <f aca="false">$B$12*$B$15</f>
        <v>20</v>
      </c>
      <c r="C16" s="15" t="s">
        <v>919</v>
      </c>
      <c r="D16" s="21"/>
      <c r="E16" s="15" t="n">
        <v>20</v>
      </c>
      <c r="F16" s="22" t="str">
        <f aca="false">IF(ABS(B16-E16)&lt;=H16,"OK","CHECK")</f>
        <v>OK</v>
      </c>
      <c r="G16" s="17"/>
      <c r="H16" s="24" t="n">
        <v>0.0005</v>
      </c>
      <c r="I16" s="19"/>
    </row>
    <row r="17" customFormat="false" ht="15" hidden="false" customHeight="false" outlineLevel="0" collapsed="false">
      <c r="A17" s="13" t="s">
        <v>920</v>
      </c>
      <c r="B17" s="26" t="n">
        <f aca="false">RADIANS($B$11)</f>
        <v>0.000174532925199433</v>
      </c>
      <c r="C17" s="15" t="s">
        <v>241</v>
      </c>
      <c r="D17" s="21"/>
      <c r="E17" s="15" t="n">
        <v>0.0001745</v>
      </c>
      <c r="F17" s="22" t="str">
        <f aca="false">IF(ABS(B17-E17)&lt;=H17,"OK","CHECK")</f>
        <v>OK</v>
      </c>
      <c r="G17" s="17"/>
      <c r="H17" s="24" t="n">
        <v>1E-007</v>
      </c>
      <c r="I17" s="19"/>
    </row>
    <row r="18" customFormat="false" ht="15" hidden="false" customHeight="false" outlineLevel="0" collapsed="false">
      <c r="A18" s="13" t="s">
        <v>921</v>
      </c>
      <c r="B18" s="20" t="n">
        <f aca="false">ABS($B$14)*$B$10</f>
        <v>0.0348263016573496</v>
      </c>
      <c r="C18" s="15" t="s">
        <v>300</v>
      </c>
      <c r="D18" s="21" t="s">
        <v>922</v>
      </c>
      <c r="E18" s="15" t="n">
        <v>0.035</v>
      </c>
      <c r="F18" s="22" t="str">
        <f aca="false">IF(ABS(B18-E18)&lt;=H18,"OK","CHECK")</f>
        <v>OK</v>
      </c>
      <c r="G18" s="23" t="n">
        <f aca="false">B18/30.48</f>
        <v>0.00114259519873194</v>
      </c>
      <c r="H18" s="24" t="n">
        <v>0.0005</v>
      </c>
      <c r="I18" s="19"/>
    </row>
    <row r="19" customFormat="false" ht="15" hidden="false" customHeight="false" outlineLevel="0" collapsed="false">
      <c r="A19" s="13" t="s">
        <v>923</v>
      </c>
      <c r="B19" s="20" t="n">
        <f aca="false">$B$16*$B$17*100</f>
        <v>0.349065850398866</v>
      </c>
      <c r="C19" s="15" t="s">
        <v>300</v>
      </c>
      <c r="D19" s="21" t="s">
        <v>924</v>
      </c>
      <c r="E19" s="15" t="n">
        <v>0.349</v>
      </c>
      <c r="F19" s="22" t="str">
        <f aca="false">IF(ABS(B19-E19)&lt;=H19,"OK","CHECK")</f>
        <v>OK</v>
      </c>
      <c r="G19" s="23" t="n">
        <f aca="false">B19/30.48</f>
        <v>0.0114522916797528</v>
      </c>
      <c r="H19" s="24" t="n">
        <v>0.0005</v>
      </c>
      <c r="I19" s="19"/>
    </row>
    <row r="20" customFormat="false" ht="15" hidden="false" customHeight="false" outlineLevel="0" collapsed="false">
      <c r="A20" s="13" t="s">
        <v>925</v>
      </c>
      <c r="B20" s="20" t="n">
        <f aca="false">SQRT($B$18^2+$B$19^2)</f>
        <v>0.35079885860962</v>
      </c>
      <c r="C20" s="15" t="s">
        <v>300</v>
      </c>
      <c r="D20" s="21" t="s">
        <v>926</v>
      </c>
      <c r="E20" s="15" t="n">
        <v>0.351</v>
      </c>
      <c r="F20" s="22" t="str">
        <f aca="false">IF(ABS(B20-E20)&lt;=H20,"OK","CHECK")</f>
        <v>OK</v>
      </c>
      <c r="G20" s="23" t="n">
        <f aca="false">B20/30.48</f>
        <v>0.0115091489045151</v>
      </c>
      <c r="H20" s="24" t="n">
        <v>0.0005</v>
      </c>
      <c r="I20" s="19"/>
    </row>
    <row r="21" customFormat="false" ht="15" hidden="false" customHeight="false" outlineLevel="0" collapsed="false">
      <c r="A21" s="2"/>
      <c r="B21" s="2"/>
      <c r="C21" s="2"/>
      <c r="D21" s="2"/>
      <c r="E21" s="2"/>
      <c r="F21" s="2"/>
      <c r="G21" s="2"/>
      <c r="H21" s="2"/>
      <c r="I21" s="2"/>
    </row>
    <row r="22" customFormat="false" ht="15" hidden="false" customHeight="false" outlineLevel="0" collapsed="false">
      <c r="A22" s="10" t="s">
        <v>927</v>
      </c>
      <c r="B22" s="11"/>
      <c r="C22" s="11"/>
      <c r="D22" s="11"/>
      <c r="E22" s="11"/>
      <c r="F22" s="11"/>
      <c r="G22" s="11"/>
      <c r="H22" s="11"/>
      <c r="I22" s="11"/>
    </row>
    <row r="23" customFormat="false" ht="15" hidden="false" customHeight="true" outlineLevel="0" collapsed="false">
      <c r="A23" s="12" t="s">
        <v>928</v>
      </c>
      <c r="B23" s="12"/>
      <c r="C23" s="12"/>
      <c r="D23" s="12"/>
      <c r="E23" s="12"/>
      <c r="F23" s="12"/>
      <c r="G23" s="12"/>
      <c r="H23" s="12"/>
      <c r="I23" s="12"/>
    </row>
    <row r="24" customFormat="false" ht="15" hidden="false" customHeight="false" outlineLevel="0" collapsed="false">
      <c r="A24" s="13" t="s">
        <v>929</v>
      </c>
      <c r="B24" s="14" t="n">
        <v>0.25</v>
      </c>
      <c r="C24" s="15" t="s">
        <v>300</v>
      </c>
      <c r="D24" s="16" t="s">
        <v>226</v>
      </c>
      <c r="E24" s="17"/>
      <c r="F24" s="17"/>
      <c r="G24" s="23" t="n">
        <f aca="false">B24/30.48</f>
        <v>0.00820209973753281</v>
      </c>
      <c r="H24" s="17"/>
      <c r="I24" s="19"/>
    </row>
    <row r="25" customFormat="false" ht="15" hidden="false" customHeight="false" outlineLevel="0" collapsed="false">
      <c r="A25" s="13" t="s">
        <v>930</v>
      </c>
      <c r="B25" s="14" t="n">
        <v>1.25</v>
      </c>
      <c r="C25" s="15" t="s">
        <v>300</v>
      </c>
      <c r="D25" s="16" t="s">
        <v>226</v>
      </c>
      <c r="E25" s="17"/>
      <c r="F25" s="17"/>
      <c r="G25" s="23" t="n">
        <f aca="false">B25/30.48</f>
        <v>0.041010498687664</v>
      </c>
      <c r="H25" s="17"/>
      <c r="I25" s="19"/>
    </row>
    <row r="26" customFormat="false" ht="15" hidden="false" customHeight="false" outlineLevel="0" collapsed="false">
      <c r="A26" s="13" t="s">
        <v>931</v>
      </c>
      <c r="B26" s="14" t="n">
        <v>1</v>
      </c>
      <c r="C26" s="15"/>
      <c r="D26" s="16" t="s">
        <v>226</v>
      </c>
      <c r="E26" s="17"/>
      <c r="F26" s="17"/>
      <c r="G26" s="17"/>
      <c r="H26" s="17"/>
      <c r="I26" s="19"/>
    </row>
    <row r="27" customFormat="false" ht="15" hidden="false" customHeight="false" outlineLevel="0" collapsed="false">
      <c r="A27" s="13" t="s">
        <v>932</v>
      </c>
      <c r="B27" s="14" t="n">
        <v>1</v>
      </c>
      <c r="C27" s="15"/>
      <c r="D27" s="16" t="s">
        <v>226</v>
      </c>
      <c r="E27" s="17"/>
      <c r="F27" s="17"/>
      <c r="G27" s="17"/>
      <c r="H27" s="17"/>
      <c r="I27" s="19"/>
    </row>
    <row r="28" customFormat="false" ht="15" hidden="false" customHeight="false" outlineLevel="0" collapsed="false">
      <c r="A28" s="13" t="s">
        <v>933</v>
      </c>
      <c r="B28" s="14" t="n">
        <v>-1</v>
      </c>
      <c r="C28" s="15"/>
      <c r="D28" s="16" t="s">
        <v>226</v>
      </c>
      <c r="E28" s="17"/>
      <c r="F28" s="17"/>
      <c r="G28" s="17"/>
      <c r="H28" s="17"/>
      <c r="I28" s="19"/>
    </row>
    <row r="29" customFormat="false" ht="15" hidden="false" customHeight="false" outlineLevel="0" collapsed="false">
      <c r="A29" s="13" t="s">
        <v>934</v>
      </c>
      <c r="B29" s="20" t="n">
        <f aca="false">$B$27^2*$B$24^2+$B$28^2*$B$24^2</f>
        <v>0.125</v>
      </c>
      <c r="C29" s="15" t="s">
        <v>314</v>
      </c>
      <c r="D29" s="21" t="s">
        <v>935</v>
      </c>
      <c r="E29" s="15" t="n">
        <v>0.125</v>
      </c>
      <c r="F29" s="22" t="str">
        <f aca="false">IF(ABS(B29-E29)&lt;=H29,"OK","CHECK")</f>
        <v>OK</v>
      </c>
      <c r="G29" s="17"/>
      <c r="H29" s="24" t="n">
        <v>1E-006</v>
      </c>
      <c r="I29" s="19"/>
    </row>
    <row r="30" customFormat="false" ht="15" hidden="false" customHeight="false" outlineLevel="0" collapsed="false">
      <c r="A30" s="13" t="s">
        <v>936</v>
      </c>
      <c r="B30" s="20" t="n">
        <f aca="false">$B$27^2*$B$25^2+$B$28^2*$B$25^2+2*$B$27*$B$28*$B$26*$B$25*$B$25</f>
        <v>0</v>
      </c>
      <c r="C30" s="15" t="s">
        <v>314</v>
      </c>
      <c r="D30" s="21" t="s">
        <v>937</v>
      </c>
      <c r="E30" s="15" t="n">
        <v>0</v>
      </c>
      <c r="F30" s="22" t="str">
        <f aca="false">IF(ABS(B30-E30)&lt;=H30,"OK","CHECK")</f>
        <v>OK</v>
      </c>
      <c r="G30" s="17"/>
      <c r="H30" s="24" t="n">
        <v>1E-009</v>
      </c>
      <c r="I30" s="19"/>
    </row>
    <row r="31" customFormat="false" ht="15" hidden="false" customHeight="false" outlineLevel="0" collapsed="false">
      <c r="A31" s="13" t="s">
        <v>938</v>
      </c>
      <c r="B31" s="28" t="n">
        <f aca="false">SQRT($B$29+$B$30)</f>
        <v>0.353553390593274</v>
      </c>
      <c r="C31" s="15" t="s">
        <v>300</v>
      </c>
      <c r="D31" s="21"/>
      <c r="E31" s="15" t="n">
        <v>0.35</v>
      </c>
      <c r="F31" s="22" t="str">
        <f aca="false">IF(ABS(B31-E31)&lt;=H31,"OK","CHECK")</f>
        <v>OK</v>
      </c>
      <c r="G31" s="23" t="n">
        <f aca="false">B31/30.48</f>
        <v>0.0115995206887557</v>
      </c>
      <c r="H31" s="24" t="n">
        <v>0.005</v>
      </c>
      <c r="I31" s="19"/>
    </row>
    <row r="32" customFormat="false" ht="15" hidden="false" customHeight="false" outlineLevel="0" collapsed="false">
      <c r="A32" s="13" t="s">
        <v>939</v>
      </c>
      <c r="B32" s="28" t="n">
        <f aca="false">SQRT($B$24^2+$B$25^2)</f>
        <v>1.2747548783982</v>
      </c>
      <c r="C32" s="15" t="s">
        <v>300</v>
      </c>
      <c r="D32" s="21" t="s">
        <v>940</v>
      </c>
      <c r="E32" s="15" t="n">
        <v>1.3</v>
      </c>
      <c r="F32" s="22" t="str">
        <f aca="false">IF(ABS(B32-E32)&lt;=H32,"OK","CHECK")</f>
        <v>OK</v>
      </c>
      <c r="G32" s="23" t="n">
        <f aca="false">B32/30.48</f>
        <v>0.041822666614114</v>
      </c>
      <c r="H32" s="24" t="n">
        <v>0.05</v>
      </c>
      <c r="I32" s="19"/>
    </row>
    <row r="33" customFormat="false" ht="15" hidden="false" customHeight="false" outlineLevel="0" collapsed="false">
      <c r="A33" s="2"/>
      <c r="B33" s="2"/>
      <c r="C33" s="2"/>
      <c r="D33" s="2"/>
      <c r="E33" s="2"/>
      <c r="F33" s="2"/>
      <c r="G33" s="2"/>
      <c r="H33" s="2"/>
      <c r="I33" s="2"/>
    </row>
    <row r="34" customFormat="false" ht="15" hidden="false" customHeight="false" outlineLevel="0" collapsed="false">
      <c r="A34" s="10" t="s">
        <v>941</v>
      </c>
      <c r="B34" s="11"/>
      <c r="C34" s="11"/>
      <c r="D34" s="11"/>
      <c r="E34" s="11"/>
      <c r="F34" s="11"/>
      <c r="G34" s="11"/>
      <c r="H34" s="11"/>
      <c r="I34" s="11"/>
    </row>
    <row r="35" customFormat="false" ht="15" hidden="false" customHeight="true" outlineLevel="0" collapsed="false">
      <c r="A35" s="12" t="s">
        <v>942</v>
      </c>
      <c r="B35" s="12"/>
      <c r="C35" s="12"/>
      <c r="D35" s="12"/>
      <c r="E35" s="12"/>
      <c r="F35" s="12"/>
      <c r="G35" s="12"/>
      <c r="H35" s="12"/>
      <c r="I35" s="12"/>
    </row>
    <row r="36" customFormat="false" ht="15" hidden="false" customHeight="false" outlineLevel="0" collapsed="false">
      <c r="A36" s="13" t="s">
        <v>397</v>
      </c>
      <c r="B36" s="14" t="n">
        <v>30</v>
      </c>
      <c r="C36" s="15" t="s">
        <v>230</v>
      </c>
      <c r="D36" s="16" t="s">
        <v>226</v>
      </c>
      <c r="E36" s="17"/>
      <c r="F36" s="17"/>
      <c r="G36" s="23" t="n">
        <f aca="false">B36/0.3048</f>
        <v>98.4251968503937</v>
      </c>
      <c r="H36" s="17"/>
      <c r="I36" s="19"/>
    </row>
    <row r="37" customFormat="false" ht="15" hidden="false" customHeight="false" outlineLevel="0" collapsed="false">
      <c r="A37" s="13" t="s">
        <v>943</v>
      </c>
      <c r="B37" s="14" t="n">
        <v>30</v>
      </c>
      <c r="C37" s="15" t="s">
        <v>238</v>
      </c>
      <c r="D37" s="16" t="s">
        <v>226</v>
      </c>
      <c r="E37" s="17"/>
      <c r="F37" s="17"/>
      <c r="G37" s="17"/>
      <c r="H37" s="17"/>
      <c r="I37" s="19"/>
    </row>
    <row r="38" customFormat="false" ht="15" hidden="false" customHeight="false" outlineLevel="0" collapsed="false">
      <c r="A38" s="13" t="s">
        <v>944</v>
      </c>
      <c r="B38" s="14" t="n">
        <v>-3.823</v>
      </c>
      <c r="C38" s="15" t="s">
        <v>238</v>
      </c>
      <c r="D38" s="16" t="s">
        <v>226</v>
      </c>
      <c r="E38" s="17"/>
      <c r="F38" s="17"/>
      <c r="G38" s="17"/>
      <c r="H38" s="17"/>
      <c r="I38" s="19"/>
    </row>
    <row r="39" customFormat="false" ht="15" hidden="false" customHeight="false" outlineLevel="0" collapsed="false">
      <c r="A39" s="13" t="s">
        <v>945</v>
      </c>
      <c r="B39" s="14" t="n">
        <v>10</v>
      </c>
      <c r="C39" s="15" t="s">
        <v>946</v>
      </c>
      <c r="D39" s="16" t="s">
        <v>226</v>
      </c>
      <c r="E39" s="17"/>
      <c r="F39" s="17"/>
      <c r="G39" s="23" t="n">
        <f aca="false">B39/304.8</f>
        <v>0.0328083989501312</v>
      </c>
      <c r="H39" s="17"/>
      <c r="I39" s="19"/>
    </row>
    <row r="40" customFormat="false" ht="15" hidden="false" customHeight="false" outlineLevel="0" collapsed="false">
      <c r="A40" s="13" t="s">
        <v>947</v>
      </c>
      <c r="B40" s="14" t="n">
        <v>0.01</v>
      </c>
      <c r="C40" s="15" t="s">
        <v>238</v>
      </c>
      <c r="D40" s="16" t="s">
        <v>226</v>
      </c>
      <c r="E40" s="17"/>
      <c r="F40" s="17"/>
      <c r="G40" s="17"/>
      <c r="H40" s="17"/>
      <c r="I40" s="19"/>
    </row>
    <row r="41" customFormat="false" ht="15" hidden="false" customHeight="false" outlineLevel="0" collapsed="false">
      <c r="A41" s="13" t="s">
        <v>948</v>
      </c>
      <c r="B41" s="14" t="n">
        <v>0.01</v>
      </c>
      <c r="C41" s="15" t="s">
        <v>238</v>
      </c>
      <c r="D41" s="16" t="s">
        <v>226</v>
      </c>
      <c r="E41" s="17"/>
      <c r="F41" s="17"/>
      <c r="G41" s="17"/>
      <c r="H41" s="17"/>
      <c r="I41" s="19"/>
    </row>
    <row r="42" customFormat="false" ht="15" hidden="false" customHeight="false" outlineLevel="0" collapsed="false">
      <c r="A42" s="13" t="s">
        <v>949</v>
      </c>
      <c r="B42" s="20" t="n">
        <f aca="false">$B$36*COS(RADIANS($B$38))*COS(RADIANS($B$37))</f>
        <v>25.9229493020858</v>
      </c>
      <c r="C42" s="15" t="s">
        <v>230</v>
      </c>
      <c r="D42" s="21" t="s">
        <v>403</v>
      </c>
      <c r="E42" s="15" t="n">
        <v>25.923</v>
      </c>
      <c r="F42" s="22" t="str">
        <f aca="false">IF(ABS(B42-E42)&lt;=H42,"OK","CHECK")</f>
        <v>OK</v>
      </c>
      <c r="G42" s="23" t="n">
        <f aca="false">B42/0.3048</f>
        <v>85.0490462666857</v>
      </c>
      <c r="H42" s="24" t="n">
        <v>0.0005</v>
      </c>
      <c r="I42" s="19"/>
    </row>
    <row r="43" customFormat="false" ht="15" hidden="false" customHeight="false" outlineLevel="0" collapsed="false">
      <c r="A43" s="13" t="s">
        <v>950</v>
      </c>
      <c r="B43" s="20" t="n">
        <f aca="false">$B$36*COS(RADIANS($B$38))*SIN(RADIANS($B$37))</f>
        <v>14.9666217577483</v>
      </c>
      <c r="C43" s="15" t="s">
        <v>230</v>
      </c>
      <c r="D43" s="21" t="s">
        <v>405</v>
      </c>
      <c r="E43" s="15" t="n">
        <v>14.967</v>
      </c>
      <c r="F43" s="22" t="str">
        <f aca="false">IF(ABS(B43-E43)&lt;=H43,"OK","CHECK")</f>
        <v>OK</v>
      </c>
      <c r="G43" s="23" t="n">
        <f aca="false">B43/0.3048</f>
        <v>49.1030897563919</v>
      </c>
      <c r="H43" s="24" t="n">
        <v>0.0005</v>
      </c>
      <c r="I43" s="19"/>
    </row>
    <row r="44" customFormat="false" ht="15" hidden="false" customHeight="false" outlineLevel="0" collapsed="false">
      <c r="A44" s="13" t="s">
        <v>951</v>
      </c>
      <c r="B44" s="20" t="n">
        <f aca="false">$B$36*SIN(RADIANS($B$38))</f>
        <v>-2.00023314690706</v>
      </c>
      <c r="C44" s="15" t="s">
        <v>230</v>
      </c>
      <c r="D44" s="21" t="s">
        <v>407</v>
      </c>
      <c r="E44" s="15" t="n">
        <v>-2</v>
      </c>
      <c r="F44" s="22" t="str">
        <f aca="false">IF(ABS(B44-E44)&lt;=H44,"OK","CHECK")</f>
        <v>OK</v>
      </c>
      <c r="G44" s="23" t="n">
        <f aca="false">B44/0.3048</f>
        <v>-6.56244470770033</v>
      </c>
      <c r="H44" s="24" t="n">
        <v>0.0005</v>
      </c>
      <c r="I44" s="19"/>
    </row>
    <row r="45" customFormat="false" ht="15" hidden="false" customHeight="false" outlineLevel="0" collapsed="false">
      <c r="A45" s="13" t="s">
        <v>952</v>
      </c>
      <c r="B45" s="27" t="n">
        <f aca="false">COS(RADIANS($B$38))*COS(RADIANS($B$37))</f>
        <v>0.864098310069527</v>
      </c>
      <c r="C45" s="15"/>
      <c r="D45" s="21" t="s">
        <v>953</v>
      </c>
      <c r="E45" s="15" t="n">
        <v>0.8641</v>
      </c>
      <c r="F45" s="22" t="str">
        <f aca="false">IF(ABS(B45-E45)&lt;=H45,"OK","CHECK")</f>
        <v>OK</v>
      </c>
      <c r="G45" s="17"/>
      <c r="H45" s="24" t="n">
        <v>0.0005</v>
      </c>
      <c r="I45" s="19"/>
    </row>
    <row r="46" customFormat="false" ht="15" hidden="false" customHeight="false" outlineLevel="0" collapsed="false">
      <c r="A46" s="13" t="s">
        <v>954</v>
      </c>
      <c r="B46" s="27" t="n">
        <f aca="false">-$B$36*COS(RADIANS($B$38))*SIN(RADIANS($B$37))</f>
        <v>-14.9666217577483</v>
      </c>
      <c r="C46" s="15"/>
      <c r="D46" s="21" t="s">
        <v>953</v>
      </c>
      <c r="E46" s="15" t="n">
        <v>-14.967</v>
      </c>
      <c r="F46" s="22" t="str">
        <f aca="false">IF(ABS(B46-E46)&lt;=H46,"OK","CHECK")</f>
        <v>OK</v>
      </c>
      <c r="G46" s="17"/>
      <c r="H46" s="24" t="n">
        <v>0.0005</v>
      </c>
      <c r="I46" s="19"/>
    </row>
    <row r="47" customFormat="false" ht="15" hidden="false" customHeight="false" outlineLevel="0" collapsed="false">
      <c r="A47" s="13" t="s">
        <v>955</v>
      </c>
      <c r="B47" s="27" t="n">
        <f aca="false">-$B$36*SIN(RADIANS($B$38))*COS(RADIANS($B$37))</f>
        <v>1.73225271871321</v>
      </c>
      <c r="C47" s="15"/>
      <c r="D47" s="21" t="s">
        <v>953</v>
      </c>
      <c r="E47" s="15" t="n">
        <v>1.732</v>
      </c>
      <c r="F47" s="22" t="str">
        <f aca="false">IF(ABS(B47-E47)&lt;=H47,"OK","CHECK")</f>
        <v>OK</v>
      </c>
      <c r="G47" s="17"/>
      <c r="H47" s="24" t="n">
        <v>0.0005</v>
      </c>
      <c r="I47" s="19"/>
    </row>
    <row r="48" customFormat="false" ht="15" hidden="false" customHeight="false" outlineLevel="0" collapsed="false">
      <c r="A48" s="13" t="s">
        <v>956</v>
      </c>
      <c r="B48" s="27" t="n">
        <f aca="false">COS(RADIANS($B$38))*SIN(RADIANS($B$37))</f>
        <v>0.498887391924942</v>
      </c>
      <c r="C48" s="15"/>
      <c r="D48" s="21" t="s">
        <v>953</v>
      </c>
      <c r="E48" s="15" t="n">
        <v>0.4989</v>
      </c>
      <c r="F48" s="22" t="str">
        <f aca="false">IF(ABS(B48-E48)&lt;=H48,"OK","CHECK")</f>
        <v>OK</v>
      </c>
      <c r="G48" s="17"/>
      <c r="H48" s="24" t="n">
        <v>0.0005</v>
      </c>
      <c r="I48" s="19"/>
    </row>
    <row r="49" customFormat="false" ht="15" hidden="false" customHeight="false" outlineLevel="0" collapsed="false">
      <c r="A49" s="13" t="s">
        <v>957</v>
      </c>
      <c r="B49" s="27" t="n">
        <f aca="false">$B$36*COS(RADIANS($B$38))*COS(RADIANS($B$37))</f>
        <v>25.9229493020858</v>
      </c>
      <c r="C49" s="15"/>
      <c r="D49" s="21" t="s">
        <v>953</v>
      </c>
      <c r="E49" s="15" t="n">
        <v>25.923</v>
      </c>
      <c r="F49" s="22" t="str">
        <f aca="false">IF(ABS(B49-E49)&lt;=H49,"OK","CHECK")</f>
        <v>OK</v>
      </c>
      <c r="G49" s="17"/>
      <c r="H49" s="24" t="n">
        <v>0.0005</v>
      </c>
      <c r="I49" s="19"/>
    </row>
    <row r="50" customFormat="false" ht="15" hidden="false" customHeight="false" outlineLevel="0" collapsed="false">
      <c r="A50" s="13" t="s">
        <v>958</v>
      </c>
      <c r="B50" s="27" t="n">
        <f aca="false">-$B$36*SIN(RADIANS($B$38))*SIN(RADIANS($B$37))</f>
        <v>1.00011657345353</v>
      </c>
      <c r="C50" s="15"/>
      <c r="D50" s="21" t="s">
        <v>953</v>
      </c>
      <c r="E50" s="15" t="n">
        <v>1</v>
      </c>
      <c r="F50" s="22" t="str">
        <f aca="false">IF(ABS(B50-E50)&lt;=H50,"OK","CHECK")</f>
        <v>OK</v>
      </c>
      <c r="G50" s="17"/>
      <c r="H50" s="24" t="n">
        <v>0.0005</v>
      </c>
      <c r="I50" s="19"/>
    </row>
    <row r="51" customFormat="false" ht="15" hidden="false" customHeight="false" outlineLevel="0" collapsed="false">
      <c r="A51" s="13" t="s">
        <v>959</v>
      </c>
      <c r="B51" s="27" t="n">
        <f aca="false">SIN(RADIANS($B$38))</f>
        <v>-0.0666744382302354</v>
      </c>
      <c r="C51" s="15"/>
      <c r="D51" s="21" t="s">
        <v>953</v>
      </c>
      <c r="E51" s="15" t="n">
        <v>-0.0667</v>
      </c>
      <c r="F51" s="22" t="str">
        <f aca="false">IF(ABS(B51-E51)&lt;=H51,"OK","CHECK")</f>
        <v>OK</v>
      </c>
      <c r="G51" s="17"/>
      <c r="H51" s="24" t="n">
        <v>0.0005</v>
      </c>
      <c r="I51" s="19"/>
    </row>
    <row r="52" customFormat="false" ht="15" hidden="false" customHeight="false" outlineLevel="0" collapsed="false">
      <c r="A52" s="13" t="s">
        <v>960</v>
      </c>
      <c r="B52" s="27" t="n">
        <f aca="false">0</f>
        <v>0</v>
      </c>
      <c r="C52" s="15"/>
      <c r="D52" s="21" t="s">
        <v>953</v>
      </c>
      <c r="E52" s="15" t="n">
        <v>0</v>
      </c>
      <c r="F52" s="22" t="str">
        <f aca="false">IF(ABS(B52-E52)&lt;=H52,"OK","CHECK")</f>
        <v>OK</v>
      </c>
      <c r="G52" s="17"/>
      <c r="H52" s="24" t="n">
        <v>0.0005</v>
      </c>
      <c r="I52" s="19"/>
    </row>
    <row r="53" customFormat="false" ht="15" hidden="false" customHeight="false" outlineLevel="0" collapsed="false">
      <c r="A53" s="13" t="s">
        <v>961</v>
      </c>
      <c r="B53" s="27" t="n">
        <f aca="false">$B$36*COS(RADIANS($B$38))</f>
        <v>29.9332435154965</v>
      </c>
      <c r="C53" s="15"/>
      <c r="D53" s="21" t="s">
        <v>953</v>
      </c>
      <c r="E53" s="15" t="n">
        <v>29.933</v>
      </c>
      <c r="F53" s="22" t="str">
        <f aca="false">IF(ABS(B53-E53)&lt;=H53,"OK","CHECK")</f>
        <v>OK</v>
      </c>
      <c r="G53" s="17"/>
      <c r="H53" s="24" t="n">
        <v>0.0005</v>
      </c>
      <c r="I53" s="19"/>
    </row>
    <row r="54" customFormat="false" ht="15" hidden="false" customHeight="false" outlineLevel="0" collapsed="false">
      <c r="A54" s="13" t="s">
        <v>962</v>
      </c>
      <c r="B54" s="28" t="n">
        <f aca="false">$B$39^2</f>
        <v>100</v>
      </c>
      <c r="C54" s="15" t="s">
        <v>963</v>
      </c>
      <c r="D54" s="21"/>
      <c r="E54" s="15" t="n">
        <v>100</v>
      </c>
      <c r="F54" s="22" t="str">
        <f aca="false">IF(ABS(B54-E54)&lt;=H54,"OK","CHECK")</f>
        <v>OK</v>
      </c>
      <c r="G54" s="17"/>
      <c r="H54" s="24" t="n">
        <v>1E-009</v>
      </c>
      <c r="I54" s="19"/>
    </row>
    <row r="55" customFormat="false" ht="15" hidden="false" customHeight="false" outlineLevel="0" collapsed="false">
      <c r="A55" s="13" t="s">
        <v>964</v>
      </c>
      <c r="B55" s="33" t="n">
        <f aca="false">(RADIANS($B$40)*1000)^2</f>
        <v>0.0304617419786709</v>
      </c>
      <c r="C55" s="15" t="s">
        <v>965</v>
      </c>
      <c r="D55" s="21" t="s">
        <v>966</v>
      </c>
      <c r="E55" s="17"/>
      <c r="F55" s="17"/>
      <c r="G55" s="17"/>
      <c r="H55" s="17"/>
      <c r="I55" s="19"/>
    </row>
    <row r="56" customFormat="false" ht="15" hidden="false" customHeight="false" outlineLevel="0" collapsed="false">
      <c r="A56" s="13" t="s">
        <v>967</v>
      </c>
      <c r="B56" s="33" t="n">
        <f aca="false">(RADIANS($B$41)*1000)^2</f>
        <v>0.0304617419786709</v>
      </c>
      <c r="C56" s="15" t="s">
        <v>965</v>
      </c>
      <c r="D56" s="21"/>
      <c r="E56" s="17"/>
      <c r="F56" s="17"/>
      <c r="G56" s="17"/>
      <c r="H56" s="17"/>
      <c r="I56" s="19"/>
    </row>
    <row r="57" customFormat="false" ht="15" hidden="false" customHeight="false" outlineLevel="0" collapsed="false">
      <c r="A57" s="13" t="s">
        <v>968</v>
      </c>
      <c r="B57" s="28" t="n">
        <f aca="false">$B$45*$B$45*$B$54+$B$46*$B$46*$B$55+$B$47*$B$47*$B$56</f>
        <v>81.5814185806093</v>
      </c>
      <c r="C57" s="15" t="s">
        <v>963</v>
      </c>
      <c r="D57" s="21" t="s">
        <v>969</v>
      </c>
      <c r="E57" s="15" t="n">
        <v>81.58</v>
      </c>
      <c r="F57" s="22" t="str">
        <f aca="false">IF(ABS(B57-E57)&lt;=H57,"OK","CHECK")</f>
        <v>OK</v>
      </c>
      <c r="G57" s="17"/>
      <c r="H57" s="24" t="n">
        <v>0.02</v>
      </c>
      <c r="I57" s="19"/>
    </row>
    <row r="58" customFormat="false" ht="15" hidden="false" customHeight="false" outlineLevel="0" collapsed="false">
      <c r="A58" s="13" t="s">
        <v>970</v>
      </c>
      <c r="B58" s="28" t="n">
        <f aca="false">$B$45*$B$48*$B$54+$B$46*$B$49*$B$55+$B$47*$B$50*$B$56</f>
        <v>31.3430333223414</v>
      </c>
      <c r="C58" s="15" t="s">
        <v>963</v>
      </c>
      <c r="D58" s="21" t="s">
        <v>969</v>
      </c>
      <c r="E58" s="15" t="n">
        <v>31.34</v>
      </c>
      <c r="F58" s="22" t="str">
        <f aca="false">IF(ABS(B58-E58)&lt;=H58,"OK","CHECK")</f>
        <v>OK</v>
      </c>
      <c r="G58" s="17"/>
      <c r="H58" s="24" t="n">
        <v>0.02</v>
      </c>
      <c r="I58" s="19"/>
    </row>
    <row r="59" customFormat="false" ht="15" hidden="false" customHeight="false" outlineLevel="0" collapsed="false">
      <c r="A59" s="13" t="s">
        <v>971</v>
      </c>
      <c r="B59" s="28" t="n">
        <f aca="false">$B$45*$B$51*$B$54+$B$46*$B$52*$B$55+$B$47*$B$53*$B$56</f>
        <v>-4.18182644766021</v>
      </c>
      <c r="C59" s="15" t="s">
        <v>963</v>
      </c>
      <c r="D59" s="21" t="s">
        <v>969</v>
      </c>
      <c r="E59" s="15" t="n">
        <v>-4.18</v>
      </c>
      <c r="F59" s="22" t="str">
        <f aca="false">IF(ABS(B59-E59)&lt;=H59,"OK","CHECK")</f>
        <v>OK</v>
      </c>
      <c r="G59" s="17"/>
      <c r="H59" s="24" t="n">
        <v>0.02</v>
      </c>
      <c r="I59" s="19"/>
    </row>
    <row r="60" customFormat="false" ht="15" hidden="false" customHeight="false" outlineLevel="0" collapsed="false">
      <c r="A60" s="13" t="s">
        <v>972</v>
      </c>
      <c r="B60" s="28" t="n">
        <f aca="false">$B$48*$B$48*$B$54+$B$49*$B$49*$B$55+$B$50*$B$50*$B$56</f>
        <v>45.3896011288628</v>
      </c>
      <c r="C60" s="15" t="s">
        <v>963</v>
      </c>
      <c r="D60" s="21" t="s">
        <v>969</v>
      </c>
      <c r="E60" s="15" t="n">
        <v>45.39</v>
      </c>
      <c r="F60" s="22" t="str">
        <f aca="false">IF(ABS(B60-E60)&lt;=H60,"OK","CHECK")</f>
        <v>OK</v>
      </c>
      <c r="G60" s="17"/>
      <c r="H60" s="24" t="n">
        <v>0.02</v>
      </c>
      <c r="I60" s="19"/>
    </row>
    <row r="61" customFormat="false" ht="15" hidden="false" customHeight="false" outlineLevel="0" collapsed="false">
      <c r="A61" s="13" t="s">
        <v>973</v>
      </c>
      <c r="B61" s="28" t="n">
        <f aca="false">$B$48*$B$51*$B$54+$B$49*$B$52*$B$55+$B$50*$B$53*$B$56</f>
        <v>-2.41437862526092</v>
      </c>
      <c r="C61" s="15" t="s">
        <v>963</v>
      </c>
      <c r="D61" s="21" t="s">
        <v>969</v>
      </c>
      <c r="E61" s="15" t="n">
        <v>-2.41</v>
      </c>
      <c r="F61" s="22" t="str">
        <f aca="false">IF(ABS(B61-E61)&lt;=H61,"OK","CHECK")</f>
        <v>OK</v>
      </c>
      <c r="G61" s="17"/>
      <c r="H61" s="24" t="n">
        <v>0.02</v>
      </c>
      <c r="I61" s="19"/>
    </row>
    <row r="62" customFormat="false" ht="15" hidden="false" customHeight="false" outlineLevel="0" collapsed="false">
      <c r="A62" s="13" t="s">
        <v>974</v>
      </c>
      <c r="B62" s="28" t="n">
        <f aca="false">$B$51*$B$51*$B$54+$B$52*$B$52*$B$55+$B$53*$B$53*$B$56</f>
        <v>27.7382404743213</v>
      </c>
      <c r="C62" s="15" t="s">
        <v>963</v>
      </c>
      <c r="D62" s="21" t="s">
        <v>969</v>
      </c>
      <c r="E62" s="15" t="n">
        <v>27.74</v>
      </c>
      <c r="F62" s="22" t="str">
        <f aca="false">IF(ABS(B62-E62)&lt;=H62,"OK","CHECK")</f>
        <v>OK</v>
      </c>
      <c r="G62" s="17"/>
      <c r="H62" s="24" t="n">
        <v>0.02</v>
      </c>
      <c r="I62" s="19"/>
    </row>
    <row r="63" customFormat="false" ht="15" hidden="false" customHeight="false" outlineLevel="0" collapsed="false">
      <c r="A63" s="13" t="s">
        <v>679</v>
      </c>
      <c r="B63" s="32" t="n">
        <f aca="false">SQRT($B$57)</f>
        <v>9.03224327510111</v>
      </c>
      <c r="C63" s="15" t="s">
        <v>946</v>
      </c>
      <c r="D63" s="21"/>
      <c r="E63" s="15" t="n">
        <v>9</v>
      </c>
      <c r="F63" s="22" t="str">
        <f aca="false">IF(ABS(B63-E63)&lt;=H63,"OK","CHECK")</f>
        <v>OK</v>
      </c>
      <c r="G63" s="23" t="n">
        <f aca="false">B63/304.8</f>
        <v>0.0296333440784157</v>
      </c>
      <c r="H63" s="24" t="n">
        <v>0.05</v>
      </c>
      <c r="I63" s="19"/>
    </row>
    <row r="64" customFormat="false" ht="15" hidden="false" customHeight="false" outlineLevel="0" collapsed="false">
      <c r="A64" s="13" t="s">
        <v>681</v>
      </c>
      <c r="B64" s="32" t="n">
        <f aca="false">SQRT($B$60)</f>
        <v>6.73718050291536</v>
      </c>
      <c r="C64" s="15" t="s">
        <v>946</v>
      </c>
      <c r="D64" s="21"/>
      <c r="E64" s="15" t="n">
        <v>6.7</v>
      </c>
      <c r="F64" s="22" t="str">
        <f aca="false">IF(ABS(B64-E64)&lt;=H64,"OK","CHECK")</f>
        <v>OK</v>
      </c>
      <c r="G64" s="23" t="n">
        <f aca="false">B64/304.8</f>
        <v>0.0221036105738693</v>
      </c>
      <c r="H64" s="24" t="n">
        <v>0.05</v>
      </c>
      <c r="I64" s="19"/>
    </row>
    <row r="65" customFormat="false" ht="15" hidden="false" customHeight="false" outlineLevel="0" collapsed="false">
      <c r="A65" s="13" t="s">
        <v>925</v>
      </c>
      <c r="B65" s="32" t="n">
        <f aca="false">SQRT($B$62)</f>
        <v>5.26671059337053</v>
      </c>
      <c r="C65" s="15" t="s">
        <v>946</v>
      </c>
      <c r="D65" s="21"/>
      <c r="E65" s="15" t="n">
        <v>5.3</v>
      </c>
      <c r="F65" s="22" t="str">
        <f aca="false">IF(ABS(B65-E65)&lt;=H65,"OK","CHECK")</f>
        <v>OK</v>
      </c>
      <c r="G65" s="23" t="n">
        <f aca="false">B65/304.8</f>
        <v>0.0172792342302183</v>
      </c>
      <c r="H65" s="24" t="n">
        <v>0.05</v>
      </c>
      <c r="I65" s="19"/>
    </row>
    <row r="66" customFormat="false" ht="15" hidden="false" customHeight="false" outlineLevel="0" collapsed="false">
      <c r="A66" s="13" t="s">
        <v>975</v>
      </c>
      <c r="B66" s="32" t="n">
        <f aca="false">SQRT($B$45^2*$B$57+$B$48^2*$B$60+$B$51^2*$B$62+2*$B$45*$B$48*$B$58+2*$B$45*$B$51*$B$59+2*$B$48*$B$51*$B$61)</f>
        <v>10</v>
      </c>
      <c r="C66" s="15" t="s">
        <v>946</v>
      </c>
      <c r="D66" s="21" t="s">
        <v>976</v>
      </c>
      <c r="E66" s="15" t="n">
        <v>10</v>
      </c>
      <c r="F66" s="22" t="str">
        <f aca="false">IF(ABS(B66-E66)&lt;=H66,"OK","CHECK")</f>
        <v>OK</v>
      </c>
      <c r="G66" s="23" t="n">
        <f aca="false">B66/304.8</f>
        <v>0.0328083989501312</v>
      </c>
      <c r="H66" s="24" t="n">
        <v>0.05</v>
      </c>
      <c r="I66" s="19"/>
    </row>
    <row r="67" customFormat="false" ht="15" hidden="false" customHeight="false" outlineLevel="0" collapsed="false">
      <c r="A67" s="13" t="s">
        <v>977</v>
      </c>
      <c r="B67" s="32" t="n">
        <f aca="false">$B$36*COS(RADIANS($B$38))*RADIANS($B$40)*1000</f>
        <v>5.22433655146657</v>
      </c>
      <c r="C67" s="15" t="s">
        <v>946</v>
      </c>
      <c r="D67" s="21" t="s">
        <v>978</v>
      </c>
      <c r="E67" s="15" t="n">
        <v>5.2</v>
      </c>
      <c r="F67" s="22" t="str">
        <f aca="false">IF(ABS(B67-E67)&lt;=H67,"OK","CHECK")</f>
        <v>OK</v>
      </c>
      <c r="G67" s="23" t="n">
        <f aca="false">B67/304.8</f>
        <v>0.0171402117830268</v>
      </c>
      <c r="H67" s="24" t="n">
        <v>0.05</v>
      </c>
      <c r="I67" s="19"/>
    </row>
    <row r="68" customFormat="false" ht="15" hidden="false" customHeight="false" outlineLevel="0" collapsed="false">
      <c r="A68" s="13" t="s">
        <v>979</v>
      </c>
      <c r="B68" s="32" t="n">
        <f aca="false">$B$36*RADIANS($B$41)*1000</f>
        <v>5.23598775598299</v>
      </c>
      <c r="C68" s="15" t="s">
        <v>946</v>
      </c>
      <c r="D68" s="21" t="s">
        <v>980</v>
      </c>
      <c r="E68" s="15" t="n">
        <v>5.2</v>
      </c>
      <c r="F68" s="22" t="str">
        <f aca="false">IF(ABS(B68-E68)&lt;=H68,"OK","CHECK")</f>
        <v>OK</v>
      </c>
      <c r="G68" s="23" t="n">
        <f aca="false">B68/304.8</f>
        <v>0.0171784375196292</v>
      </c>
      <c r="H68" s="24" t="n">
        <v>0.05</v>
      </c>
      <c r="I68" s="19"/>
    </row>
    <row r="69" customFormat="false" ht="15" hidden="false" customHeight="false" outlineLevel="0" collapsed="false">
      <c r="A69" s="2"/>
      <c r="B69" s="2"/>
      <c r="C69" s="2"/>
      <c r="D69" s="2"/>
      <c r="E69" s="2"/>
      <c r="F69" s="2"/>
      <c r="G69" s="2"/>
      <c r="H69" s="2"/>
      <c r="I69" s="2"/>
    </row>
    <row r="70" customFormat="false" ht="15" hidden="false" customHeight="false" outlineLevel="0" collapsed="false">
      <c r="A70" s="10" t="s">
        <v>981</v>
      </c>
      <c r="B70" s="11"/>
      <c r="C70" s="11"/>
      <c r="D70" s="11"/>
      <c r="E70" s="11"/>
      <c r="F70" s="11"/>
      <c r="G70" s="11"/>
      <c r="H70" s="11"/>
      <c r="I70" s="11"/>
    </row>
    <row r="71" customFormat="false" ht="15" hidden="false" customHeight="true" outlineLevel="0" collapsed="false">
      <c r="A71" s="12" t="s">
        <v>982</v>
      </c>
      <c r="B71" s="12"/>
      <c r="C71" s="12"/>
      <c r="D71" s="12"/>
      <c r="E71" s="12"/>
      <c r="F71" s="12"/>
      <c r="G71" s="12"/>
      <c r="H71" s="12"/>
      <c r="I71" s="12"/>
    </row>
    <row r="72" customFormat="false" ht="15" hidden="false" customHeight="false" outlineLevel="0" collapsed="false">
      <c r="A72" s="13" t="s">
        <v>983</v>
      </c>
      <c r="B72" s="14" t="n">
        <v>1.5</v>
      </c>
      <c r="C72" s="15" t="s">
        <v>300</v>
      </c>
      <c r="D72" s="16" t="s">
        <v>226</v>
      </c>
      <c r="E72" s="17"/>
      <c r="F72" s="17"/>
      <c r="G72" s="23" t="n">
        <f aca="false">B72/30.48</f>
        <v>0.0492125984251968</v>
      </c>
      <c r="H72" s="17"/>
      <c r="I72" s="19"/>
    </row>
    <row r="73" customFormat="false" ht="15" hidden="false" customHeight="false" outlineLevel="0" collapsed="false">
      <c r="A73" s="13" t="s">
        <v>984</v>
      </c>
      <c r="B73" s="14" t="n">
        <v>1.5</v>
      </c>
      <c r="C73" s="15" t="s">
        <v>300</v>
      </c>
      <c r="D73" s="16" t="s">
        <v>226</v>
      </c>
      <c r="E73" s="17"/>
      <c r="F73" s="17"/>
      <c r="G73" s="23" t="n">
        <f aca="false">B73/30.48</f>
        <v>0.0492125984251968</v>
      </c>
      <c r="H73" s="17"/>
      <c r="I73" s="19"/>
    </row>
    <row r="74" customFormat="false" ht="15" hidden="false" customHeight="false" outlineLevel="0" collapsed="false">
      <c r="A74" s="13" t="s">
        <v>985</v>
      </c>
      <c r="B74" s="14" t="n">
        <v>2</v>
      </c>
      <c r="C74" s="15" t="s">
        <v>300</v>
      </c>
      <c r="D74" s="16" t="s">
        <v>226</v>
      </c>
      <c r="E74" s="17"/>
      <c r="F74" s="17"/>
      <c r="G74" s="23" t="n">
        <f aca="false">B74/30.48</f>
        <v>0.0656167979002625</v>
      </c>
      <c r="H74" s="17"/>
      <c r="I74" s="19"/>
    </row>
    <row r="75" customFormat="false" ht="15" hidden="false" customHeight="false" outlineLevel="0" collapsed="false">
      <c r="A75" s="13" t="s">
        <v>986</v>
      </c>
      <c r="B75" s="14" t="n">
        <v>0.02</v>
      </c>
      <c r="C75" s="15" t="s">
        <v>238</v>
      </c>
      <c r="D75" s="16" t="s">
        <v>226</v>
      </c>
      <c r="E75" s="17"/>
      <c r="F75" s="17"/>
      <c r="G75" s="17"/>
      <c r="H75" s="17"/>
      <c r="I75" s="19"/>
    </row>
    <row r="76" customFormat="false" ht="15" hidden="false" customHeight="false" outlineLevel="0" collapsed="false">
      <c r="A76" s="13" t="s">
        <v>571</v>
      </c>
      <c r="B76" s="14" t="n">
        <v>0.05</v>
      </c>
      <c r="C76" s="15" t="s">
        <v>238</v>
      </c>
      <c r="D76" s="16" t="s">
        <v>226</v>
      </c>
      <c r="E76" s="17"/>
      <c r="F76" s="17"/>
      <c r="G76" s="17"/>
      <c r="H76" s="17"/>
      <c r="I76" s="19"/>
    </row>
    <row r="77" customFormat="false" ht="15" hidden="false" customHeight="false" outlineLevel="0" collapsed="false">
      <c r="A77" s="13" t="s">
        <v>987</v>
      </c>
      <c r="B77" s="14" t="n">
        <v>0.01</v>
      </c>
      <c r="C77" s="15" t="s">
        <v>238</v>
      </c>
      <c r="D77" s="16" t="s">
        <v>226</v>
      </c>
      <c r="E77" s="17"/>
      <c r="F77" s="17"/>
      <c r="G77" s="17"/>
      <c r="H77" s="17"/>
      <c r="I77" s="19"/>
    </row>
    <row r="78" customFormat="false" ht="15" hidden="false" customHeight="false" outlineLevel="0" collapsed="false">
      <c r="A78" s="13" t="s">
        <v>988</v>
      </c>
      <c r="B78" s="14" t="n">
        <v>0.2</v>
      </c>
      <c r="C78" s="15" t="s">
        <v>300</v>
      </c>
      <c r="D78" s="16" t="s">
        <v>226</v>
      </c>
      <c r="E78" s="17"/>
      <c r="F78" s="17"/>
      <c r="G78" s="23" t="n">
        <f aca="false">B78/30.48</f>
        <v>0.00656167979002625</v>
      </c>
      <c r="H78" s="17"/>
      <c r="I78" s="19"/>
    </row>
    <row r="79" customFormat="false" ht="15" hidden="false" customHeight="false" outlineLevel="0" collapsed="false">
      <c r="A79" s="13" t="s">
        <v>989</v>
      </c>
      <c r="B79" s="14" t="n">
        <v>1.25</v>
      </c>
      <c r="C79" s="15" t="s">
        <v>300</v>
      </c>
      <c r="D79" s="16" t="s">
        <v>226</v>
      </c>
      <c r="E79" s="17"/>
      <c r="F79" s="17"/>
      <c r="G79" s="23" t="n">
        <f aca="false">B79/30.48</f>
        <v>0.041010498687664</v>
      </c>
      <c r="H79" s="17"/>
      <c r="I79" s="19"/>
    </row>
    <row r="80" customFormat="false" ht="15" hidden="false" customHeight="false" outlineLevel="0" collapsed="false">
      <c r="A80" s="13" t="s">
        <v>990</v>
      </c>
      <c r="B80" s="14" t="n">
        <v>0.4</v>
      </c>
      <c r="C80" s="15" t="s">
        <v>300</v>
      </c>
      <c r="D80" s="16" t="s">
        <v>226</v>
      </c>
      <c r="E80" s="17"/>
      <c r="F80" s="17"/>
      <c r="G80" s="23" t="n">
        <f aca="false">B80/30.48</f>
        <v>0.0131233595800525</v>
      </c>
      <c r="H80" s="17"/>
      <c r="I80" s="19"/>
    </row>
    <row r="81" customFormat="false" ht="15" hidden="false" customHeight="false" outlineLevel="0" collapsed="false">
      <c r="A81" s="13" t="s">
        <v>991</v>
      </c>
      <c r="B81" s="14" t="n">
        <v>0.01</v>
      </c>
      <c r="C81" s="15" t="s">
        <v>238</v>
      </c>
      <c r="D81" s="16" t="s">
        <v>226</v>
      </c>
      <c r="E81" s="17"/>
      <c r="F81" s="17"/>
      <c r="G81" s="17"/>
      <c r="H81" s="17"/>
      <c r="I81" s="19"/>
    </row>
    <row r="82" customFormat="false" ht="15" hidden="false" customHeight="false" outlineLevel="0" collapsed="false">
      <c r="A82" s="13" t="s">
        <v>329</v>
      </c>
      <c r="B82" s="14" t="n">
        <v>20</v>
      </c>
      <c r="C82" s="15" t="s">
        <v>230</v>
      </c>
      <c r="D82" s="16" t="s">
        <v>226</v>
      </c>
      <c r="E82" s="17"/>
      <c r="F82" s="17"/>
      <c r="G82" s="23" t="n">
        <f aca="false">B82/0.3048</f>
        <v>65.6167979002625</v>
      </c>
      <c r="H82" s="17"/>
      <c r="I82" s="19"/>
    </row>
    <row r="83" customFormat="false" ht="15" hidden="false" customHeight="false" outlineLevel="0" collapsed="false">
      <c r="A83" s="13" t="s">
        <v>992</v>
      </c>
      <c r="B83" s="28" t="n">
        <f aca="false">SQRT($B$72^2+$B$73^2)</f>
        <v>2.12132034355964</v>
      </c>
      <c r="C83" s="15" t="s">
        <v>300</v>
      </c>
      <c r="D83" s="21" t="s">
        <v>993</v>
      </c>
      <c r="E83" s="15" t="n">
        <v>2.12</v>
      </c>
      <c r="F83" s="22" t="str">
        <f aca="false">IF(ABS(B83-E83)&lt;=H83,"OK","CHECK")</f>
        <v>OK</v>
      </c>
      <c r="G83" s="23" t="n">
        <f aca="false">B83/30.48</f>
        <v>0.0695971241325342</v>
      </c>
      <c r="H83" s="24" t="n">
        <v>0.005</v>
      </c>
      <c r="I83" s="19"/>
    </row>
    <row r="84" customFormat="false" ht="15" hidden="false" customHeight="false" outlineLevel="0" collapsed="false">
      <c r="A84" s="13" t="s">
        <v>994</v>
      </c>
      <c r="B84" s="28" t="n">
        <f aca="false">$B$82*RADIANS($B$76)*100</f>
        <v>1.74532925199433</v>
      </c>
      <c r="C84" s="15" t="s">
        <v>300</v>
      </c>
      <c r="D84" s="21" t="s">
        <v>995</v>
      </c>
      <c r="E84" s="15" t="n">
        <v>1.75</v>
      </c>
      <c r="F84" s="22" t="str">
        <f aca="false">IF(ABS(B84-E84)&lt;=H84,"OK","CHECK")</f>
        <v>OK</v>
      </c>
      <c r="G84" s="23" t="n">
        <f aca="false">B84/30.48</f>
        <v>0.0572614583987641</v>
      </c>
      <c r="H84" s="24" t="n">
        <v>0.005</v>
      </c>
      <c r="I84" s="19"/>
    </row>
    <row r="85" customFormat="false" ht="15" hidden="false" customHeight="false" outlineLevel="0" collapsed="false">
      <c r="A85" s="13" t="s">
        <v>996</v>
      </c>
      <c r="B85" s="28" t="n">
        <f aca="false">$B$82*RADIANS($B$75)*100</f>
        <v>0.698131700797732</v>
      </c>
      <c r="C85" s="15" t="s">
        <v>300</v>
      </c>
      <c r="D85" s="21" t="s">
        <v>997</v>
      </c>
      <c r="E85" s="15" t="n">
        <v>0.7</v>
      </c>
      <c r="F85" s="22" t="str">
        <f aca="false">IF(ABS(B85-E85)&lt;=H85,"OK","CHECK")</f>
        <v>OK</v>
      </c>
      <c r="G85" s="23" t="n">
        <f aca="false">B85/30.48</f>
        <v>0.0229045833595056</v>
      </c>
      <c r="H85" s="24" t="n">
        <v>0.005</v>
      </c>
      <c r="I85" s="19"/>
    </row>
    <row r="86" customFormat="false" ht="15" hidden="false" customHeight="false" outlineLevel="0" collapsed="false">
      <c r="A86" s="13" t="s">
        <v>998</v>
      </c>
      <c r="B86" s="28" t="n">
        <f aca="false">$B$82*RADIANS($B$77)*100</f>
        <v>0.349065850398866</v>
      </c>
      <c r="C86" s="15" t="s">
        <v>300</v>
      </c>
      <c r="D86" s="21" t="s">
        <v>999</v>
      </c>
      <c r="E86" s="15" t="n">
        <v>0.35</v>
      </c>
      <c r="F86" s="22" t="str">
        <f aca="false">IF(ABS(B86-E86)&lt;=H86,"OK","CHECK")</f>
        <v>OK</v>
      </c>
      <c r="G86" s="23" t="n">
        <f aca="false">B86/30.48</f>
        <v>0.0114522916797528</v>
      </c>
      <c r="H86" s="24" t="n">
        <v>0.005</v>
      </c>
      <c r="I86" s="19"/>
    </row>
    <row r="87" customFormat="false" ht="15" hidden="false" customHeight="false" outlineLevel="0" collapsed="false">
      <c r="A87" s="13" t="s">
        <v>1000</v>
      </c>
      <c r="B87" s="28" t="n">
        <f aca="false">$B$78*SQRT(2)</f>
        <v>0.282842712474619</v>
      </c>
      <c r="C87" s="15" t="s">
        <v>300</v>
      </c>
      <c r="D87" s="21" t="s">
        <v>1001</v>
      </c>
      <c r="E87" s="15" t="n">
        <v>0.28</v>
      </c>
      <c r="F87" s="22" t="str">
        <f aca="false">IF(ABS(B87-E87)&lt;=H87,"OK","CHECK")</f>
        <v>OK</v>
      </c>
      <c r="G87" s="23" t="n">
        <f aca="false">B87/30.48</f>
        <v>0.00927961655100456</v>
      </c>
      <c r="H87" s="24" t="n">
        <v>0.005</v>
      </c>
      <c r="I87" s="19"/>
    </row>
    <row r="88" customFormat="false" ht="15" hidden="false" customHeight="false" outlineLevel="0" collapsed="false">
      <c r="A88" s="13" t="s">
        <v>1002</v>
      </c>
      <c r="B88" s="28" t="n">
        <f aca="false">SQRT($B$79^2+$B$80^2)</f>
        <v>1.31244047484067</v>
      </c>
      <c r="C88" s="15" t="s">
        <v>300</v>
      </c>
      <c r="D88" s="21" t="s">
        <v>1003</v>
      </c>
      <c r="E88" s="15" t="n">
        <v>1.31</v>
      </c>
      <c r="F88" s="22" t="str">
        <f aca="false">IF(ABS(B88-E88)&lt;=H88,"OK","CHECK")</f>
        <v>OK</v>
      </c>
      <c r="G88" s="23" t="n">
        <f aca="false">B88/30.48</f>
        <v>0.0430590706968723</v>
      </c>
      <c r="H88" s="24" t="n">
        <v>0.005</v>
      </c>
      <c r="I88" s="19"/>
    </row>
    <row r="89" customFormat="false" ht="15" hidden="false" customHeight="false" outlineLevel="0" collapsed="false">
      <c r="A89" s="13" t="s">
        <v>1004</v>
      </c>
      <c r="B89" s="28" t="n">
        <f aca="false">$B$82*RADIANS($B$81)*100</f>
        <v>0.349065850398866</v>
      </c>
      <c r="C89" s="15" t="s">
        <v>300</v>
      </c>
      <c r="D89" s="21" t="s">
        <v>1005</v>
      </c>
      <c r="E89" s="15" t="n">
        <v>0.35</v>
      </c>
      <c r="F89" s="22" t="str">
        <f aca="false">IF(ABS(B89-E89)&lt;=H89,"OK","CHECK")</f>
        <v>OK</v>
      </c>
      <c r="G89" s="23" t="n">
        <f aca="false">B89/30.48</f>
        <v>0.0114522916797528</v>
      </c>
      <c r="H89" s="24" t="n">
        <v>0.005</v>
      </c>
      <c r="I89" s="19"/>
    </row>
    <row r="90" customFormat="false" ht="15" hidden="false" customHeight="false" outlineLevel="0" collapsed="false">
      <c r="A90" s="13" t="s">
        <v>1006</v>
      </c>
      <c r="B90" s="28" t="n">
        <f aca="false">$B$83^2+$B$84^2+$B$86^2+$B$87^2+$B$88^2+$B$89^2</f>
        <v>9.59236813369645</v>
      </c>
      <c r="C90" s="15" t="s">
        <v>314</v>
      </c>
      <c r="D90" s="21"/>
      <c r="E90" s="15" t="n">
        <v>9.6</v>
      </c>
      <c r="F90" s="22" t="str">
        <f aca="false">IF(ABS(B90-E90)&lt;=H90,"OK","CHECK")</f>
        <v>OK</v>
      </c>
      <c r="G90" s="17"/>
      <c r="H90" s="24" t="n">
        <v>0.02</v>
      </c>
      <c r="I90" s="19"/>
    </row>
    <row r="91" customFormat="false" ht="15" hidden="false" customHeight="false" outlineLevel="0" collapsed="false">
      <c r="A91" s="13" t="s">
        <v>1007</v>
      </c>
      <c r="B91" s="28" t="n">
        <f aca="false">SQRT($B$90)</f>
        <v>3.09715484496601</v>
      </c>
      <c r="C91" s="15" t="s">
        <v>300</v>
      </c>
      <c r="D91" s="21" t="s">
        <v>1008</v>
      </c>
      <c r="E91" s="15" t="n">
        <v>3.1</v>
      </c>
      <c r="F91" s="22" t="str">
        <f aca="false">IF(ABS(B91-E91)&lt;=H91,"OK","CHECK")</f>
        <v>OK</v>
      </c>
      <c r="G91" s="23" t="n">
        <f aca="false">B91/30.48</f>
        <v>0.101612691763977</v>
      </c>
      <c r="H91" s="24" t="n">
        <v>0.005</v>
      </c>
      <c r="I91" s="19"/>
    </row>
    <row r="92" customFormat="false" ht="15" hidden="false" customHeight="false" outlineLevel="0" collapsed="false">
      <c r="A92" s="13" t="s">
        <v>1009</v>
      </c>
      <c r="B92" s="28" t="n">
        <f aca="false">$B$74^2+$B$85^2+$B$86^2+$B$78^2+$B$89^2</f>
        <v>4.7710818074881</v>
      </c>
      <c r="C92" s="15" t="s">
        <v>314</v>
      </c>
      <c r="D92" s="21"/>
      <c r="E92" s="15" t="n">
        <v>4.78</v>
      </c>
      <c r="F92" s="22" t="str">
        <f aca="false">IF(ABS(B92-E92)&lt;=H92,"OK","CHECK")</f>
        <v>OK</v>
      </c>
      <c r="G92" s="17"/>
      <c r="H92" s="24" t="n">
        <v>0.02</v>
      </c>
      <c r="I92" s="19"/>
    </row>
    <row r="93" customFormat="false" ht="15" hidden="false" customHeight="false" outlineLevel="0" collapsed="false">
      <c r="A93" s="13" t="s">
        <v>1010</v>
      </c>
      <c r="B93" s="28" t="n">
        <f aca="false">SQRT($B$92)</f>
        <v>2.18428061555472</v>
      </c>
      <c r="C93" s="15" t="s">
        <v>300</v>
      </c>
      <c r="D93" s="21" t="s">
        <v>1008</v>
      </c>
      <c r="E93" s="15" t="n">
        <v>2.18</v>
      </c>
      <c r="F93" s="22" t="str">
        <f aca="false">IF(ABS(B93-E93)&lt;=H93,"OK","CHECK")</f>
        <v>OK</v>
      </c>
      <c r="G93" s="23" t="n">
        <f aca="false">B93/30.48</f>
        <v>0.0716627498541574</v>
      </c>
      <c r="H93" s="24" t="n">
        <v>0.005</v>
      </c>
      <c r="I93" s="19"/>
    </row>
    <row r="94" customFormat="false" ht="15" hidden="false" customHeight="false" outlineLevel="0" collapsed="false">
      <c r="A94" s="2"/>
      <c r="B94" s="2"/>
      <c r="C94" s="2"/>
      <c r="D94" s="2"/>
      <c r="E94" s="2"/>
      <c r="F94" s="2"/>
      <c r="G94" s="2"/>
      <c r="H94" s="2"/>
      <c r="I94" s="2"/>
    </row>
    <row r="95" customFormat="false" ht="15" hidden="false" customHeight="false" outlineLevel="0" collapsed="false">
      <c r="A95" s="10" t="s">
        <v>1011</v>
      </c>
      <c r="B95" s="11"/>
      <c r="C95" s="11"/>
      <c r="D95" s="11"/>
      <c r="E95" s="11"/>
      <c r="F95" s="11"/>
      <c r="G95" s="11"/>
      <c r="H95" s="11"/>
      <c r="I95" s="11"/>
    </row>
    <row r="96" customFormat="false" ht="30" hidden="false" customHeight="true" outlineLevel="0" collapsed="false">
      <c r="A96" s="12" t="s">
        <v>1012</v>
      </c>
      <c r="B96" s="12"/>
      <c r="C96" s="12"/>
      <c r="D96" s="12"/>
      <c r="E96" s="12"/>
      <c r="F96" s="12"/>
      <c r="G96" s="12"/>
      <c r="H96" s="12"/>
      <c r="I96" s="12"/>
    </row>
    <row r="97" customFormat="false" ht="15" hidden="false" customHeight="false" outlineLevel="0" collapsed="false">
      <c r="A97" s="13" t="s">
        <v>1013</v>
      </c>
      <c r="B97" s="41" t="n">
        <f aca="false">'MC 20 m'!$B$4</f>
        <v>3.11601958297387</v>
      </c>
      <c r="C97" s="15" t="s">
        <v>300</v>
      </c>
      <c r="D97" s="21" t="s">
        <v>1014</v>
      </c>
      <c r="E97" s="15" t="n">
        <v>3.09</v>
      </c>
      <c r="F97" s="22" t="str">
        <f aca="false">IF(ABS(B97-E97)&lt;=H97,"OK","CHECK")</f>
        <v>OK</v>
      </c>
      <c r="G97" s="23" t="n">
        <f aca="false">B97/30.48</f>
        <v>0.102231613614628</v>
      </c>
      <c r="H97" s="24" t="n">
        <v>0.15</v>
      </c>
      <c r="I97" s="19"/>
    </row>
    <row r="98" customFormat="false" ht="15" hidden="false" customHeight="false" outlineLevel="0" collapsed="false">
      <c r="A98" s="13" t="s">
        <v>1015</v>
      </c>
      <c r="B98" s="41" t="n">
        <f aca="false">'MC 20 m'!$B$5</f>
        <v>2.21217634426867</v>
      </c>
      <c r="C98" s="15" t="s">
        <v>300</v>
      </c>
      <c r="D98" s="21"/>
      <c r="E98" s="15" t="n">
        <v>2.18</v>
      </c>
      <c r="F98" s="22" t="str">
        <f aca="false">IF(ABS(B98-E98)&lt;=H98,"OK","CHECK")</f>
        <v>OK</v>
      </c>
      <c r="G98" s="23" t="n">
        <f aca="false">B98/30.48</f>
        <v>0.0725779640508093</v>
      </c>
      <c r="H98" s="24" t="n">
        <v>0.12</v>
      </c>
      <c r="I98" s="19"/>
    </row>
    <row r="99" customFormat="false" ht="15" hidden="false" customHeight="false" outlineLevel="0" collapsed="false">
      <c r="A99" s="13" t="s">
        <v>1016</v>
      </c>
      <c r="B99" s="41" t="n">
        <f aca="false">$B$91</f>
        <v>3.09715484496601</v>
      </c>
      <c r="C99" s="15" t="s">
        <v>300</v>
      </c>
      <c r="D99" s="21"/>
      <c r="E99" s="15" t="n">
        <v>3.1</v>
      </c>
      <c r="F99" s="22" t="str">
        <f aca="false">IF(ABS(B99-E99)&lt;=H99,"OK","CHECK")</f>
        <v>OK</v>
      </c>
      <c r="G99" s="23" t="n">
        <f aca="false">B99/30.48</f>
        <v>0.101612691763977</v>
      </c>
      <c r="H99" s="24" t="n">
        <v>0.005</v>
      </c>
      <c r="I99" s="19"/>
    </row>
    <row r="100" customFormat="false" ht="15" hidden="false" customHeight="false" outlineLevel="0" collapsed="false">
      <c r="A100" s="2"/>
      <c r="B100" s="2"/>
      <c r="C100" s="2"/>
      <c r="D100" s="2"/>
      <c r="E100" s="2"/>
      <c r="F100" s="2"/>
      <c r="G100" s="2"/>
      <c r="H100" s="2"/>
      <c r="I100" s="2"/>
    </row>
    <row r="101" customFormat="false" ht="15" hidden="false" customHeight="false" outlineLevel="0" collapsed="false">
      <c r="A101" s="10" t="s">
        <v>1017</v>
      </c>
      <c r="B101" s="11"/>
      <c r="C101" s="11"/>
      <c r="D101" s="11"/>
      <c r="E101" s="11"/>
      <c r="F101" s="11"/>
      <c r="G101" s="11"/>
      <c r="H101" s="11"/>
      <c r="I101" s="11"/>
    </row>
    <row r="102" customFormat="false" ht="15" hidden="false" customHeight="true" outlineLevel="0" collapsed="false">
      <c r="A102" s="12" t="s">
        <v>1018</v>
      </c>
      <c r="B102" s="12"/>
      <c r="C102" s="12"/>
      <c r="D102" s="12"/>
      <c r="E102" s="12"/>
      <c r="F102" s="12"/>
      <c r="G102" s="12"/>
      <c r="H102" s="12"/>
      <c r="I102" s="12"/>
    </row>
    <row r="103" customFormat="false" ht="15" hidden="false" customHeight="false" outlineLevel="0" collapsed="false">
      <c r="A103" s="13" t="s">
        <v>1019</v>
      </c>
      <c r="B103" s="14" t="n">
        <v>0.25</v>
      </c>
      <c r="C103" s="15" t="s">
        <v>300</v>
      </c>
      <c r="D103" s="16" t="s">
        <v>226</v>
      </c>
      <c r="E103" s="17"/>
      <c r="F103" s="17"/>
      <c r="G103" s="23" t="n">
        <f aca="false">B103/30.48</f>
        <v>0.00820209973753281</v>
      </c>
      <c r="H103" s="17"/>
      <c r="I103" s="19"/>
    </row>
    <row r="104" customFormat="false" ht="15" hidden="false" customHeight="false" outlineLevel="0" collapsed="false">
      <c r="A104" s="13" t="s">
        <v>1020</v>
      </c>
      <c r="B104" s="14" t="n">
        <v>400</v>
      </c>
      <c r="C104" s="15"/>
      <c r="D104" s="16" t="s">
        <v>226</v>
      </c>
      <c r="E104" s="17"/>
      <c r="F104" s="17"/>
      <c r="G104" s="17"/>
      <c r="H104" s="17"/>
      <c r="I104" s="19"/>
    </row>
    <row r="105" customFormat="false" ht="15" hidden="false" customHeight="false" outlineLevel="0" collapsed="false">
      <c r="A105" s="13" t="s">
        <v>1021</v>
      </c>
      <c r="B105" s="14" t="n">
        <v>1.25</v>
      </c>
      <c r="C105" s="15" t="s">
        <v>300</v>
      </c>
      <c r="D105" s="16" t="s">
        <v>226</v>
      </c>
      <c r="E105" s="17"/>
      <c r="F105" s="17"/>
      <c r="G105" s="23" t="n">
        <f aca="false">B105/30.48</f>
        <v>0.041010498687664</v>
      </c>
      <c r="H105" s="17"/>
      <c r="I105" s="19"/>
    </row>
    <row r="106" customFormat="false" ht="15" hidden="false" customHeight="false" outlineLevel="0" collapsed="false">
      <c r="A106" s="13" t="s">
        <v>1022</v>
      </c>
      <c r="B106" s="27" t="n">
        <f aca="false">$B$103/SQRT($B$104)</f>
        <v>0.0125</v>
      </c>
      <c r="C106" s="15" t="s">
        <v>300</v>
      </c>
      <c r="D106" s="21" t="s">
        <v>1023</v>
      </c>
      <c r="E106" s="15" t="n">
        <v>0.0125</v>
      </c>
      <c r="F106" s="22" t="str">
        <f aca="false">IF(ABS(B106-E106)&lt;=H106,"OK","CHECK")</f>
        <v>OK</v>
      </c>
      <c r="G106" s="23" t="n">
        <f aca="false">B106/30.48</f>
        <v>0.00041010498687664</v>
      </c>
      <c r="H106" s="24" t="n">
        <v>1E-006</v>
      </c>
      <c r="I106" s="19"/>
    </row>
    <row r="107" customFormat="false" ht="15" hidden="false" customHeight="false" outlineLevel="0" collapsed="false">
      <c r="A107" s="13" t="s">
        <v>1024</v>
      </c>
      <c r="B107" s="27" t="n">
        <f aca="false">SQRT($B$105^2+$B$106^2)</f>
        <v>1.25006249843758</v>
      </c>
      <c r="C107" s="15" t="s">
        <v>300</v>
      </c>
      <c r="D107" s="21" t="s">
        <v>1025</v>
      </c>
      <c r="E107" s="15" t="n">
        <v>1.2501</v>
      </c>
      <c r="F107" s="22" t="str">
        <f aca="false">IF(ABS(B107-E107)&lt;=H107,"OK","CHECK")</f>
        <v>OK</v>
      </c>
      <c r="G107" s="23" t="n">
        <f aca="false">B107/30.48</f>
        <v>0.0410125491613379</v>
      </c>
      <c r="H107" s="24" t="n">
        <v>5E-005</v>
      </c>
      <c r="I107" s="19"/>
    </row>
    <row r="108" customFormat="false" ht="15" hidden="false" customHeight="false" outlineLevel="0" collapsed="false">
      <c r="A108" s="2"/>
      <c r="B108" s="2"/>
      <c r="C108" s="2"/>
      <c r="D108" s="2"/>
      <c r="E108" s="2"/>
      <c r="F108" s="2"/>
      <c r="G108" s="2"/>
      <c r="H108" s="2"/>
      <c r="I108" s="2"/>
    </row>
    <row r="109" customFormat="false" ht="15" hidden="false" customHeight="false" outlineLevel="0" collapsed="false">
      <c r="A109" s="10" t="s">
        <v>1026</v>
      </c>
      <c r="B109" s="11"/>
      <c r="C109" s="11"/>
      <c r="D109" s="11"/>
      <c r="E109" s="11"/>
      <c r="F109" s="11"/>
      <c r="G109" s="11"/>
      <c r="H109" s="11"/>
      <c r="I109" s="11"/>
    </row>
    <row r="110" customFormat="false" ht="15" hidden="false" customHeight="true" outlineLevel="0" collapsed="false">
      <c r="A110" s="12" t="s">
        <v>1027</v>
      </c>
      <c r="B110" s="12"/>
      <c r="C110" s="12"/>
      <c r="D110" s="12"/>
      <c r="E110" s="12"/>
      <c r="F110" s="12"/>
      <c r="G110" s="12"/>
      <c r="H110" s="12"/>
      <c r="I110" s="12"/>
    </row>
    <row r="111" customFormat="false" ht="15" hidden="false" customHeight="false" outlineLevel="0" collapsed="false">
      <c r="A111" s="13" t="s">
        <v>1028</v>
      </c>
      <c r="B111" s="14" t="n">
        <v>2000</v>
      </c>
      <c r="C111" s="15" t="s">
        <v>644</v>
      </c>
      <c r="D111" s="16" t="s">
        <v>226</v>
      </c>
      <c r="E111" s="17"/>
      <c r="F111" s="17"/>
      <c r="G111" s="38" t="n">
        <f aca="false">B111/0.09290304</f>
        <v>21527.8208334194</v>
      </c>
      <c r="H111" s="17"/>
      <c r="I111" s="19"/>
    </row>
    <row r="112" customFormat="false" ht="15" hidden="false" customHeight="false" outlineLevel="0" collapsed="false">
      <c r="A112" s="13" t="s">
        <v>1029</v>
      </c>
      <c r="B112" s="14" t="n">
        <v>0.0125</v>
      </c>
      <c r="C112" s="15" t="s">
        <v>230</v>
      </c>
      <c r="D112" s="16" t="s">
        <v>226</v>
      </c>
      <c r="E112" s="17"/>
      <c r="F112" s="17"/>
      <c r="G112" s="23" t="n">
        <f aca="false">B112/0.3048</f>
        <v>0.041010498687664</v>
      </c>
      <c r="H112" s="17"/>
      <c r="I112" s="19"/>
    </row>
    <row r="113" customFormat="false" ht="15" hidden="false" customHeight="false" outlineLevel="0" collapsed="false">
      <c r="A113" s="13" t="s">
        <v>1030</v>
      </c>
      <c r="B113" s="14" t="n">
        <v>2000</v>
      </c>
      <c r="C113" s="15"/>
      <c r="D113" s="16" t="s">
        <v>226</v>
      </c>
      <c r="E113" s="17"/>
      <c r="F113" s="17"/>
      <c r="G113" s="17"/>
      <c r="H113" s="17"/>
      <c r="I113" s="19"/>
    </row>
    <row r="114" customFormat="false" ht="15" hidden="false" customHeight="false" outlineLevel="0" collapsed="false">
      <c r="A114" s="13" t="s">
        <v>1031</v>
      </c>
      <c r="B114" s="14" t="n">
        <v>100</v>
      </c>
      <c r="C114" s="15"/>
      <c r="D114" s="16" t="s">
        <v>226</v>
      </c>
      <c r="E114" s="17"/>
      <c r="F114" s="17"/>
      <c r="G114" s="17"/>
      <c r="H114" s="17"/>
      <c r="I114" s="19"/>
    </row>
    <row r="115" customFormat="false" ht="15" hidden="false" customHeight="false" outlineLevel="0" collapsed="false">
      <c r="A115" s="13" t="s">
        <v>1032</v>
      </c>
      <c r="B115" s="14" t="n">
        <v>0.4</v>
      </c>
      <c r="C115" s="15" t="s">
        <v>300</v>
      </c>
      <c r="D115" s="16" t="s">
        <v>226</v>
      </c>
      <c r="E115" s="17"/>
      <c r="F115" s="17"/>
      <c r="G115" s="23" t="n">
        <f aca="false">B115/30.48</f>
        <v>0.0131233595800525</v>
      </c>
      <c r="H115" s="17"/>
      <c r="I115" s="19"/>
    </row>
    <row r="116" customFormat="false" ht="15" hidden="false" customHeight="false" outlineLevel="0" collapsed="false">
      <c r="A116" s="13" t="s">
        <v>1033</v>
      </c>
      <c r="B116" s="14" t="n">
        <v>1</v>
      </c>
      <c r="C116" s="15" t="s">
        <v>644</v>
      </c>
      <c r="D116" s="16" t="s">
        <v>226</v>
      </c>
      <c r="E116" s="17"/>
      <c r="F116" s="17"/>
      <c r="G116" s="38" t="n">
        <f aca="false">B116/0.09290304</f>
        <v>10.7639104167097</v>
      </c>
      <c r="H116" s="17"/>
      <c r="I116" s="19"/>
    </row>
    <row r="117" customFormat="false" ht="15" hidden="false" customHeight="false" outlineLevel="0" collapsed="false">
      <c r="A117" s="13" t="s">
        <v>1034</v>
      </c>
      <c r="B117" s="32" t="n">
        <f aca="false">$B$111*$B$112</f>
        <v>25</v>
      </c>
      <c r="C117" s="15" t="s">
        <v>1035</v>
      </c>
      <c r="D117" s="21" t="s">
        <v>1036</v>
      </c>
      <c r="E117" s="15" t="n">
        <v>25</v>
      </c>
      <c r="F117" s="22" t="str">
        <f aca="false">IF(ABS(B117-E117)&lt;=H117,"OK","CHECK")</f>
        <v>OK</v>
      </c>
      <c r="G117" s="42" t="n">
        <f aca="false">B117/0.0283168</f>
        <v>882.868120691604</v>
      </c>
      <c r="H117" s="24" t="n">
        <v>1E-006</v>
      </c>
      <c r="I117" s="19"/>
    </row>
    <row r="118" customFormat="false" ht="15" hidden="false" customHeight="false" outlineLevel="0" collapsed="false">
      <c r="A118" s="13" t="s">
        <v>1037</v>
      </c>
      <c r="B118" s="20" t="n">
        <f aca="false">$B$115/SQRT($B$114)</f>
        <v>0.04</v>
      </c>
      <c r="C118" s="15" t="s">
        <v>300</v>
      </c>
      <c r="D118" s="21" t="s">
        <v>1023</v>
      </c>
      <c r="E118" s="15" t="n">
        <v>0.04</v>
      </c>
      <c r="F118" s="22" t="str">
        <f aca="false">IF(ABS(B118-E118)&lt;=H118,"OK","CHECK")</f>
        <v>OK</v>
      </c>
      <c r="G118" s="23" t="n">
        <f aca="false">B118/30.48</f>
        <v>0.00131233595800525</v>
      </c>
      <c r="H118" s="24" t="n">
        <v>1E-006</v>
      </c>
      <c r="I118" s="19"/>
    </row>
    <row r="119" customFormat="false" ht="15" hidden="false" customHeight="false" outlineLevel="0" collapsed="false">
      <c r="A119" s="13" t="s">
        <v>1038</v>
      </c>
      <c r="B119" s="20" t="n">
        <f aca="false">$B$116*$B$118/100*SQRT($B$113)</f>
        <v>0.0178885438199983</v>
      </c>
      <c r="C119" s="15" t="s">
        <v>1035</v>
      </c>
      <c r="D119" s="21" t="s">
        <v>1039</v>
      </c>
      <c r="E119" s="15" t="n">
        <v>0.018</v>
      </c>
      <c r="F119" s="22" t="str">
        <f aca="false">IF(ABS(B119-E119)&lt;=H119,"OK","CHECK")</f>
        <v>OK</v>
      </c>
      <c r="G119" s="42" t="n">
        <f aca="false">B119/0.0283168</f>
        <v>0.631729002570853</v>
      </c>
      <c r="H119" s="24" t="n">
        <v>0.0005</v>
      </c>
      <c r="I119" s="19"/>
    </row>
    <row r="120" customFormat="false" ht="15" hidden="false" customHeight="false" outlineLevel="0" collapsed="false">
      <c r="A120" s="2"/>
      <c r="B120" s="2"/>
      <c r="C120" s="2"/>
      <c r="D120" s="2"/>
      <c r="E120" s="2"/>
      <c r="F120" s="2"/>
      <c r="G120" s="2"/>
      <c r="H120" s="2"/>
      <c r="I120" s="2"/>
    </row>
    <row r="121" customFormat="false" ht="15" hidden="false" customHeight="false" outlineLevel="0" collapsed="false">
      <c r="A121" s="10" t="s">
        <v>1040</v>
      </c>
      <c r="B121" s="11"/>
      <c r="C121" s="11"/>
      <c r="D121" s="11"/>
      <c r="E121" s="11"/>
      <c r="F121" s="11"/>
      <c r="G121" s="11"/>
      <c r="H121" s="11"/>
      <c r="I121" s="11"/>
    </row>
    <row r="122" customFormat="false" ht="15" hidden="false" customHeight="true" outlineLevel="0" collapsed="false">
      <c r="A122" s="12" t="s">
        <v>1041</v>
      </c>
      <c r="B122" s="12"/>
      <c r="C122" s="12"/>
      <c r="D122" s="12"/>
      <c r="E122" s="12"/>
      <c r="F122" s="12"/>
      <c r="G122" s="12"/>
      <c r="H122" s="12"/>
      <c r="I122" s="12"/>
    </row>
    <row r="123" customFormat="false" ht="15" hidden="false" customHeight="false" outlineLevel="0" collapsed="false">
      <c r="A123" s="13" t="s">
        <v>1042</v>
      </c>
      <c r="B123" s="14" t="n">
        <v>2</v>
      </c>
      <c r="C123" s="15" t="s">
        <v>300</v>
      </c>
      <c r="D123" s="16" t="s">
        <v>226</v>
      </c>
      <c r="E123" s="17"/>
      <c r="F123" s="17"/>
      <c r="G123" s="23" t="n">
        <f aca="false">B123/30.48</f>
        <v>0.0656167979002625</v>
      </c>
      <c r="H123" s="17"/>
      <c r="I123" s="19"/>
    </row>
    <row r="124" customFormat="false" ht="15" hidden="false" customHeight="false" outlineLevel="0" collapsed="false">
      <c r="A124" s="13" t="s">
        <v>1043</v>
      </c>
      <c r="B124" s="14" t="n">
        <v>1.5</v>
      </c>
      <c r="C124" s="15" t="s">
        <v>300</v>
      </c>
      <c r="D124" s="16" t="s">
        <v>226</v>
      </c>
      <c r="E124" s="17"/>
      <c r="F124" s="17"/>
      <c r="G124" s="23" t="n">
        <f aca="false">B124/30.48</f>
        <v>0.0492125984251968</v>
      </c>
      <c r="H124" s="17"/>
      <c r="I124" s="19"/>
    </row>
    <row r="125" customFormat="false" ht="15" hidden="false" customHeight="false" outlineLevel="0" collapsed="false">
      <c r="A125" s="13" t="s">
        <v>1044</v>
      </c>
      <c r="B125" s="14" t="n">
        <v>3</v>
      </c>
      <c r="C125" s="15" t="s">
        <v>300</v>
      </c>
      <c r="D125" s="16" t="s">
        <v>226</v>
      </c>
      <c r="E125" s="17"/>
      <c r="F125" s="17"/>
      <c r="G125" s="23" t="n">
        <f aca="false">B125/30.48</f>
        <v>0.0984251968503937</v>
      </c>
      <c r="H125" s="17"/>
      <c r="I125" s="19"/>
    </row>
    <row r="126" customFormat="false" ht="15" hidden="false" customHeight="false" outlineLevel="0" collapsed="false">
      <c r="A126" s="13" t="s">
        <v>1045</v>
      </c>
      <c r="B126" s="14" t="n">
        <v>0.5</v>
      </c>
      <c r="C126" s="15" t="s">
        <v>300</v>
      </c>
      <c r="D126" s="16" t="s">
        <v>226</v>
      </c>
      <c r="E126" s="17"/>
      <c r="F126" s="17"/>
      <c r="G126" s="23" t="n">
        <f aca="false">B126/30.48</f>
        <v>0.0164041994750656</v>
      </c>
      <c r="H126" s="17"/>
      <c r="I126" s="19"/>
    </row>
    <row r="127" customFormat="false" ht="15" hidden="false" customHeight="false" outlineLevel="0" collapsed="false">
      <c r="A127" s="13" t="s">
        <v>1046</v>
      </c>
      <c r="B127" s="14" t="n">
        <v>1.5</v>
      </c>
      <c r="C127" s="15" t="s">
        <v>300</v>
      </c>
      <c r="D127" s="16" t="s">
        <v>226</v>
      </c>
      <c r="E127" s="17"/>
      <c r="F127" s="17"/>
      <c r="G127" s="23" t="n">
        <f aca="false">B127/30.48</f>
        <v>0.0492125984251968</v>
      </c>
      <c r="H127" s="17"/>
      <c r="I127" s="19"/>
    </row>
    <row r="128" customFormat="false" ht="15" hidden="false" customHeight="false" outlineLevel="0" collapsed="false">
      <c r="A128" s="13" t="s">
        <v>1047</v>
      </c>
      <c r="B128" s="14" t="n">
        <v>5</v>
      </c>
      <c r="C128" s="15" t="s">
        <v>300</v>
      </c>
      <c r="D128" s="16" t="s">
        <v>226</v>
      </c>
      <c r="E128" s="17"/>
      <c r="F128" s="17"/>
      <c r="G128" s="23" t="n">
        <f aca="false">B128/30.48</f>
        <v>0.164041994750656</v>
      </c>
      <c r="H128" s="17"/>
      <c r="I128" s="19"/>
    </row>
    <row r="129" customFormat="false" ht="15" hidden="false" customHeight="false" outlineLevel="0" collapsed="false">
      <c r="A129" s="13" t="s">
        <v>1048</v>
      </c>
      <c r="B129" s="14" t="n">
        <v>5</v>
      </c>
      <c r="C129" s="15" t="s">
        <v>300</v>
      </c>
      <c r="D129" s="16" t="s">
        <v>226</v>
      </c>
      <c r="E129" s="17"/>
      <c r="F129" s="17"/>
      <c r="G129" s="23" t="n">
        <f aca="false">B129/30.48</f>
        <v>0.164041994750656</v>
      </c>
      <c r="H129" s="17"/>
      <c r="I129" s="19"/>
    </row>
    <row r="130" customFormat="false" ht="15" hidden="false" customHeight="false" outlineLevel="0" collapsed="false">
      <c r="A130" s="13" t="s">
        <v>894</v>
      </c>
      <c r="B130" s="28" t="n">
        <f aca="false">SUMSQ($B$123:$B$127)</f>
        <v>17.75</v>
      </c>
      <c r="C130" s="15" t="s">
        <v>314</v>
      </c>
      <c r="D130" s="21" t="s">
        <v>1049</v>
      </c>
      <c r="E130" s="15" t="n">
        <v>17.75</v>
      </c>
      <c r="F130" s="22" t="str">
        <f aca="false">IF(ABS(B130-E130)&lt;=H130,"OK","CHECK")</f>
        <v>OK</v>
      </c>
      <c r="G130" s="17"/>
      <c r="H130" s="24" t="n">
        <v>1E-006</v>
      </c>
      <c r="I130" s="19"/>
    </row>
    <row r="131" customFormat="false" ht="15" hidden="false" customHeight="false" outlineLevel="0" collapsed="false">
      <c r="A131" s="13" t="s">
        <v>1024</v>
      </c>
      <c r="B131" s="28" t="n">
        <f aca="false">SQRT($B$130)</f>
        <v>4.21307488658818</v>
      </c>
      <c r="C131" s="15" t="s">
        <v>300</v>
      </c>
      <c r="D131" s="21" t="s">
        <v>1050</v>
      </c>
      <c r="E131" s="15" t="n">
        <v>4.21</v>
      </c>
      <c r="F131" s="22" t="str">
        <f aca="false">IF(ABS(B131-E131)&lt;=H131,"OK","CHECK")</f>
        <v>OK</v>
      </c>
      <c r="G131" s="23" t="n">
        <f aca="false">B131/30.48</f>
        <v>0.138224241685964</v>
      </c>
      <c r="H131" s="24" t="n">
        <v>0.005</v>
      </c>
      <c r="I131" s="19"/>
    </row>
    <row r="132" customFormat="false" ht="15" hidden="false" customHeight="false" outlineLevel="0" collapsed="false">
      <c r="A132" s="13" t="s">
        <v>1051</v>
      </c>
      <c r="B132" s="28" t="n">
        <f aca="false">$B$130-$B$125^2+$B$128^2</f>
        <v>33.75</v>
      </c>
      <c r="C132" s="15" t="s">
        <v>314</v>
      </c>
      <c r="D132" s="21"/>
      <c r="E132" s="15" t="n">
        <v>33.75</v>
      </c>
      <c r="F132" s="22" t="str">
        <f aca="false">IF(ABS(B132-E132)&lt;=H132,"OK","CHECK")</f>
        <v>OK</v>
      </c>
      <c r="G132" s="17"/>
      <c r="H132" s="24" t="n">
        <v>1E-006</v>
      </c>
      <c r="I132" s="19"/>
    </row>
    <row r="133" customFormat="false" ht="15" hidden="false" customHeight="false" outlineLevel="0" collapsed="false">
      <c r="A133" s="13" t="s">
        <v>1052</v>
      </c>
      <c r="B133" s="28" t="n">
        <f aca="false">SQRT($B$132)</f>
        <v>5.80947501931113</v>
      </c>
      <c r="C133" s="15" t="s">
        <v>300</v>
      </c>
      <c r="D133" s="21"/>
      <c r="E133" s="15" t="n">
        <v>5.81</v>
      </c>
      <c r="F133" s="22" t="str">
        <f aca="false">IF(ABS(B133-E133)&lt;=H133,"OK","CHECK")</f>
        <v>OK</v>
      </c>
      <c r="G133" s="23" t="n">
        <f aca="false">B133/30.48</f>
        <v>0.190599574124381</v>
      </c>
      <c r="H133" s="24" t="n">
        <v>0.005</v>
      </c>
      <c r="I133" s="19"/>
    </row>
    <row r="134" customFormat="false" ht="15" hidden="false" customHeight="true" outlineLevel="0" collapsed="false">
      <c r="A134" s="34" t="s">
        <v>1053</v>
      </c>
      <c r="B134" s="34"/>
      <c r="C134" s="34"/>
      <c r="D134" s="34"/>
      <c r="E134" s="34"/>
      <c r="F134" s="34"/>
      <c r="G134" s="34"/>
      <c r="H134" s="34"/>
      <c r="I134" s="34"/>
    </row>
    <row r="135" customFormat="false" ht="15" hidden="false" customHeight="false" outlineLevel="0" collapsed="false">
      <c r="A135" s="13" t="s">
        <v>1054</v>
      </c>
      <c r="B135" s="29" t="n">
        <f aca="false">IF($B$131&lt;=$B$129,1,0)</f>
        <v>1</v>
      </c>
      <c r="C135" s="15"/>
      <c r="D135" s="21"/>
      <c r="E135" s="15" t="n">
        <v>1</v>
      </c>
      <c r="F135" s="22" t="str">
        <f aca="false">IF(ABS(B135-E135)&lt;=H135,"OK","CHECK")</f>
        <v>OK</v>
      </c>
      <c r="G135" s="17"/>
      <c r="H135" s="24" t="n">
        <v>1E-009</v>
      </c>
      <c r="I135" s="19"/>
    </row>
    <row r="136" customFormat="false" ht="15" hidden="false" customHeight="false" outlineLevel="0" collapsed="false">
      <c r="A136" s="13" t="s">
        <v>1055</v>
      </c>
      <c r="B136" s="29" t="n">
        <f aca="false">IF($B$133&lt;=$B$129,1,0)</f>
        <v>0</v>
      </c>
      <c r="C136" s="15"/>
      <c r="D136" s="21"/>
      <c r="E136" s="15" t="n">
        <v>0</v>
      </c>
      <c r="F136" s="22" t="str">
        <f aca="false">IF(ABS(B136-E136)&lt;=H136,"OK","CHECK")</f>
        <v>OK</v>
      </c>
      <c r="G136" s="17"/>
      <c r="H136" s="24" t="n">
        <v>1E-009</v>
      </c>
      <c r="I136" s="19"/>
    </row>
    <row r="137" customFormat="false" ht="15" hidden="false" customHeight="false" outlineLevel="0" collapsed="false">
      <c r="A137" s="2"/>
      <c r="B137" s="2"/>
      <c r="C137" s="2"/>
      <c r="D137" s="2"/>
      <c r="E137" s="2"/>
      <c r="F137" s="2"/>
      <c r="G137" s="2"/>
      <c r="H137" s="2"/>
      <c r="I137" s="2"/>
    </row>
    <row r="138" customFormat="false" ht="15" hidden="false" customHeight="false" outlineLevel="0" collapsed="false">
      <c r="A138" s="10" t="s">
        <v>1056</v>
      </c>
      <c r="B138" s="11"/>
      <c r="C138" s="11"/>
      <c r="D138" s="11"/>
      <c r="E138" s="11"/>
      <c r="F138" s="11"/>
      <c r="G138" s="11"/>
      <c r="H138" s="11"/>
      <c r="I138" s="11"/>
    </row>
    <row r="139" customFormat="false" ht="15" hidden="false" customHeight="true" outlineLevel="0" collapsed="false">
      <c r="A139" s="12" t="s">
        <v>1057</v>
      </c>
      <c r="B139" s="12"/>
      <c r="C139" s="12"/>
      <c r="D139" s="12"/>
      <c r="E139" s="12"/>
      <c r="F139" s="12"/>
      <c r="G139" s="12"/>
      <c r="H139" s="12"/>
      <c r="I139" s="12"/>
    </row>
    <row r="140" customFormat="false" ht="15" hidden="false" customHeight="false" outlineLevel="0" collapsed="false">
      <c r="A140" s="13" t="s">
        <v>1058</v>
      </c>
      <c r="B140" s="14" t="n">
        <v>5</v>
      </c>
      <c r="C140" s="15" t="s">
        <v>230</v>
      </c>
      <c r="D140" s="16" t="s">
        <v>226</v>
      </c>
      <c r="E140" s="17"/>
      <c r="F140" s="17"/>
      <c r="G140" s="23" t="n">
        <f aca="false">B140/0.3048</f>
        <v>16.4041994750656</v>
      </c>
      <c r="H140" s="17"/>
      <c r="I140" s="19"/>
    </row>
    <row r="141" customFormat="false" ht="15" hidden="false" customHeight="false" outlineLevel="0" collapsed="false">
      <c r="A141" s="13" t="s">
        <v>1059</v>
      </c>
      <c r="B141" s="14" t="n">
        <v>0.25</v>
      </c>
      <c r="C141" s="15" t="s">
        <v>300</v>
      </c>
      <c r="D141" s="16" t="s">
        <v>226</v>
      </c>
      <c r="E141" s="17"/>
      <c r="F141" s="17"/>
      <c r="G141" s="23" t="n">
        <f aca="false">B141/30.48</f>
        <v>0.00820209973753281</v>
      </c>
      <c r="H141" s="17"/>
      <c r="I141" s="19"/>
    </row>
    <row r="142" customFormat="false" ht="15" hidden="false" customHeight="false" outlineLevel="0" collapsed="false">
      <c r="A142" s="13" t="s">
        <v>1060</v>
      </c>
      <c r="B142" s="41" t="n">
        <f aca="false">SQRT($B$83^2+($B$140*RADIANS($B$76)*100)^2+($B$140*RADIANS($B$77)*100)^2+$B$87^2+$B$79^2+$B$141^2+($B$140*RADIANS($B$81)*100)^2)</f>
        <v>2.53191957975684</v>
      </c>
      <c r="C142" s="15" t="s">
        <v>300</v>
      </c>
      <c r="D142" s="21" t="s">
        <v>1061</v>
      </c>
      <c r="E142" s="15" t="n">
        <v>2.5</v>
      </c>
      <c r="F142" s="22" t="str">
        <f aca="false">IF(ABS(B142-E142)&lt;=H142,"OK","CHECK")</f>
        <v>OK</v>
      </c>
      <c r="G142" s="23" t="n">
        <f aca="false">B142/30.48</f>
        <v>0.0830682276823109</v>
      </c>
      <c r="H142" s="24" t="n">
        <v>0.05</v>
      </c>
      <c r="I142" s="19"/>
    </row>
    <row r="143" customFormat="false" ht="15" hidden="false" customHeight="false" outlineLevel="0" collapsed="false">
      <c r="A143" s="13" t="s">
        <v>1062</v>
      </c>
      <c r="B143" s="41" t="n">
        <f aca="false">SQRT($B$74^2+($B$140*RADIANS($B$75)*100)^2+($B$140*RADIANS($B$77)*100)^2+$B$78^2+($B$140*RADIANS($B$81)*100)^2)</f>
        <v>2.02130962817872</v>
      </c>
      <c r="C143" s="15" t="s">
        <v>300</v>
      </c>
      <c r="D143" s="21"/>
      <c r="E143" s="15" t="n">
        <v>2</v>
      </c>
      <c r="F143" s="22" t="str">
        <f aca="false">IF(ABS(B143-E143)&lt;=H143,"OK","CHECK")</f>
        <v>OK</v>
      </c>
      <c r="G143" s="23" t="n">
        <f aca="false">B143/30.48</f>
        <v>0.066315932683029</v>
      </c>
      <c r="H143" s="24" t="n">
        <v>0.05</v>
      </c>
      <c r="I143" s="19"/>
    </row>
    <row r="144" customFormat="false" ht="15" hidden="false" customHeight="false" outlineLevel="0" collapsed="false">
      <c r="A144" s="13" t="s">
        <v>1063</v>
      </c>
      <c r="B144" s="14" t="n">
        <v>10</v>
      </c>
      <c r="C144" s="15" t="s">
        <v>230</v>
      </c>
      <c r="D144" s="16" t="s">
        <v>226</v>
      </c>
      <c r="E144" s="17"/>
      <c r="F144" s="17"/>
      <c r="G144" s="23" t="n">
        <f aca="false">B144/0.3048</f>
        <v>32.8083989501312</v>
      </c>
      <c r="H144" s="17"/>
      <c r="I144" s="19"/>
    </row>
    <row r="145" customFormat="false" ht="15" hidden="false" customHeight="false" outlineLevel="0" collapsed="false">
      <c r="A145" s="13" t="s">
        <v>1064</v>
      </c>
      <c r="B145" s="14" t="n">
        <v>0.25</v>
      </c>
      <c r="C145" s="15" t="s">
        <v>300</v>
      </c>
      <c r="D145" s="16" t="s">
        <v>226</v>
      </c>
      <c r="E145" s="17"/>
      <c r="F145" s="17"/>
      <c r="G145" s="23" t="n">
        <f aca="false">B145/30.48</f>
        <v>0.00820209973753281</v>
      </c>
      <c r="H145" s="17"/>
      <c r="I145" s="19"/>
    </row>
    <row r="146" customFormat="false" ht="15" hidden="false" customHeight="false" outlineLevel="0" collapsed="false">
      <c r="A146" s="13" t="s">
        <v>1065</v>
      </c>
      <c r="B146" s="41" t="n">
        <f aca="false">SQRT($B$83^2+($B$144*RADIANS($B$76)*100)^2+($B$144*RADIANS($B$77)*100)^2+$B$87^2+$B$79^2+$B$145^2+($B$144*RADIANS($B$81)*100)^2)</f>
        <v>2.65093701045953</v>
      </c>
      <c r="C146" s="15" t="s">
        <v>300</v>
      </c>
      <c r="D146" s="21" t="s">
        <v>1061</v>
      </c>
      <c r="E146" s="15" t="n">
        <v>2.7</v>
      </c>
      <c r="F146" s="22" t="str">
        <f aca="false">IF(ABS(B146-E146)&lt;=H146,"OK","CHECK")</f>
        <v>OK</v>
      </c>
      <c r="G146" s="23" t="n">
        <f aca="false">B146/30.48</f>
        <v>0.0869729990308245</v>
      </c>
      <c r="H146" s="24" t="n">
        <v>0.05</v>
      </c>
      <c r="I146" s="19"/>
    </row>
    <row r="147" customFormat="false" ht="15" hidden="false" customHeight="false" outlineLevel="0" collapsed="false">
      <c r="A147" s="13" t="s">
        <v>1066</v>
      </c>
      <c r="B147" s="41" t="n">
        <f aca="false">SQRT($B$74^2+($B$144*RADIANS($B$75)*100)^2+($B$144*RADIANS($B$77)*100)^2+$B$78^2+($B$144*RADIANS($B$81)*100)^2)</f>
        <v>2.0549380652156</v>
      </c>
      <c r="C147" s="15" t="s">
        <v>300</v>
      </c>
      <c r="D147" s="21"/>
      <c r="E147" s="15" t="n">
        <v>2.1</v>
      </c>
      <c r="F147" s="22" t="str">
        <f aca="false">IF(ABS(B147-E147)&lt;=H147,"OK","CHECK")</f>
        <v>OK</v>
      </c>
      <c r="G147" s="23" t="n">
        <f aca="false">B147/30.48</f>
        <v>0.0674192278614041</v>
      </c>
      <c r="H147" s="24" t="n">
        <v>0.05</v>
      </c>
      <c r="I147" s="19"/>
    </row>
    <row r="148" customFormat="false" ht="15" hidden="false" customHeight="false" outlineLevel="0" collapsed="false">
      <c r="A148" s="13" t="s">
        <v>1067</v>
      </c>
      <c r="B148" s="14" t="n">
        <v>20</v>
      </c>
      <c r="C148" s="15" t="s">
        <v>230</v>
      </c>
      <c r="D148" s="16" t="s">
        <v>226</v>
      </c>
      <c r="E148" s="17"/>
      <c r="F148" s="17"/>
      <c r="G148" s="23" t="n">
        <f aca="false">B148/0.3048</f>
        <v>65.6167979002625</v>
      </c>
      <c r="H148" s="17"/>
      <c r="I148" s="19"/>
    </row>
    <row r="149" customFormat="false" ht="15" hidden="false" customHeight="false" outlineLevel="0" collapsed="false">
      <c r="A149" s="13" t="s">
        <v>1068</v>
      </c>
      <c r="B149" s="14" t="n">
        <v>0.4</v>
      </c>
      <c r="C149" s="15" t="s">
        <v>300</v>
      </c>
      <c r="D149" s="16" t="s">
        <v>226</v>
      </c>
      <c r="E149" s="17"/>
      <c r="F149" s="17"/>
      <c r="G149" s="23" t="n">
        <f aca="false">B149/30.48</f>
        <v>0.0131233595800525</v>
      </c>
      <c r="H149" s="17"/>
      <c r="I149" s="19"/>
    </row>
    <row r="150" customFormat="false" ht="15" hidden="false" customHeight="false" outlineLevel="0" collapsed="false">
      <c r="A150" s="13" t="s">
        <v>1069</v>
      </c>
      <c r="B150" s="41" t="n">
        <f aca="false">SQRT($B$83^2+($B$148*RADIANS($B$76)*100)^2+($B$148*RADIANS($B$77)*100)^2+$B$87^2+$B$79^2+$B$149^2+($B$148*RADIANS($B$81)*100)^2)</f>
        <v>3.09715484496601</v>
      </c>
      <c r="C150" s="15" t="s">
        <v>300</v>
      </c>
      <c r="D150" s="21" t="s">
        <v>1061</v>
      </c>
      <c r="E150" s="15" t="n">
        <v>3.1</v>
      </c>
      <c r="F150" s="22" t="str">
        <f aca="false">IF(ABS(B150-E150)&lt;=H150,"OK","CHECK")</f>
        <v>OK</v>
      </c>
      <c r="G150" s="23" t="n">
        <f aca="false">B150/30.48</f>
        <v>0.101612691763977</v>
      </c>
      <c r="H150" s="24" t="n">
        <v>0.05</v>
      </c>
      <c r="I150" s="19"/>
    </row>
    <row r="151" customFormat="false" ht="15" hidden="false" customHeight="false" outlineLevel="0" collapsed="false">
      <c r="A151" s="13" t="s">
        <v>1070</v>
      </c>
      <c r="B151" s="41" t="n">
        <f aca="false">SQRT($B$74^2+($B$148*RADIANS($B$75)*100)^2+($B$148*RADIANS($B$77)*100)^2+$B$78^2+($B$148*RADIANS($B$81)*100)^2)</f>
        <v>2.18428061555472</v>
      </c>
      <c r="C151" s="15" t="s">
        <v>300</v>
      </c>
      <c r="D151" s="21"/>
      <c r="E151" s="15" t="n">
        <v>2.2</v>
      </c>
      <c r="F151" s="22" t="str">
        <f aca="false">IF(ABS(B151-E151)&lt;=H151,"OK","CHECK")</f>
        <v>OK</v>
      </c>
      <c r="G151" s="23" t="n">
        <f aca="false">B151/30.48</f>
        <v>0.0716627498541574</v>
      </c>
      <c r="H151" s="24" t="n">
        <v>0.05</v>
      </c>
      <c r="I151" s="19"/>
    </row>
    <row r="152" customFormat="false" ht="15" hidden="false" customHeight="false" outlineLevel="0" collapsed="false">
      <c r="A152" s="13" t="s">
        <v>1071</v>
      </c>
      <c r="B152" s="14" t="n">
        <v>35</v>
      </c>
      <c r="C152" s="15" t="s">
        <v>230</v>
      </c>
      <c r="D152" s="16" t="s">
        <v>226</v>
      </c>
      <c r="E152" s="17"/>
      <c r="F152" s="17"/>
      <c r="G152" s="23" t="n">
        <f aca="false">B152/0.3048</f>
        <v>114.829396325459</v>
      </c>
      <c r="H152" s="17"/>
      <c r="I152" s="19"/>
    </row>
    <row r="153" customFormat="false" ht="15" hidden="false" customHeight="false" outlineLevel="0" collapsed="false">
      <c r="A153" s="13" t="s">
        <v>1072</v>
      </c>
      <c r="B153" s="14" t="n">
        <v>1.5</v>
      </c>
      <c r="C153" s="15" t="s">
        <v>300</v>
      </c>
      <c r="D153" s="16" t="s">
        <v>226</v>
      </c>
      <c r="E153" s="17"/>
      <c r="F153" s="17"/>
      <c r="G153" s="23" t="n">
        <f aca="false">B153/30.48</f>
        <v>0.0492125984251968</v>
      </c>
      <c r="H153" s="17"/>
      <c r="I153" s="19"/>
    </row>
    <row r="154" customFormat="false" ht="15" hidden="false" customHeight="false" outlineLevel="0" collapsed="false">
      <c r="A154" s="13" t="s">
        <v>1073</v>
      </c>
      <c r="B154" s="41" t="n">
        <f aca="false">SQRT($B$83^2+($B$152*RADIANS($B$76)*100)^2+($B$152*RADIANS($B$77)*100)^2+$B$87^2+$B$79^2+$B$153^2+($B$152*RADIANS($B$81)*100)^2)</f>
        <v>4.29740865632364</v>
      </c>
      <c r="C154" s="15" t="s">
        <v>300</v>
      </c>
      <c r="D154" s="21" t="s">
        <v>1061</v>
      </c>
      <c r="E154" s="15" t="n">
        <v>4.3</v>
      </c>
      <c r="F154" s="22" t="str">
        <f aca="false">IF(ABS(B154-E154)&lt;=H154,"OK","CHECK")</f>
        <v>OK</v>
      </c>
      <c r="G154" s="23" t="n">
        <f aca="false">B154/30.48</f>
        <v>0.140991097648414</v>
      </c>
      <c r="H154" s="24" t="n">
        <v>0.05</v>
      </c>
      <c r="I154" s="19"/>
    </row>
    <row r="155" customFormat="false" ht="15" hidden="false" customHeight="false" outlineLevel="0" collapsed="false">
      <c r="A155" s="13" t="s">
        <v>1074</v>
      </c>
      <c r="B155" s="41" t="n">
        <f aca="false">SQRT($B$74^2+($B$152*RADIANS($B$75)*100)^2+($B$152*RADIANS($B$77)*100)^2+$B$78^2+($B$152*RADIANS($B$81)*100)^2)</f>
        <v>2.50578092327169</v>
      </c>
      <c r="C155" s="15" t="s">
        <v>300</v>
      </c>
      <c r="D155" s="21"/>
      <c r="E155" s="15" t="n">
        <v>2.5</v>
      </c>
      <c r="F155" s="22" t="str">
        <f aca="false">IF(ABS(B155-E155)&lt;=H155,"OK","CHECK")</f>
        <v>OK</v>
      </c>
      <c r="G155" s="23" t="n">
        <f aca="false">B155/30.48</f>
        <v>0.0822106602123257</v>
      </c>
      <c r="H155" s="24" t="n">
        <v>0.05</v>
      </c>
      <c r="I155" s="19"/>
    </row>
    <row r="156" customFormat="false" ht="15" hidden="false" customHeight="false" outlineLevel="0" collapsed="false">
      <c r="A156" s="2"/>
      <c r="B156" s="2"/>
      <c r="C156" s="2"/>
      <c r="D156" s="2"/>
      <c r="E156" s="2"/>
      <c r="F156" s="2"/>
      <c r="G156" s="2"/>
      <c r="H156" s="2"/>
      <c r="I156" s="2"/>
    </row>
    <row r="157" customFormat="false" ht="15" hidden="false" customHeight="false" outlineLevel="0" collapsed="false">
      <c r="A157" s="10" t="s">
        <v>1075</v>
      </c>
      <c r="B157" s="11"/>
      <c r="C157" s="11"/>
      <c r="D157" s="11"/>
      <c r="E157" s="11"/>
      <c r="F157" s="11"/>
      <c r="G157" s="11"/>
      <c r="H157" s="11"/>
      <c r="I157" s="11"/>
    </row>
    <row r="158" customFormat="false" ht="15" hidden="false" customHeight="true" outlineLevel="0" collapsed="false">
      <c r="A158" s="12" t="s">
        <v>1076</v>
      </c>
      <c r="B158" s="12"/>
      <c r="C158" s="12"/>
      <c r="D158" s="12"/>
      <c r="E158" s="12"/>
      <c r="F158" s="12"/>
      <c r="G158" s="12"/>
      <c r="H158" s="12"/>
      <c r="I158" s="12"/>
    </row>
    <row r="159" customFormat="false" ht="15" hidden="false" customHeight="false" outlineLevel="0" collapsed="false">
      <c r="A159" s="13" t="s">
        <v>329</v>
      </c>
      <c r="B159" s="14" t="n">
        <v>20</v>
      </c>
      <c r="C159" s="15" t="s">
        <v>230</v>
      </c>
      <c r="D159" s="16" t="s">
        <v>226</v>
      </c>
      <c r="E159" s="17"/>
      <c r="F159" s="17"/>
      <c r="G159" s="23" t="n">
        <f aca="false">B159/0.3048</f>
        <v>65.6167979002625</v>
      </c>
      <c r="H159" s="17"/>
      <c r="I159" s="19"/>
    </row>
    <row r="160" customFormat="false" ht="15" hidden="false" customHeight="false" outlineLevel="0" collapsed="false">
      <c r="A160" s="13" t="s">
        <v>1077</v>
      </c>
      <c r="B160" s="14" t="n">
        <v>2</v>
      </c>
      <c r="C160" s="15" t="s">
        <v>230</v>
      </c>
      <c r="D160" s="16" t="s">
        <v>226</v>
      </c>
      <c r="E160" s="17"/>
      <c r="F160" s="17"/>
      <c r="G160" s="23" t="n">
        <f aca="false">B160/0.3048</f>
        <v>6.56167979002625</v>
      </c>
      <c r="H160" s="17"/>
      <c r="I160" s="19"/>
    </row>
    <row r="161" customFormat="false" ht="15" hidden="false" customHeight="false" outlineLevel="0" collapsed="false">
      <c r="A161" s="13" t="s">
        <v>1078</v>
      </c>
      <c r="B161" s="14" t="n">
        <v>5</v>
      </c>
      <c r="C161" s="15" t="s">
        <v>230</v>
      </c>
      <c r="D161" s="16" t="s">
        <v>226</v>
      </c>
      <c r="E161" s="17"/>
      <c r="F161" s="17"/>
      <c r="G161" s="23" t="n">
        <f aca="false">B161/0.3048</f>
        <v>16.4041994750656</v>
      </c>
      <c r="H161" s="17"/>
      <c r="I161" s="19"/>
    </row>
    <row r="162" customFormat="false" ht="15" hidden="false" customHeight="false" outlineLevel="0" collapsed="false">
      <c r="A162" s="13" t="s">
        <v>1079</v>
      </c>
      <c r="B162" s="14" t="n">
        <v>0.8</v>
      </c>
      <c r="C162" s="15" t="s">
        <v>238</v>
      </c>
      <c r="D162" s="16" t="s">
        <v>226</v>
      </c>
      <c r="E162" s="17"/>
      <c r="F162" s="17"/>
      <c r="G162" s="17"/>
      <c r="H162" s="17"/>
      <c r="I162" s="19"/>
    </row>
    <row r="163" customFormat="false" ht="15" hidden="false" customHeight="false" outlineLevel="0" collapsed="false">
      <c r="A163" s="13" t="s">
        <v>986</v>
      </c>
      <c r="B163" s="14" t="n">
        <v>0.25</v>
      </c>
      <c r="C163" s="15" t="s">
        <v>238</v>
      </c>
      <c r="D163" s="16" t="s">
        <v>226</v>
      </c>
      <c r="E163" s="17"/>
      <c r="F163" s="17"/>
      <c r="G163" s="17"/>
      <c r="H163" s="17"/>
      <c r="I163" s="19"/>
    </row>
    <row r="164" customFormat="false" ht="15" hidden="false" customHeight="false" outlineLevel="0" collapsed="false">
      <c r="A164" s="13" t="s">
        <v>1080</v>
      </c>
      <c r="B164" s="14" t="n">
        <v>0.0131</v>
      </c>
      <c r="C164" s="15" t="s">
        <v>230</v>
      </c>
      <c r="D164" s="16" t="s">
        <v>226</v>
      </c>
      <c r="E164" s="17"/>
      <c r="F164" s="17"/>
      <c r="G164" s="23" t="n">
        <f aca="false">B164/0.3048</f>
        <v>0.0429790026246719</v>
      </c>
      <c r="H164" s="17"/>
      <c r="I164" s="19"/>
    </row>
    <row r="165" customFormat="false" ht="15" hidden="false" customHeight="false" outlineLevel="0" collapsed="false">
      <c r="A165" s="13" t="s">
        <v>1081</v>
      </c>
      <c r="B165" s="28" t="n">
        <f aca="false">SQRT($B$160^2+($B$159*RADIANS($B$162))^2+$B$164^2)</f>
        <v>2.01944390104439</v>
      </c>
      <c r="C165" s="15" t="s">
        <v>230</v>
      </c>
      <c r="D165" s="21" t="s">
        <v>1082</v>
      </c>
      <c r="E165" s="15" t="n">
        <v>2.02</v>
      </c>
      <c r="F165" s="22" t="str">
        <f aca="false">IF(ABS(B165-E165)&lt;=H165,"OK","CHECK")</f>
        <v>OK</v>
      </c>
      <c r="G165" s="23" t="n">
        <f aca="false">B165/0.3048</f>
        <v>6.62547211628738</v>
      </c>
      <c r="H165" s="24" t="n">
        <v>0.005</v>
      </c>
      <c r="I165" s="19"/>
    </row>
    <row r="166" customFormat="false" ht="15" hidden="false" customHeight="false" outlineLevel="0" collapsed="false">
      <c r="A166" s="13" t="s">
        <v>1083</v>
      </c>
      <c r="B166" s="28" t="n">
        <f aca="false">SQRT($B$161^2+($B$159*RADIANS($B$163))^2)</f>
        <v>5.00076148556344</v>
      </c>
      <c r="C166" s="15" t="s">
        <v>230</v>
      </c>
      <c r="D166" s="21" t="s">
        <v>1084</v>
      </c>
      <c r="E166" s="15" t="n">
        <v>5</v>
      </c>
      <c r="F166" s="22" t="str">
        <f aca="false">IF(ABS(B166-E166)&lt;=H166,"OK","CHECK")</f>
        <v>OK</v>
      </c>
      <c r="G166" s="23" t="n">
        <f aca="false">B166/0.3048</f>
        <v>16.4066977872816</v>
      </c>
      <c r="H166" s="24" t="n">
        <v>0.005</v>
      </c>
      <c r="I166" s="19"/>
    </row>
    <row r="167" customFormat="false" ht="15" hidden="false" customHeight="false" outlineLevel="0" collapsed="false">
      <c r="A167" s="13" t="s">
        <v>1085</v>
      </c>
      <c r="B167" s="28" t="n">
        <f aca="false">$B$159*RADIANS($B$162)</f>
        <v>0.279252680319093</v>
      </c>
      <c r="C167" s="15" t="s">
        <v>230</v>
      </c>
      <c r="D167" s="21" t="s">
        <v>995</v>
      </c>
      <c r="E167" s="15" t="n">
        <v>0.28</v>
      </c>
      <c r="F167" s="22" t="str">
        <f aca="false">IF(ABS(B167-E167)&lt;=H167,"OK","CHECK")</f>
        <v>OK</v>
      </c>
      <c r="G167" s="23" t="n">
        <f aca="false">B167/0.3048</f>
        <v>0.916183334380226</v>
      </c>
      <c r="H167" s="24" t="n">
        <v>0.005</v>
      </c>
      <c r="I167" s="19"/>
    </row>
    <row r="168" customFormat="false" ht="15" hidden="false" customHeight="false" outlineLevel="0" collapsed="false">
      <c r="A168" s="2"/>
      <c r="B168" s="2"/>
      <c r="C168" s="2"/>
      <c r="D168" s="2"/>
      <c r="E168" s="2"/>
      <c r="F168" s="2"/>
      <c r="G168" s="2"/>
      <c r="H168" s="2"/>
      <c r="I168" s="2"/>
    </row>
    <row r="169" customFormat="false" ht="15" hidden="false" customHeight="false" outlineLevel="0" collapsed="false">
      <c r="A169" s="10" t="s">
        <v>1086</v>
      </c>
      <c r="B169" s="11"/>
      <c r="C169" s="11"/>
      <c r="D169" s="11"/>
      <c r="E169" s="11"/>
      <c r="F169" s="11"/>
      <c r="G169" s="11"/>
      <c r="H169" s="11"/>
      <c r="I169" s="11"/>
    </row>
    <row r="170" customFormat="false" ht="15" hidden="false" customHeight="true" outlineLevel="0" collapsed="false">
      <c r="A170" s="12" t="s">
        <v>1087</v>
      </c>
      <c r="B170" s="12"/>
      <c r="C170" s="12"/>
      <c r="D170" s="12"/>
      <c r="E170" s="12"/>
      <c r="F170" s="12"/>
      <c r="G170" s="12"/>
      <c r="H170" s="12"/>
      <c r="I170" s="12"/>
    </row>
    <row r="171" customFormat="false" ht="15" hidden="false" customHeight="false" outlineLevel="0" collapsed="false">
      <c r="A171" s="13" t="s">
        <v>329</v>
      </c>
      <c r="B171" s="14" t="n">
        <v>20</v>
      </c>
      <c r="C171" s="15" t="s">
        <v>230</v>
      </c>
      <c r="D171" s="16" t="s">
        <v>226</v>
      </c>
      <c r="E171" s="17"/>
      <c r="F171" s="17"/>
      <c r="G171" s="23" t="n">
        <f aca="false">B171/0.3048</f>
        <v>65.6167979002625</v>
      </c>
      <c r="H171" s="17"/>
      <c r="I171" s="19"/>
    </row>
    <row r="172" customFormat="false" ht="15" hidden="false" customHeight="false" outlineLevel="0" collapsed="false">
      <c r="A172" s="13" t="s">
        <v>1088</v>
      </c>
      <c r="B172" s="14" t="n">
        <v>2</v>
      </c>
      <c r="C172" s="15" t="s">
        <v>300</v>
      </c>
      <c r="D172" s="16" t="s">
        <v>226</v>
      </c>
      <c r="E172" s="17"/>
      <c r="F172" s="17"/>
      <c r="G172" s="23" t="n">
        <f aca="false">B172/30.48</f>
        <v>0.0656167979002625</v>
      </c>
      <c r="H172" s="17"/>
      <c r="I172" s="19"/>
    </row>
    <row r="173" customFormat="false" ht="15" hidden="false" customHeight="false" outlineLevel="0" collapsed="false">
      <c r="A173" s="13" t="s">
        <v>1079</v>
      </c>
      <c r="B173" s="14" t="n">
        <v>0.25</v>
      </c>
      <c r="C173" s="15" t="s">
        <v>238</v>
      </c>
      <c r="D173" s="16" t="s">
        <v>226</v>
      </c>
      <c r="E173" s="17"/>
      <c r="F173" s="17"/>
      <c r="G173" s="17"/>
      <c r="H173" s="17"/>
      <c r="I173" s="19"/>
    </row>
    <row r="174" customFormat="false" ht="15" hidden="false" customHeight="false" outlineLevel="0" collapsed="false">
      <c r="A174" s="13" t="s">
        <v>986</v>
      </c>
      <c r="B174" s="14" t="n">
        <v>0.05</v>
      </c>
      <c r="C174" s="15" t="s">
        <v>238</v>
      </c>
      <c r="D174" s="16" t="s">
        <v>226</v>
      </c>
      <c r="E174" s="17"/>
      <c r="F174" s="17"/>
      <c r="G174" s="17"/>
      <c r="H174" s="17"/>
      <c r="I174" s="19"/>
    </row>
    <row r="175" customFormat="false" ht="15" hidden="false" customHeight="false" outlineLevel="0" collapsed="false">
      <c r="A175" s="13" t="s">
        <v>1080</v>
      </c>
      <c r="B175" s="14" t="n">
        <v>1.31</v>
      </c>
      <c r="C175" s="15" t="s">
        <v>300</v>
      </c>
      <c r="D175" s="16" t="s">
        <v>226</v>
      </c>
      <c r="E175" s="17"/>
      <c r="F175" s="17"/>
      <c r="G175" s="23" t="n">
        <f aca="false">B175/30.48</f>
        <v>0.0429790026246719</v>
      </c>
      <c r="H175" s="17"/>
      <c r="I175" s="19"/>
    </row>
    <row r="176" customFormat="false" ht="15" hidden="false" customHeight="false" outlineLevel="0" collapsed="false">
      <c r="A176" s="13" t="s">
        <v>1089</v>
      </c>
      <c r="B176" s="32" t="n">
        <f aca="false">$B$171*RADIANS($B$173)*100</f>
        <v>8.72664625997165</v>
      </c>
      <c r="C176" s="15" t="s">
        <v>300</v>
      </c>
      <c r="D176" s="21" t="s">
        <v>995</v>
      </c>
      <c r="E176" s="15" t="n">
        <v>8.7</v>
      </c>
      <c r="F176" s="22" t="str">
        <f aca="false">IF(ABS(B176-E176)&lt;=H176,"OK","CHECK")</f>
        <v>OK</v>
      </c>
      <c r="G176" s="23" t="n">
        <f aca="false">B176/30.48</f>
        <v>0.28630729199382</v>
      </c>
      <c r="H176" s="24" t="n">
        <v>0.05</v>
      </c>
      <c r="I176" s="19"/>
    </row>
    <row r="177" customFormat="false" ht="15" hidden="false" customHeight="false" outlineLevel="0" collapsed="false">
      <c r="A177" s="13" t="s">
        <v>1081</v>
      </c>
      <c r="B177" s="32" t="n">
        <f aca="false">SQRT($B$172^2+$B$176^2+$B$175^2)</f>
        <v>9.04822938185572</v>
      </c>
      <c r="C177" s="15" t="s">
        <v>300</v>
      </c>
      <c r="D177" s="21"/>
      <c r="E177" s="15" t="n">
        <v>9</v>
      </c>
      <c r="F177" s="22" t="str">
        <f aca="false">IF(ABS(B177-E177)&lt;=H177,"OK","CHECK")</f>
        <v>OK</v>
      </c>
      <c r="G177" s="23" t="n">
        <f aca="false">B177/30.48</f>
        <v>0.296857919352222</v>
      </c>
      <c r="H177" s="24" t="n">
        <v>0.06</v>
      </c>
      <c r="I177" s="19"/>
    </row>
    <row r="178" customFormat="false" ht="15" hidden="false" customHeight="false" outlineLevel="0" collapsed="false">
      <c r="A178" s="13" t="s">
        <v>1083</v>
      </c>
      <c r="B178" s="32" t="n">
        <f aca="false">SQRT($B$172^2+($B$171*RADIANS($B$174)*100)^2)</f>
        <v>2.65446307148302</v>
      </c>
      <c r="C178" s="15" t="s">
        <v>300</v>
      </c>
      <c r="D178" s="21"/>
      <c r="E178" s="15" t="n">
        <v>2.7</v>
      </c>
      <c r="F178" s="22" t="str">
        <f aca="false">IF(ABS(B178-E178)&lt;=H178,"OK","CHECK")</f>
        <v>OK</v>
      </c>
      <c r="G178" s="23" t="n">
        <f aca="false">B178/30.48</f>
        <v>0.0870886834476057</v>
      </c>
      <c r="H178" s="24" t="n">
        <v>0.05</v>
      </c>
      <c r="I178" s="19"/>
    </row>
    <row r="179" customFormat="false" ht="15" hidden="false" customHeight="false" outlineLevel="0" collapsed="false">
      <c r="A179" s="2"/>
      <c r="B179" s="2"/>
      <c r="C179" s="2"/>
      <c r="D179" s="2"/>
      <c r="E179" s="2"/>
      <c r="F179" s="2"/>
      <c r="G179" s="2"/>
      <c r="H179" s="2"/>
      <c r="I179" s="2"/>
    </row>
    <row r="180" customFormat="false" ht="15" hidden="false" customHeight="false" outlineLevel="0" collapsed="false">
      <c r="A180" s="10" t="s">
        <v>1090</v>
      </c>
      <c r="B180" s="11"/>
      <c r="C180" s="11"/>
      <c r="D180" s="11"/>
      <c r="E180" s="11"/>
      <c r="F180" s="11"/>
      <c r="G180" s="11"/>
      <c r="H180" s="11"/>
      <c r="I180" s="11"/>
    </row>
    <row r="181" customFormat="false" ht="15" hidden="false" customHeight="true" outlineLevel="0" collapsed="false">
      <c r="A181" s="12" t="s">
        <v>1091</v>
      </c>
      <c r="B181" s="12"/>
      <c r="C181" s="12"/>
      <c r="D181" s="12"/>
      <c r="E181" s="12"/>
      <c r="F181" s="12"/>
      <c r="G181" s="12"/>
      <c r="H181" s="12"/>
      <c r="I181" s="12"/>
    </row>
    <row r="182" customFormat="false" ht="15" hidden="false" customHeight="false" outlineLevel="0" collapsed="false">
      <c r="A182" s="13" t="s">
        <v>1092</v>
      </c>
      <c r="B182" s="14" t="n">
        <v>500</v>
      </c>
      <c r="C182" s="15" t="s">
        <v>1093</v>
      </c>
      <c r="D182" s="16" t="s">
        <v>226</v>
      </c>
      <c r="E182" s="17"/>
      <c r="F182" s="17"/>
      <c r="G182" s="17"/>
      <c r="H182" s="17"/>
      <c r="I182" s="19"/>
    </row>
    <row r="183" customFormat="false" ht="15" hidden="false" customHeight="false" outlineLevel="0" collapsed="false">
      <c r="A183" s="13" t="s">
        <v>1094</v>
      </c>
      <c r="B183" s="14" t="n">
        <v>2.5</v>
      </c>
      <c r="C183" s="15" t="s">
        <v>300</v>
      </c>
      <c r="D183" s="16" t="s">
        <v>226</v>
      </c>
      <c r="E183" s="17"/>
      <c r="F183" s="17"/>
      <c r="G183" s="23" t="n">
        <f aca="false">B183/30.48</f>
        <v>0.0820209973753281</v>
      </c>
      <c r="H183" s="17"/>
      <c r="I183" s="19"/>
    </row>
    <row r="184" customFormat="false" ht="15" hidden="false" customHeight="false" outlineLevel="0" collapsed="false">
      <c r="A184" s="13" t="s">
        <v>1095</v>
      </c>
      <c r="B184" s="14" t="n">
        <v>3.75</v>
      </c>
      <c r="C184" s="15" t="s">
        <v>300</v>
      </c>
      <c r="D184" s="16" t="s">
        <v>226</v>
      </c>
      <c r="E184" s="17"/>
      <c r="F184" s="17"/>
      <c r="G184" s="23" t="n">
        <f aca="false">B184/30.48</f>
        <v>0.123031496062992</v>
      </c>
      <c r="H184" s="17"/>
      <c r="I184" s="19"/>
    </row>
    <row r="185" customFormat="false" ht="15" hidden="false" customHeight="false" outlineLevel="0" collapsed="false">
      <c r="A185" s="13" t="s">
        <v>1096</v>
      </c>
      <c r="B185" s="14" t="n">
        <v>0.005</v>
      </c>
      <c r="C185" s="15" t="s">
        <v>238</v>
      </c>
      <c r="D185" s="16" t="s">
        <v>226</v>
      </c>
      <c r="E185" s="17"/>
      <c r="F185" s="17"/>
      <c r="G185" s="17"/>
      <c r="H185" s="17"/>
      <c r="I185" s="19"/>
    </row>
    <row r="186" customFormat="false" ht="15" hidden="false" customHeight="false" outlineLevel="0" collapsed="false">
      <c r="A186" s="13" t="s">
        <v>987</v>
      </c>
      <c r="B186" s="14" t="n">
        <v>0.005</v>
      </c>
      <c r="C186" s="15" t="s">
        <v>238</v>
      </c>
      <c r="D186" s="16" t="s">
        <v>226</v>
      </c>
      <c r="E186" s="17"/>
      <c r="F186" s="17"/>
      <c r="G186" s="17"/>
      <c r="H186" s="17"/>
      <c r="I186" s="19"/>
    </row>
    <row r="187" customFormat="false" ht="15" hidden="false" customHeight="false" outlineLevel="0" collapsed="false">
      <c r="A187" s="13" t="s">
        <v>988</v>
      </c>
      <c r="B187" s="14" t="n">
        <v>0.5</v>
      </c>
      <c r="C187" s="15" t="s">
        <v>300</v>
      </c>
      <c r="D187" s="16" t="s">
        <v>226</v>
      </c>
      <c r="E187" s="17"/>
      <c r="F187" s="17"/>
      <c r="G187" s="23" t="n">
        <f aca="false">B187/30.48</f>
        <v>0.0164041994750656</v>
      </c>
      <c r="H187" s="17"/>
      <c r="I187" s="19"/>
    </row>
    <row r="188" customFormat="false" ht="15" hidden="false" customHeight="false" outlineLevel="0" collapsed="false">
      <c r="A188" s="13" t="s">
        <v>1097</v>
      </c>
      <c r="B188" s="14" t="n">
        <v>2.5</v>
      </c>
      <c r="C188" s="15" t="s">
        <v>300</v>
      </c>
      <c r="D188" s="16" t="s">
        <v>226</v>
      </c>
      <c r="E188" s="17"/>
      <c r="F188" s="17"/>
      <c r="G188" s="23" t="n">
        <f aca="false">B188/30.48</f>
        <v>0.0820209973753281</v>
      </c>
      <c r="H188" s="17"/>
      <c r="I188" s="19"/>
    </row>
    <row r="189" customFormat="false" ht="15" hidden="false" customHeight="false" outlineLevel="0" collapsed="false">
      <c r="A189" s="13" t="s">
        <v>1098</v>
      </c>
      <c r="B189" s="14" t="n">
        <v>0.08</v>
      </c>
      <c r="C189" s="15" t="s">
        <v>300</v>
      </c>
      <c r="D189" s="16" t="s">
        <v>226</v>
      </c>
      <c r="E189" s="17"/>
      <c r="F189" s="17"/>
      <c r="G189" s="23" t="n">
        <f aca="false">B189/30.48</f>
        <v>0.0026246719160105</v>
      </c>
      <c r="H189" s="17"/>
      <c r="I189" s="19"/>
    </row>
    <row r="190" customFormat="false" ht="15" hidden="false" customHeight="false" outlineLevel="0" collapsed="false">
      <c r="A190" s="13" t="s">
        <v>329</v>
      </c>
      <c r="B190" s="32" t="n">
        <f aca="false">$B$182*0.3048</f>
        <v>152.4</v>
      </c>
      <c r="C190" s="15" t="s">
        <v>230</v>
      </c>
      <c r="D190" s="21" t="s">
        <v>1099</v>
      </c>
      <c r="E190" s="15" t="n">
        <v>152.4</v>
      </c>
      <c r="F190" s="22" t="str">
        <f aca="false">IF(ABS(B190-E190)&lt;=H190,"OK","CHECK")</f>
        <v>OK</v>
      </c>
      <c r="G190" s="23" t="n">
        <f aca="false">B190/0.3048</f>
        <v>500</v>
      </c>
      <c r="H190" s="24" t="n">
        <v>1E-006</v>
      </c>
      <c r="I190" s="19"/>
    </row>
    <row r="191" customFormat="false" ht="15" hidden="false" customHeight="false" outlineLevel="0" collapsed="false">
      <c r="A191" s="13" t="s">
        <v>1100</v>
      </c>
      <c r="B191" s="28" t="n">
        <f aca="false">$B$190*RADIANS($B$185)*100</f>
        <v>1.32994089001968</v>
      </c>
      <c r="C191" s="15" t="s">
        <v>300</v>
      </c>
      <c r="D191" s="21" t="s">
        <v>563</v>
      </c>
      <c r="E191" s="15" t="n">
        <v>1.33</v>
      </c>
      <c r="F191" s="22" t="str">
        <f aca="false">IF(ABS(B191-E191)&lt;=H191,"OK","CHECK")</f>
        <v>OK</v>
      </c>
      <c r="G191" s="23" t="n">
        <f aca="false">B191/30.48</f>
        <v>0.0436332312998582</v>
      </c>
      <c r="H191" s="24" t="n">
        <v>0.005</v>
      </c>
      <c r="I191" s="19"/>
    </row>
    <row r="192" customFormat="false" ht="15" hidden="false" customHeight="false" outlineLevel="0" collapsed="false">
      <c r="A192" s="13" t="s">
        <v>1101</v>
      </c>
      <c r="B192" s="28" t="n">
        <f aca="false">SQRT(2)*$B$191</f>
        <v>1.88082044382038</v>
      </c>
      <c r="C192" s="15" t="s">
        <v>300</v>
      </c>
      <c r="D192" s="21" t="s">
        <v>1102</v>
      </c>
      <c r="E192" s="15" t="n">
        <v>1.88</v>
      </c>
      <c r="F192" s="22" t="str">
        <f aca="false">IF(ABS(B192-E192)&lt;=H192,"OK","CHECK")</f>
        <v>OK</v>
      </c>
      <c r="G192" s="23" t="n">
        <f aca="false">B192/30.48</f>
        <v>0.0617067074744218</v>
      </c>
      <c r="H192" s="24" t="n">
        <v>0.005</v>
      </c>
      <c r="I192" s="19"/>
    </row>
    <row r="193" customFormat="false" ht="15" hidden="false" customHeight="false" outlineLevel="0" collapsed="false">
      <c r="A193" s="13" t="s">
        <v>1103</v>
      </c>
      <c r="B193" s="28" t="n">
        <f aca="false">SQRT(2)*$B$190*RADIANS($B$186)*100</f>
        <v>1.88082044382038</v>
      </c>
      <c r="C193" s="15" t="s">
        <v>300</v>
      </c>
      <c r="D193" s="21"/>
      <c r="E193" s="15" t="n">
        <v>1.88</v>
      </c>
      <c r="F193" s="22" t="str">
        <f aca="false">IF(ABS(B193-E193)&lt;=H193,"OK","CHECK")</f>
        <v>OK</v>
      </c>
      <c r="G193" s="23" t="n">
        <f aca="false">B193/30.48</f>
        <v>0.0617067074744218</v>
      </c>
      <c r="H193" s="24" t="n">
        <v>0.005</v>
      </c>
      <c r="I193" s="19"/>
    </row>
    <row r="194" customFormat="false" ht="15" hidden="false" customHeight="false" outlineLevel="0" collapsed="false">
      <c r="A194" s="13" t="s">
        <v>1104</v>
      </c>
      <c r="B194" s="28" t="n">
        <f aca="false">SQRT(2)*$B$187</f>
        <v>0.707106781186548</v>
      </c>
      <c r="C194" s="15" t="s">
        <v>300</v>
      </c>
      <c r="D194" s="21"/>
      <c r="E194" s="15" t="n">
        <v>0.71</v>
      </c>
      <c r="F194" s="22" t="str">
        <f aca="false">IF(ABS(B194-E194)&lt;=H194,"OK","CHECK")</f>
        <v>OK</v>
      </c>
      <c r="G194" s="23" t="n">
        <f aca="false">B194/30.48</f>
        <v>0.0231990413775114</v>
      </c>
      <c r="H194" s="24" t="n">
        <v>0.005</v>
      </c>
      <c r="I194" s="19"/>
    </row>
    <row r="195" customFormat="false" ht="15" hidden="false" customHeight="false" outlineLevel="0" collapsed="false">
      <c r="A195" s="13" t="s">
        <v>1105</v>
      </c>
      <c r="B195" s="28" t="n">
        <f aca="false">$B$183^2+$B$192^2+$B$193^2+$B$194^2+$B$189^2</f>
        <v>13.8313710837853</v>
      </c>
      <c r="C195" s="15" t="s">
        <v>314</v>
      </c>
      <c r="D195" s="21"/>
      <c r="E195" s="15" t="n">
        <v>13.84</v>
      </c>
      <c r="F195" s="22" t="str">
        <f aca="false">IF(ABS(B195-E195)&lt;=H195,"OK","CHECK")</f>
        <v>OK</v>
      </c>
      <c r="G195" s="17"/>
      <c r="H195" s="24" t="n">
        <v>0.05</v>
      </c>
      <c r="I195" s="19"/>
    </row>
    <row r="196" customFormat="false" ht="15" hidden="false" customHeight="false" outlineLevel="0" collapsed="false">
      <c r="A196" s="13" t="s">
        <v>1007</v>
      </c>
      <c r="B196" s="32" t="n">
        <f aca="false">SQRT($B$195)</f>
        <v>3.71905513320055</v>
      </c>
      <c r="C196" s="15" t="s">
        <v>300</v>
      </c>
      <c r="D196" s="21"/>
      <c r="E196" s="15" t="n">
        <v>3.7</v>
      </c>
      <c r="F196" s="22" t="str">
        <f aca="false">IF(ABS(B196-E196)&lt;=H196,"OK","CHECK")</f>
        <v>OK</v>
      </c>
      <c r="G196" s="23" t="n">
        <f aca="false">B196/30.48</f>
        <v>0.122016244527577</v>
      </c>
      <c r="H196" s="24" t="n">
        <v>0.05</v>
      </c>
      <c r="I196" s="19"/>
    </row>
    <row r="197" customFormat="false" ht="15" hidden="false" customHeight="false" outlineLevel="0" collapsed="false">
      <c r="A197" s="13" t="s">
        <v>1106</v>
      </c>
      <c r="B197" s="28" t="n">
        <f aca="false">$B$184^2+$B$188^2+$B$187^2</f>
        <v>20.5625</v>
      </c>
      <c r="C197" s="15" t="s">
        <v>314</v>
      </c>
      <c r="D197" s="21"/>
      <c r="E197" s="15" t="n">
        <v>20.6</v>
      </c>
      <c r="F197" s="22" t="str">
        <f aca="false">IF(ABS(B197-E197)&lt;=H197,"OK","CHECK")</f>
        <v>OK</v>
      </c>
      <c r="G197" s="17"/>
      <c r="H197" s="24" t="n">
        <v>0.05</v>
      </c>
      <c r="I197" s="19"/>
    </row>
    <row r="198" customFormat="false" ht="15" hidden="false" customHeight="false" outlineLevel="0" collapsed="false">
      <c r="A198" s="13" t="s">
        <v>1010</v>
      </c>
      <c r="B198" s="32" t="n">
        <f aca="false">SQRT($B$197)</f>
        <v>4.53458928680426</v>
      </c>
      <c r="C198" s="15" t="s">
        <v>300</v>
      </c>
      <c r="D198" s="21"/>
      <c r="E198" s="15" t="n">
        <v>4.5</v>
      </c>
      <c r="F198" s="22" t="str">
        <f aca="false">IF(ABS(B198-E198)&lt;=H198,"OK","CHECK")</f>
        <v>OK</v>
      </c>
      <c r="G198" s="23" t="n">
        <f aca="false">B198/30.48</f>
        <v>0.148772614396465</v>
      </c>
      <c r="H198" s="24" t="n">
        <v>0.05</v>
      </c>
      <c r="I198" s="19"/>
    </row>
    <row r="199" customFormat="false" ht="15" hidden="false" customHeight="false" outlineLevel="0" collapsed="false">
      <c r="A199" s="2"/>
      <c r="B199" s="2"/>
      <c r="C199" s="2"/>
      <c r="D199" s="2"/>
      <c r="E199" s="2"/>
      <c r="F199" s="2"/>
      <c r="G199" s="2"/>
      <c r="H199" s="2"/>
      <c r="I199" s="2"/>
    </row>
    <row r="200" customFormat="false" ht="15" hidden="false" customHeight="false" outlineLevel="0" collapsed="false">
      <c r="A200" s="10" t="s">
        <v>1107</v>
      </c>
      <c r="B200" s="11"/>
      <c r="C200" s="11"/>
      <c r="D200" s="11"/>
      <c r="E200" s="11"/>
      <c r="F200" s="11"/>
      <c r="G200" s="11"/>
      <c r="H200" s="11"/>
      <c r="I200" s="11"/>
    </row>
    <row r="201" customFormat="false" ht="15" hidden="false" customHeight="true" outlineLevel="0" collapsed="false">
      <c r="A201" s="12" t="s">
        <v>1108</v>
      </c>
      <c r="B201" s="12"/>
      <c r="C201" s="12"/>
      <c r="D201" s="12"/>
      <c r="E201" s="12"/>
      <c r="F201" s="12"/>
      <c r="G201" s="12"/>
      <c r="H201" s="12"/>
      <c r="I201" s="12"/>
    </row>
    <row r="202" customFormat="false" ht="15" hidden="false" customHeight="false" outlineLevel="0" collapsed="false">
      <c r="A202" s="13" t="s">
        <v>1109</v>
      </c>
      <c r="B202" s="14" t="n">
        <v>37.5</v>
      </c>
      <c r="C202" s="15" t="s">
        <v>238</v>
      </c>
      <c r="D202" s="16" t="s">
        <v>226</v>
      </c>
      <c r="E202" s="17"/>
      <c r="F202" s="17"/>
      <c r="G202" s="17"/>
      <c r="H202" s="17"/>
      <c r="I202" s="19"/>
    </row>
    <row r="203" customFormat="false" ht="15" hidden="false" customHeight="false" outlineLevel="0" collapsed="false">
      <c r="A203" s="13" t="s">
        <v>1110</v>
      </c>
      <c r="B203" s="41" t="n">
        <f aca="false">SQRT(2)*$B$191*COS(RADIANS($B$202))</f>
        <v>1.49215518159294</v>
      </c>
      <c r="C203" s="15" t="s">
        <v>300</v>
      </c>
      <c r="D203" s="21" t="s">
        <v>1111</v>
      </c>
      <c r="E203" s="15" t="n">
        <v>1.49</v>
      </c>
      <c r="F203" s="22" t="str">
        <f aca="false">IF(ABS(B203-E203)&lt;=H203,"OK","CHECK")</f>
        <v>OK</v>
      </c>
      <c r="G203" s="23" t="n">
        <f aca="false">B203/30.48</f>
        <v>0.0489552224932066</v>
      </c>
      <c r="H203" s="24" t="n">
        <v>0.005</v>
      </c>
      <c r="I203" s="19"/>
    </row>
    <row r="204" customFormat="false" ht="15" hidden="false" customHeight="false" outlineLevel="0" collapsed="false">
      <c r="A204" s="13" t="s">
        <v>1112</v>
      </c>
      <c r="B204" s="41" t="n">
        <f aca="false">$B$191*SIN(RADIANS($B$202))</f>
        <v>0.80961671670551</v>
      </c>
      <c r="C204" s="15" t="s">
        <v>300</v>
      </c>
      <c r="D204" s="21" t="s">
        <v>1113</v>
      </c>
      <c r="E204" s="15" t="n">
        <v>0.81</v>
      </c>
      <c r="F204" s="22" t="str">
        <f aca="false">IF(ABS(B204-E204)&lt;=H204,"OK","CHECK")</f>
        <v>OK</v>
      </c>
      <c r="G204" s="23" t="n">
        <f aca="false">B204/30.48</f>
        <v>0.0265622282383697</v>
      </c>
      <c r="H204" s="24" t="n">
        <v>0.005</v>
      </c>
      <c r="I204" s="19"/>
    </row>
    <row r="205" customFormat="false" ht="15" hidden="false" customHeight="false" outlineLevel="0" collapsed="false">
      <c r="A205" s="13" t="s">
        <v>1114</v>
      </c>
      <c r="B205" s="41" t="n">
        <f aca="false">$B$188*SIN(RADIANS($B$202))</f>
        <v>1.5219035725218</v>
      </c>
      <c r="C205" s="15" t="s">
        <v>300</v>
      </c>
      <c r="D205" s="21" t="s">
        <v>1115</v>
      </c>
      <c r="E205" s="15" t="n">
        <v>1.52</v>
      </c>
      <c r="F205" s="22" t="str">
        <f aca="false">IF(ABS(B205-E205)&lt;=H205,"OK","CHECK")</f>
        <v>OK</v>
      </c>
      <c r="G205" s="23" t="n">
        <f aca="false">B205/30.48</f>
        <v>0.0499312195709252</v>
      </c>
      <c r="H205" s="24" t="n">
        <v>0.005</v>
      </c>
      <c r="I205" s="19"/>
    </row>
    <row r="206" customFormat="false" ht="15" hidden="false" customHeight="false" outlineLevel="0" collapsed="false">
      <c r="A206" s="13" t="s">
        <v>1116</v>
      </c>
      <c r="B206" s="41" t="n">
        <f aca="false">SQRT(2*($B$191*COS(RADIANS($B$202)))^2+($B$191*SIN(RADIANS($B$202)))^2)</f>
        <v>1.69764728784387</v>
      </c>
      <c r="C206" s="15" t="s">
        <v>300</v>
      </c>
      <c r="D206" s="21"/>
      <c r="E206" s="15" t="n">
        <v>1.7</v>
      </c>
      <c r="F206" s="22" t="str">
        <f aca="false">IF(ABS(B206-E206)&lt;=H206,"OK","CHECK")</f>
        <v>OK</v>
      </c>
      <c r="G206" s="23" t="n">
        <f aca="false">B206/30.48</f>
        <v>0.0556970894961901</v>
      </c>
      <c r="H206" s="24" t="n">
        <v>0.005</v>
      </c>
      <c r="I206" s="19"/>
    </row>
    <row r="207" customFormat="false" ht="15" hidden="false" customHeight="false" outlineLevel="0" collapsed="false">
      <c r="A207" s="13" t="s">
        <v>1007</v>
      </c>
      <c r="B207" s="43" t="n">
        <f aca="false">SQRT($B$183^2+$B$203^2+$B$204^2+$B$205^2+$B$206^2+$B$194^2)</f>
        <v>3.85100027420175</v>
      </c>
      <c r="C207" s="15" t="s">
        <v>300</v>
      </c>
      <c r="D207" s="21"/>
      <c r="E207" s="15" t="n">
        <v>3.9</v>
      </c>
      <c r="F207" s="22" t="str">
        <f aca="false">IF(ABS(B207-E207)&lt;=H207,"OK","CHECK")</f>
        <v>OK</v>
      </c>
      <c r="G207" s="23" t="n">
        <f aca="false">B207/30.48</f>
        <v>0.126345153353076</v>
      </c>
      <c r="H207" s="24" t="n">
        <v>0.06</v>
      </c>
      <c r="I207" s="19"/>
    </row>
    <row r="208" customFormat="false" ht="15" hidden="false" customHeight="false" outlineLevel="0" collapsed="false">
      <c r="A208" s="13" t="s">
        <v>1117</v>
      </c>
      <c r="B208" s="41" t="n">
        <f aca="false">$B$191*SIN(RADIANS($B$202))</f>
        <v>0.80961671670551</v>
      </c>
      <c r="C208" s="15" t="s">
        <v>300</v>
      </c>
      <c r="D208" s="21" t="s">
        <v>1118</v>
      </c>
      <c r="E208" s="15" t="n">
        <v>0.81</v>
      </c>
      <c r="F208" s="22" t="str">
        <f aca="false">IF(ABS(B208-E208)&lt;=H208,"OK","CHECK")</f>
        <v>OK</v>
      </c>
      <c r="G208" s="23" t="n">
        <f aca="false">B208/30.48</f>
        <v>0.0265622282383697</v>
      </c>
      <c r="H208" s="24" t="n">
        <v>0.005</v>
      </c>
      <c r="I208" s="19"/>
    </row>
    <row r="209" customFormat="false" ht="15" hidden="false" customHeight="false" outlineLevel="0" collapsed="false">
      <c r="A209" s="13" t="s">
        <v>1119</v>
      </c>
      <c r="B209" s="41" t="n">
        <f aca="false">$B$188*COS(RADIANS($B$202))</f>
        <v>1.98338335072809</v>
      </c>
      <c r="C209" s="15" t="s">
        <v>300</v>
      </c>
      <c r="D209" s="21" t="s">
        <v>1120</v>
      </c>
      <c r="E209" s="15" t="n">
        <v>1.98</v>
      </c>
      <c r="F209" s="22" t="str">
        <f aca="false">IF(ABS(B209-E209)&lt;=H209,"OK","CHECK")</f>
        <v>OK</v>
      </c>
      <c r="G209" s="23" t="n">
        <f aca="false">B209/30.48</f>
        <v>0.0650716322417352</v>
      </c>
      <c r="H209" s="24" t="n">
        <v>0.005</v>
      </c>
      <c r="I209" s="19"/>
    </row>
    <row r="210" customFormat="false" ht="15" hidden="false" customHeight="false" outlineLevel="0" collapsed="false">
      <c r="A210" s="13" t="s">
        <v>1010</v>
      </c>
      <c r="B210" s="43" t="n">
        <f aca="false">SQRT($B$184^2+$B$208^2+$B$209^2+$B$208^2+$B$187^2)</f>
        <v>4.42236000025817</v>
      </c>
      <c r="C210" s="15" t="s">
        <v>300</v>
      </c>
      <c r="D210" s="21" t="s">
        <v>1121</v>
      </c>
      <c r="E210" s="15" t="n">
        <v>4.4</v>
      </c>
      <c r="F210" s="22" t="str">
        <f aca="false">IF(ABS(B210-E210)&lt;=H210,"OK","CHECK")</f>
        <v>OK</v>
      </c>
      <c r="G210" s="23" t="n">
        <f aca="false">B210/30.48</f>
        <v>0.145090551189572</v>
      </c>
      <c r="H210" s="24" t="n">
        <v>0.05</v>
      </c>
      <c r="I210" s="19"/>
    </row>
    <row r="211" customFormat="false" ht="15" hidden="false" customHeight="false" outlineLevel="0" collapsed="false">
      <c r="A211" s="2"/>
      <c r="B211" s="2"/>
      <c r="C211" s="2"/>
      <c r="D211" s="2"/>
      <c r="E211" s="2"/>
      <c r="F211" s="2"/>
      <c r="G211" s="2"/>
      <c r="H211" s="2"/>
      <c r="I211" s="2"/>
    </row>
    <row r="212" customFormat="false" ht="15" hidden="false" customHeight="false" outlineLevel="0" collapsed="false">
      <c r="A212" s="10" t="s">
        <v>1122</v>
      </c>
      <c r="B212" s="11"/>
      <c r="C212" s="11"/>
      <c r="D212" s="11"/>
      <c r="E212" s="11"/>
      <c r="F212" s="11"/>
      <c r="G212" s="11"/>
      <c r="H212" s="11"/>
      <c r="I212" s="11"/>
    </row>
    <row r="213" customFormat="false" ht="15" hidden="false" customHeight="true" outlineLevel="0" collapsed="false">
      <c r="A213" s="12" t="s">
        <v>1123</v>
      </c>
      <c r="B213" s="12"/>
      <c r="C213" s="12"/>
      <c r="D213" s="12"/>
      <c r="E213" s="12"/>
      <c r="F213" s="12"/>
      <c r="G213" s="12"/>
      <c r="H213" s="12"/>
      <c r="I213" s="12"/>
    </row>
    <row r="214" customFormat="false" ht="15" hidden="false" customHeight="false" outlineLevel="0" collapsed="false">
      <c r="A214" s="13" t="s">
        <v>1124</v>
      </c>
      <c r="B214" s="14" t="n">
        <v>1.5</v>
      </c>
      <c r="C214" s="15" t="s">
        <v>300</v>
      </c>
      <c r="D214" s="16" t="s">
        <v>226</v>
      </c>
      <c r="E214" s="17"/>
      <c r="F214" s="17"/>
      <c r="G214" s="23" t="n">
        <f aca="false">B214/30.48</f>
        <v>0.0492125984251968</v>
      </c>
      <c r="H214" s="17"/>
      <c r="I214" s="19"/>
    </row>
    <row r="215" customFormat="false" ht="15" hidden="false" customHeight="false" outlineLevel="0" collapsed="false">
      <c r="A215" s="13" t="s">
        <v>1125</v>
      </c>
      <c r="B215" s="14" t="n">
        <v>1</v>
      </c>
      <c r="C215" s="15" t="s">
        <v>300</v>
      </c>
      <c r="D215" s="16" t="s">
        <v>226</v>
      </c>
      <c r="E215" s="17"/>
      <c r="F215" s="17"/>
      <c r="G215" s="23" t="n">
        <f aca="false">B215/30.48</f>
        <v>0.0328083989501312</v>
      </c>
      <c r="H215" s="17"/>
      <c r="I215" s="19"/>
    </row>
    <row r="216" customFormat="false" ht="15" hidden="false" customHeight="false" outlineLevel="0" collapsed="false">
      <c r="A216" s="13" t="s">
        <v>1126</v>
      </c>
      <c r="B216" s="14" t="n">
        <v>0.01</v>
      </c>
      <c r="C216" s="15" t="s">
        <v>238</v>
      </c>
      <c r="D216" s="16" t="s">
        <v>226</v>
      </c>
      <c r="E216" s="17"/>
      <c r="F216" s="17"/>
      <c r="G216" s="17"/>
      <c r="H216" s="17"/>
      <c r="I216" s="19"/>
    </row>
    <row r="217" customFormat="false" ht="15" hidden="false" customHeight="false" outlineLevel="0" collapsed="false">
      <c r="A217" s="13" t="s">
        <v>1127</v>
      </c>
      <c r="B217" s="14" t="n">
        <v>0.025</v>
      </c>
      <c r="C217" s="15" t="s">
        <v>238</v>
      </c>
      <c r="D217" s="16" t="s">
        <v>226</v>
      </c>
      <c r="E217" s="17"/>
      <c r="F217" s="17"/>
      <c r="G217" s="17"/>
      <c r="H217" s="17"/>
      <c r="I217" s="19"/>
    </row>
    <row r="218" customFormat="false" ht="15" hidden="false" customHeight="false" outlineLevel="0" collapsed="false">
      <c r="A218" s="13" t="s">
        <v>1128</v>
      </c>
      <c r="B218" s="43" t="n">
        <f aca="false">SQRT($B$214^2+$B$192^2+$B$193^2+$B$194^2)</f>
        <v>3.13448099113479</v>
      </c>
      <c r="C218" s="15" t="s">
        <v>300</v>
      </c>
      <c r="D218" s="21"/>
      <c r="E218" s="15" t="n">
        <v>3.1</v>
      </c>
      <c r="F218" s="22" t="str">
        <f aca="false">IF(ABS(B218-E218)&lt;=H218,"OK","CHECK")</f>
        <v>OK</v>
      </c>
      <c r="G218" s="23" t="n">
        <f aca="false">B218/30.48</f>
        <v>0.102837302858753</v>
      </c>
      <c r="H218" s="24" t="n">
        <v>0.05</v>
      </c>
      <c r="I218" s="19"/>
    </row>
    <row r="219" customFormat="false" ht="15" hidden="false" customHeight="false" outlineLevel="0" collapsed="false">
      <c r="A219" s="13" t="s">
        <v>1129</v>
      </c>
      <c r="B219" s="43" t="n">
        <f aca="false">SQRT($B$214^2+$B$188^2+$B$187^2)</f>
        <v>2.95803989154981</v>
      </c>
      <c r="C219" s="15" t="s">
        <v>300</v>
      </c>
      <c r="D219" s="21"/>
      <c r="E219" s="15" t="n">
        <v>3</v>
      </c>
      <c r="F219" s="22" t="str">
        <f aca="false">IF(ABS(B219-E219)&lt;=H219,"OK","CHECK")</f>
        <v>OK</v>
      </c>
      <c r="G219" s="23" t="n">
        <f aca="false">B219/30.48</f>
        <v>0.097048552872369</v>
      </c>
      <c r="H219" s="24" t="n">
        <v>0.05</v>
      </c>
      <c r="I219" s="19"/>
    </row>
    <row r="220" customFormat="false" ht="15" hidden="false" customHeight="false" outlineLevel="0" collapsed="false">
      <c r="A220" s="13" t="s">
        <v>1130</v>
      </c>
      <c r="B220" s="32" t="n">
        <f aca="false">SQRT($B$219^2+$B$215^2)</f>
        <v>3.1224989991992</v>
      </c>
      <c r="C220" s="15" t="s">
        <v>300</v>
      </c>
      <c r="D220" s="21"/>
      <c r="E220" s="15" t="n">
        <v>3.1</v>
      </c>
      <c r="F220" s="22" t="str">
        <f aca="false">IF(ABS(B220-E220)&lt;=H220,"OK","CHECK")</f>
        <v>OK</v>
      </c>
      <c r="G220" s="23" t="n">
        <f aca="false">B220/30.48</f>
        <v>0.102444192887113</v>
      </c>
      <c r="H220" s="24" t="n">
        <v>0.05</v>
      </c>
      <c r="I220" s="19"/>
    </row>
    <row r="221" customFormat="false" ht="15" hidden="false" customHeight="false" outlineLevel="0" collapsed="false">
      <c r="A221" s="13" t="s">
        <v>1131</v>
      </c>
      <c r="B221" s="41" t="n">
        <f aca="false">SQRT(2)*$B$190*RADIANS($B$216)*100*COS(RADIANS($B$202))</f>
        <v>2.98431036318588</v>
      </c>
      <c r="C221" s="15" t="s">
        <v>300</v>
      </c>
      <c r="D221" s="21"/>
      <c r="E221" s="15" t="n">
        <v>2.98</v>
      </c>
      <c r="F221" s="22" t="str">
        <f aca="false">IF(ABS(B221-E221)&lt;=H221,"OK","CHECK")</f>
        <v>OK</v>
      </c>
      <c r="G221" s="23" t="n">
        <f aca="false">B221/30.48</f>
        <v>0.0979104449864133</v>
      </c>
      <c r="H221" s="24" t="n">
        <v>0.005</v>
      </c>
      <c r="I221" s="19"/>
    </row>
    <row r="222" customFormat="false" ht="15" hidden="false" customHeight="false" outlineLevel="0" collapsed="false">
      <c r="A222" s="13" t="s">
        <v>1132</v>
      </c>
      <c r="B222" s="41" t="n">
        <f aca="false">$B$190*RADIANS($B$217)*100*SIN(RADIANS($B$202))</f>
        <v>4.04808358352755</v>
      </c>
      <c r="C222" s="15" t="s">
        <v>300</v>
      </c>
      <c r="D222" s="21"/>
      <c r="E222" s="15" t="n">
        <v>4.05</v>
      </c>
      <c r="F222" s="22" t="str">
        <f aca="false">IF(ABS(B222-E222)&lt;=H222,"OK","CHECK")</f>
        <v>OK</v>
      </c>
      <c r="G222" s="23" t="n">
        <f aca="false">B222/30.48</f>
        <v>0.132811141191849</v>
      </c>
      <c r="H222" s="24" t="n">
        <v>0.005</v>
      </c>
      <c r="I222" s="19"/>
    </row>
    <row r="223" customFormat="false" ht="15" hidden="false" customHeight="false" outlineLevel="0" collapsed="false">
      <c r="A223" s="13" t="s">
        <v>1133</v>
      </c>
      <c r="B223" s="43" t="n">
        <f aca="false">SQRT($B$214^2+$B$221^2+$B$222^2+$B$205^2+$B$206^2+$B$194^2)</f>
        <v>5.76552563440855</v>
      </c>
      <c r="C223" s="15" t="s">
        <v>300</v>
      </c>
      <c r="D223" s="21"/>
      <c r="E223" s="15" t="n">
        <v>5.8</v>
      </c>
      <c r="F223" s="22" t="str">
        <f aca="false">IF(ABS(B223-E223)&lt;=H223,"OK","CHECK")</f>
        <v>OK</v>
      </c>
      <c r="G223" s="23" t="n">
        <f aca="false">B223/30.48</f>
        <v>0.189157665170884</v>
      </c>
      <c r="H223" s="24" t="n">
        <v>0.05</v>
      </c>
      <c r="I223" s="19"/>
    </row>
    <row r="224" customFormat="false" ht="15" hidden="false" customHeight="false" outlineLevel="0" collapsed="false">
      <c r="A224" s="2"/>
      <c r="B224" s="2"/>
      <c r="C224" s="2"/>
      <c r="D224" s="2"/>
      <c r="E224" s="2"/>
      <c r="F224" s="2"/>
      <c r="G224" s="2"/>
      <c r="H224" s="2"/>
      <c r="I224" s="2"/>
    </row>
    <row r="225" customFormat="false" ht="15" hidden="false" customHeight="false" outlineLevel="0" collapsed="false">
      <c r="A225" s="10" t="s">
        <v>1134</v>
      </c>
      <c r="B225" s="11"/>
      <c r="C225" s="11"/>
      <c r="D225" s="11"/>
      <c r="E225" s="11"/>
      <c r="F225" s="11"/>
      <c r="G225" s="11"/>
      <c r="H225" s="11"/>
      <c r="I225" s="11"/>
    </row>
    <row r="226" customFormat="false" ht="15" hidden="false" customHeight="true" outlineLevel="0" collapsed="false">
      <c r="A226" s="12" t="s">
        <v>1135</v>
      </c>
      <c r="B226" s="12"/>
      <c r="C226" s="12"/>
      <c r="D226" s="12"/>
      <c r="E226" s="12"/>
      <c r="F226" s="12"/>
      <c r="G226" s="12"/>
      <c r="H226" s="12"/>
      <c r="I226" s="12"/>
    </row>
    <row r="227" customFormat="false" ht="15" hidden="false" customHeight="false" outlineLevel="0" collapsed="false">
      <c r="A227" s="13" t="s">
        <v>1136</v>
      </c>
      <c r="B227" s="14" t="n">
        <v>0.8</v>
      </c>
      <c r="C227" s="15" t="s">
        <v>300</v>
      </c>
      <c r="D227" s="16" t="s">
        <v>226</v>
      </c>
      <c r="E227" s="17"/>
      <c r="F227" s="17"/>
      <c r="G227" s="23" t="n">
        <f aca="false">B227/30.48</f>
        <v>0.026246719160105</v>
      </c>
      <c r="H227" s="17"/>
      <c r="I227" s="19"/>
    </row>
    <row r="228" customFormat="false" ht="15" hidden="false" customHeight="false" outlineLevel="0" collapsed="false">
      <c r="A228" s="13" t="s">
        <v>1137</v>
      </c>
      <c r="B228" s="14" t="n">
        <v>1</v>
      </c>
      <c r="C228" s="15" t="s">
        <v>300</v>
      </c>
      <c r="D228" s="16" t="s">
        <v>226</v>
      </c>
      <c r="E228" s="17"/>
      <c r="F228" s="17"/>
      <c r="G228" s="23" t="n">
        <f aca="false">B228/30.48</f>
        <v>0.0328083989501312</v>
      </c>
      <c r="H228" s="17"/>
      <c r="I228" s="19"/>
    </row>
    <row r="229" customFormat="false" ht="15" hidden="false" customHeight="false" outlineLevel="0" collapsed="false">
      <c r="A229" s="13" t="s">
        <v>1138</v>
      </c>
      <c r="B229" s="14" t="n">
        <v>0.3</v>
      </c>
      <c r="C229" s="15" t="s">
        <v>300</v>
      </c>
      <c r="D229" s="16" t="s">
        <v>226</v>
      </c>
      <c r="E229" s="17"/>
      <c r="F229" s="17"/>
      <c r="G229" s="23" t="n">
        <f aca="false">B229/30.48</f>
        <v>0.00984251968503937</v>
      </c>
      <c r="H229" s="17"/>
      <c r="I229" s="19"/>
    </row>
    <row r="230" customFormat="false" ht="15" hidden="false" customHeight="false" outlineLevel="0" collapsed="false">
      <c r="A230" s="13" t="s">
        <v>1139</v>
      </c>
      <c r="B230" s="14" t="n">
        <v>1.8</v>
      </c>
      <c r="C230" s="15" t="s">
        <v>300</v>
      </c>
      <c r="D230" s="16" t="s">
        <v>226</v>
      </c>
      <c r="E230" s="17"/>
      <c r="F230" s="17"/>
      <c r="G230" s="23" t="n">
        <f aca="false">B230/30.48</f>
        <v>0.0590551181102362</v>
      </c>
      <c r="H230" s="17"/>
      <c r="I230" s="19"/>
    </row>
    <row r="231" customFormat="false" ht="15" hidden="false" customHeight="false" outlineLevel="0" collapsed="false">
      <c r="A231" s="13" t="s">
        <v>1140</v>
      </c>
      <c r="B231" s="14" t="n">
        <v>1</v>
      </c>
      <c r="C231" s="15" t="s">
        <v>300</v>
      </c>
      <c r="D231" s="16" t="s">
        <v>226</v>
      </c>
      <c r="E231" s="17"/>
      <c r="F231" s="17"/>
      <c r="G231" s="23" t="n">
        <f aca="false">B231/30.48</f>
        <v>0.0328083989501312</v>
      </c>
      <c r="H231" s="17"/>
      <c r="I231" s="19"/>
    </row>
    <row r="232" customFormat="false" ht="15" hidden="false" customHeight="false" outlineLevel="0" collapsed="false">
      <c r="A232" s="13" t="s">
        <v>1045</v>
      </c>
      <c r="B232" s="14" t="n">
        <v>0.1</v>
      </c>
      <c r="C232" s="15" t="s">
        <v>300</v>
      </c>
      <c r="D232" s="16" t="s">
        <v>226</v>
      </c>
      <c r="E232" s="17"/>
      <c r="F232" s="17"/>
      <c r="G232" s="23" t="n">
        <f aca="false">B232/30.48</f>
        <v>0.00328083989501312</v>
      </c>
      <c r="H232" s="17"/>
      <c r="I232" s="19"/>
    </row>
    <row r="233" customFormat="false" ht="15" hidden="false" customHeight="false" outlineLevel="0" collapsed="false">
      <c r="A233" s="13" t="s">
        <v>1141</v>
      </c>
      <c r="B233" s="14" t="n">
        <v>2.5</v>
      </c>
      <c r="C233" s="15" t="s">
        <v>300</v>
      </c>
      <c r="D233" s="16" t="s">
        <v>226</v>
      </c>
      <c r="E233" s="17"/>
      <c r="F233" s="17"/>
      <c r="G233" s="23" t="n">
        <f aca="false">B233/30.48</f>
        <v>0.0820209973753281</v>
      </c>
      <c r="H233" s="17"/>
      <c r="I233" s="19"/>
    </row>
    <row r="234" customFormat="false" ht="15" hidden="false" customHeight="false" outlineLevel="0" collapsed="false">
      <c r="A234" s="13" t="s">
        <v>1142</v>
      </c>
      <c r="B234" s="14" t="n">
        <v>1.5</v>
      </c>
      <c r="C234" s="15" t="s">
        <v>300</v>
      </c>
      <c r="D234" s="16" t="s">
        <v>226</v>
      </c>
      <c r="E234" s="17"/>
      <c r="F234" s="17"/>
      <c r="G234" s="23" t="n">
        <f aca="false">B234/30.48</f>
        <v>0.0492125984251968</v>
      </c>
      <c r="H234" s="17"/>
      <c r="I234" s="19"/>
    </row>
    <row r="235" customFormat="false" ht="15" hidden="false" customHeight="false" outlineLevel="0" collapsed="false">
      <c r="A235" s="13" t="s">
        <v>1048</v>
      </c>
      <c r="B235" s="14" t="n">
        <v>3</v>
      </c>
      <c r="C235" s="15" t="s">
        <v>300</v>
      </c>
      <c r="D235" s="16" t="s">
        <v>226</v>
      </c>
      <c r="E235" s="17"/>
      <c r="F235" s="17"/>
      <c r="G235" s="23" t="n">
        <f aca="false">B235/30.48</f>
        <v>0.0984251968503937</v>
      </c>
      <c r="H235" s="17"/>
      <c r="I235" s="19"/>
    </row>
    <row r="236" customFormat="false" ht="15" hidden="false" customHeight="false" outlineLevel="0" collapsed="false">
      <c r="A236" s="13" t="s">
        <v>1143</v>
      </c>
      <c r="B236" s="28" t="n">
        <f aca="false">SUMSQ($B$227:$B$232)</f>
        <v>5.98</v>
      </c>
      <c r="C236" s="15" t="s">
        <v>314</v>
      </c>
      <c r="D236" s="21"/>
      <c r="E236" s="15" t="n">
        <v>5.98</v>
      </c>
      <c r="F236" s="22" t="str">
        <f aca="false">IF(ABS(B236-E236)&lt;=H236,"OK","CHECK")</f>
        <v>OK</v>
      </c>
      <c r="G236" s="17"/>
      <c r="H236" s="24" t="n">
        <v>1E-006</v>
      </c>
      <c r="I236" s="19"/>
    </row>
    <row r="237" customFormat="false" ht="15" hidden="false" customHeight="false" outlineLevel="0" collapsed="false">
      <c r="A237" s="13" t="s">
        <v>1144</v>
      </c>
      <c r="B237" s="28" t="n">
        <f aca="false">SQRT($B$236)</f>
        <v>2.4454038521275</v>
      </c>
      <c r="C237" s="15" t="s">
        <v>300</v>
      </c>
      <c r="D237" s="21" t="s">
        <v>1008</v>
      </c>
      <c r="E237" s="15" t="n">
        <v>2.45</v>
      </c>
      <c r="F237" s="22" t="str">
        <f aca="false">IF(ABS(B237-E237)&lt;=H237,"OK","CHECK")</f>
        <v>OK</v>
      </c>
      <c r="G237" s="23" t="n">
        <f aca="false">B237/30.48</f>
        <v>0.0802297851747866</v>
      </c>
      <c r="H237" s="24" t="n">
        <v>0.005</v>
      </c>
      <c r="I237" s="19"/>
    </row>
    <row r="238" customFormat="false" ht="15" hidden="false" customHeight="false" outlineLevel="0" collapsed="false">
      <c r="A238" s="13" t="s">
        <v>1145</v>
      </c>
      <c r="B238" s="28" t="n">
        <f aca="false">SQRT($B$236-$B$230^2+$B$233^2)</f>
        <v>2.99833287011299</v>
      </c>
      <c r="C238" s="15" t="s">
        <v>300</v>
      </c>
      <c r="D238" s="21"/>
      <c r="E238" s="15" t="n">
        <v>3</v>
      </c>
      <c r="F238" s="22" t="str">
        <f aca="false">IF(ABS(B238-E238)&lt;=H238,"OK","CHECK")</f>
        <v>OK</v>
      </c>
      <c r="G238" s="23" t="n">
        <f aca="false">B238/30.48</f>
        <v>0.098370500987959</v>
      </c>
      <c r="H238" s="24" t="n">
        <v>0.005</v>
      </c>
      <c r="I238" s="19"/>
    </row>
    <row r="239" customFormat="false" ht="15" hidden="false" customHeight="false" outlineLevel="0" collapsed="false">
      <c r="A239" s="13" t="s">
        <v>1146</v>
      </c>
      <c r="B239" s="28" t="n">
        <f aca="false">SQRT($B$236-$B$230^2+$B$234^2)</f>
        <v>2.23383079036887</v>
      </c>
      <c r="C239" s="15" t="s">
        <v>300</v>
      </c>
      <c r="D239" s="21"/>
      <c r="E239" s="15" t="n">
        <v>2.23</v>
      </c>
      <c r="F239" s="22" t="str">
        <f aca="false">IF(ABS(B239-E239)&lt;=H239,"OK","CHECK")</f>
        <v>OK</v>
      </c>
      <c r="G239" s="23" t="n">
        <f aca="false">B239/30.48</f>
        <v>0.0732884117575088</v>
      </c>
      <c r="H239" s="24" t="n">
        <v>0.005</v>
      </c>
      <c r="I239" s="19"/>
    </row>
  </sheetData>
  <mergeCells count="16">
    <mergeCell ref="A7:I7"/>
    <mergeCell ref="A23:I23"/>
    <mergeCell ref="A35:I35"/>
    <mergeCell ref="A71:I71"/>
    <mergeCell ref="A96:I96"/>
    <mergeCell ref="A102:I102"/>
    <mergeCell ref="A110:I110"/>
    <mergeCell ref="A122:I122"/>
    <mergeCell ref="A134:I134"/>
    <mergeCell ref="A139:I139"/>
    <mergeCell ref="A158:I158"/>
    <mergeCell ref="A170:I170"/>
    <mergeCell ref="A181:I181"/>
    <mergeCell ref="A201:I201"/>
    <mergeCell ref="A213:I213"/>
    <mergeCell ref="A226:I2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1147</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1148</v>
      </c>
      <c r="B6" s="11"/>
      <c r="C6" s="11"/>
      <c r="D6" s="11"/>
      <c r="E6" s="11"/>
      <c r="F6" s="11"/>
      <c r="G6" s="11"/>
      <c r="H6" s="11"/>
      <c r="I6" s="11"/>
    </row>
    <row r="7" customFormat="false" ht="15" hidden="false" customHeight="true" outlineLevel="0" collapsed="false">
      <c r="A7" s="12" t="s">
        <v>1149</v>
      </c>
      <c r="B7" s="12"/>
      <c r="C7" s="12"/>
      <c r="D7" s="12"/>
      <c r="E7" s="12"/>
      <c r="F7" s="12"/>
      <c r="G7" s="12"/>
      <c r="H7" s="12"/>
      <c r="I7" s="12"/>
    </row>
    <row r="8" customFormat="false" ht="15" hidden="false" customHeight="false" outlineLevel="0" collapsed="false">
      <c r="A8" s="13" t="s">
        <v>1150</v>
      </c>
      <c r="B8" s="14" t="n">
        <v>1024</v>
      </c>
      <c r="C8" s="15"/>
      <c r="D8" s="16" t="s">
        <v>226</v>
      </c>
      <c r="E8" s="17"/>
      <c r="F8" s="17"/>
      <c r="G8" s="17"/>
      <c r="H8" s="17"/>
      <c r="I8" s="19"/>
    </row>
    <row r="9" customFormat="false" ht="15" hidden="false" customHeight="false" outlineLevel="0" collapsed="false">
      <c r="A9" s="13" t="s">
        <v>411</v>
      </c>
      <c r="B9" s="14" t="n">
        <v>128</v>
      </c>
      <c r="C9" s="15"/>
      <c r="D9" s="16" t="s">
        <v>226</v>
      </c>
      <c r="E9" s="17"/>
      <c r="F9" s="17"/>
      <c r="G9" s="17"/>
      <c r="H9" s="17"/>
      <c r="I9" s="19"/>
    </row>
    <row r="10" customFormat="false" ht="15" hidden="false" customHeight="false" outlineLevel="0" collapsed="false">
      <c r="A10" s="13" t="s">
        <v>1151</v>
      </c>
      <c r="B10" s="14" t="n">
        <v>90</v>
      </c>
      <c r="C10" s="15" t="s">
        <v>238</v>
      </c>
      <c r="D10" s="16" t="s">
        <v>226</v>
      </c>
      <c r="E10" s="17"/>
      <c r="F10" s="17"/>
      <c r="G10" s="17"/>
      <c r="H10" s="17"/>
      <c r="I10" s="19"/>
    </row>
    <row r="11" customFormat="false" ht="15" hidden="false" customHeight="false" outlineLevel="0" collapsed="false">
      <c r="A11" s="13" t="s">
        <v>329</v>
      </c>
      <c r="B11" s="14" t="n">
        <v>20</v>
      </c>
      <c r="C11" s="15" t="s">
        <v>230</v>
      </c>
      <c r="D11" s="16" t="s">
        <v>226</v>
      </c>
      <c r="E11" s="17"/>
      <c r="F11" s="17"/>
      <c r="G11" s="23" t="n">
        <f aca="false">B11/0.3048</f>
        <v>65.6167979002625</v>
      </c>
      <c r="H11" s="17"/>
      <c r="I11" s="19"/>
    </row>
    <row r="12" customFormat="false" ht="15" hidden="false" customHeight="false" outlineLevel="0" collapsed="false">
      <c r="A12" s="13" t="s">
        <v>412</v>
      </c>
      <c r="B12" s="27" t="n">
        <f aca="false">360/$B$8</f>
        <v>0.3515625</v>
      </c>
      <c r="C12" s="15" t="s">
        <v>238</v>
      </c>
      <c r="D12" s="21" t="s">
        <v>1152</v>
      </c>
      <c r="E12" s="15" t="n">
        <v>0.3516</v>
      </c>
      <c r="F12" s="22" t="str">
        <f aca="false">IF(ABS(B12-E12)&lt;=H12,"OK","CHECK")</f>
        <v>OK</v>
      </c>
      <c r="G12" s="17"/>
      <c r="H12" s="24" t="n">
        <v>5E-005</v>
      </c>
      <c r="I12" s="19"/>
    </row>
    <row r="13" customFormat="false" ht="15" hidden="false" customHeight="false" outlineLevel="0" collapsed="false">
      <c r="A13" s="13" t="s">
        <v>1153</v>
      </c>
      <c r="B13" s="25" t="n">
        <f aca="false">RADIANS($B$12)</f>
        <v>0.00613592315154257</v>
      </c>
      <c r="C13" s="15" t="s">
        <v>241</v>
      </c>
      <c r="D13" s="21"/>
      <c r="E13" s="15" t="n">
        <v>0.006136</v>
      </c>
      <c r="F13" s="22" t="str">
        <f aca="false">IF(ABS(B13-E13)&lt;=H13,"OK","CHECK")</f>
        <v>OK</v>
      </c>
      <c r="G13" s="17"/>
      <c r="H13" s="24" t="n">
        <v>5E-007</v>
      </c>
      <c r="I13" s="19"/>
    </row>
    <row r="14" customFormat="false" ht="15" hidden="false" customHeight="false" outlineLevel="0" collapsed="false">
      <c r="A14" s="13" t="s">
        <v>1154</v>
      </c>
      <c r="B14" s="20" t="n">
        <f aca="false">$B$11*$B$13</f>
        <v>0.122718463030851</v>
      </c>
      <c r="C14" s="15" t="s">
        <v>230</v>
      </c>
      <c r="D14" s="21" t="s">
        <v>1155</v>
      </c>
      <c r="E14" s="15" t="n">
        <v>0.123</v>
      </c>
      <c r="F14" s="22" t="str">
        <f aca="false">IF(ABS(B14-E14)&lt;=H14,"OK","CHECK")</f>
        <v>OK</v>
      </c>
      <c r="G14" s="23" t="n">
        <f aca="false">B14/0.3048</f>
        <v>0.40261962936631</v>
      </c>
      <c r="H14" s="24" t="n">
        <v>0.0005</v>
      </c>
      <c r="I14" s="19"/>
    </row>
    <row r="15" customFormat="false" ht="15" hidden="false" customHeight="false" outlineLevel="0" collapsed="false">
      <c r="A15" s="13" t="s">
        <v>1156</v>
      </c>
      <c r="B15" s="27" t="n">
        <f aca="false">$B$10/($B$9-1)</f>
        <v>0.708661417322835</v>
      </c>
      <c r="C15" s="15" t="s">
        <v>238</v>
      </c>
      <c r="D15" s="21" t="s">
        <v>1157</v>
      </c>
      <c r="E15" s="15" t="n">
        <v>0.7087</v>
      </c>
      <c r="F15" s="22" t="str">
        <f aca="false">IF(ABS(B15-E15)&lt;=H15,"OK","CHECK")</f>
        <v>OK</v>
      </c>
      <c r="G15" s="17"/>
      <c r="H15" s="24" t="n">
        <v>5E-005</v>
      </c>
      <c r="I15" s="19"/>
    </row>
    <row r="16" customFormat="false" ht="15" hidden="false" customHeight="false" outlineLevel="0" collapsed="false">
      <c r="A16" s="13" t="s">
        <v>1158</v>
      </c>
      <c r="B16" s="33" t="n">
        <f aca="false">RADIANS($B$15)</f>
        <v>0.012368475014133</v>
      </c>
      <c r="C16" s="15" t="s">
        <v>241</v>
      </c>
      <c r="D16" s="21"/>
      <c r="E16" s="15" t="n">
        <v>0.01237</v>
      </c>
      <c r="F16" s="22" t="str">
        <f aca="false">IF(ABS(B16-E16)&lt;=H16,"OK","CHECK")</f>
        <v>OK</v>
      </c>
      <c r="G16" s="17"/>
      <c r="H16" s="24" t="n">
        <v>5E-006</v>
      </c>
      <c r="I16" s="19"/>
    </row>
    <row r="17" customFormat="false" ht="15" hidden="false" customHeight="false" outlineLevel="0" collapsed="false">
      <c r="A17" s="13" t="s">
        <v>1159</v>
      </c>
      <c r="B17" s="20" t="n">
        <f aca="false">$B$11*$B$16</f>
        <v>0.247369500282661</v>
      </c>
      <c r="C17" s="15" t="s">
        <v>230</v>
      </c>
      <c r="D17" s="21"/>
      <c r="E17" s="15" t="n">
        <v>0.247</v>
      </c>
      <c r="F17" s="22" t="str">
        <f aca="false">IF(ABS(B17-E17)&lt;=H17,"OK","CHECK")</f>
        <v>OK</v>
      </c>
      <c r="G17" s="23" t="n">
        <f aca="false">B17/0.3048</f>
        <v>0.811579725336814</v>
      </c>
      <c r="H17" s="24" t="n">
        <v>0.0005</v>
      </c>
      <c r="I17" s="19"/>
    </row>
    <row r="18" customFormat="false" ht="15" hidden="false" customHeight="false" outlineLevel="0" collapsed="false">
      <c r="A18" s="2"/>
      <c r="B18" s="2"/>
      <c r="C18" s="2"/>
      <c r="D18" s="2"/>
      <c r="E18" s="2"/>
      <c r="F18" s="2"/>
      <c r="G18" s="2"/>
      <c r="H18" s="2"/>
      <c r="I18" s="2"/>
    </row>
    <row r="19" customFormat="false" ht="15" hidden="false" customHeight="false" outlineLevel="0" collapsed="false">
      <c r="A19" s="10" t="s">
        <v>1160</v>
      </c>
      <c r="B19" s="11"/>
      <c r="C19" s="11"/>
      <c r="D19" s="11"/>
      <c r="E19" s="11"/>
      <c r="F19" s="11"/>
      <c r="G19" s="11"/>
      <c r="H19" s="11"/>
      <c r="I19" s="11"/>
    </row>
    <row r="20" customFormat="false" ht="15" hidden="false" customHeight="true" outlineLevel="0" collapsed="false">
      <c r="A20" s="12" t="s">
        <v>1161</v>
      </c>
      <c r="B20" s="12"/>
      <c r="C20" s="12"/>
      <c r="D20" s="12"/>
      <c r="E20" s="12"/>
      <c r="F20" s="12"/>
      <c r="G20" s="12"/>
      <c r="H20" s="12"/>
      <c r="I20" s="12"/>
    </row>
    <row r="21" customFormat="false" ht="15" hidden="false" customHeight="false" outlineLevel="0" collapsed="false">
      <c r="A21" s="13" t="s">
        <v>361</v>
      </c>
      <c r="B21" s="14" t="n">
        <v>0.005</v>
      </c>
      <c r="C21" s="15" t="s">
        <v>230</v>
      </c>
      <c r="D21" s="16" t="s">
        <v>226</v>
      </c>
      <c r="E21" s="17"/>
      <c r="F21" s="17"/>
      <c r="G21" s="23" t="n">
        <f aca="false">B21/0.3048</f>
        <v>0.0164041994750656</v>
      </c>
      <c r="H21" s="17"/>
      <c r="I21" s="19"/>
    </row>
    <row r="22" customFormat="false" ht="15" hidden="false" customHeight="false" outlineLevel="0" collapsed="false">
      <c r="A22" s="13" t="s">
        <v>362</v>
      </c>
      <c r="B22" s="14" t="n">
        <v>0.35</v>
      </c>
      <c r="C22" s="15" t="s">
        <v>238</v>
      </c>
      <c r="D22" s="16" t="s">
        <v>226</v>
      </c>
      <c r="E22" s="17"/>
      <c r="F22" s="17"/>
      <c r="G22" s="17"/>
      <c r="H22" s="17"/>
      <c r="I22" s="19"/>
    </row>
    <row r="23" customFormat="false" ht="15" hidden="false" customHeight="false" outlineLevel="0" collapsed="false">
      <c r="A23" s="13" t="s">
        <v>329</v>
      </c>
      <c r="B23" s="14" t="n">
        <v>20</v>
      </c>
      <c r="C23" s="15" t="s">
        <v>230</v>
      </c>
      <c r="D23" s="16" t="s">
        <v>226</v>
      </c>
      <c r="E23" s="17"/>
      <c r="F23" s="17"/>
      <c r="G23" s="23" t="n">
        <f aca="false">B23/0.3048</f>
        <v>65.6167979002625</v>
      </c>
      <c r="H23" s="17"/>
      <c r="I23" s="19"/>
    </row>
    <row r="24" customFormat="false" ht="15" hidden="false" customHeight="false" outlineLevel="0" collapsed="false">
      <c r="A24" s="13" t="s">
        <v>1162</v>
      </c>
      <c r="B24" s="20" t="n">
        <f aca="false">$B$21+$B$23*RADIANS($B$22)</f>
        <v>0.127173047639603</v>
      </c>
      <c r="C24" s="15" t="s">
        <v>230</v>
      </c>
      <c r="D24" s="21" t="s">
        <v>1163</v>
      </c>
      <c r="E24" s="15" t="n">
        <v>0.127</v>
      </c>
      <c r="F24" s="22" t="str">
        <f aca="false">IF(ABS(B24-E24)&lt;=H24,"OK","CHECK")</f>
        <v>OK</v>
      </c>
      <c r="G24" s="23" t="n">
        <f aca="false">B24/0.3048</f>
        <v>0.417234408266414</v>
      </c>
      <c r="H24" s="24" t="n">
        <v>0.0005</v>
      </c>
      <c r="I24" s="19"/>
    </row>
    <row r="25" customFormat="false" ht="15" hidden="false" customHeight="false" outlineLevel="0" collapsed="false">
      <c r="A25" s="13" t="s">
        <v>1164</v>
      </c>
      <c r="B25" s="20" t="n">
        <f aca="false">$B$23*RADIANS(360/1024)</f>
        <v>0.122718463030851</v>
      </c>
      <c r="C25" s="15" t="s">
        <v>230</v>
      </c>
      <c r="D25" s="21"/>
      <c r="E25" s="15" t="n">
        <v>0.123</v>
      </c>
      <c r="F25" s="22" t="str">
        <f aca="false">IF(ABS(B25-E25)&lt;=H25,"OK","CHECK")</f>
        <v>OK</v>
      </c>
      <c r="G25" s="23" t="n">
        <f aca="false">B25/0.3048</f>
        <v>0.40261962936631</v>
      </c>
      <c r="H25" s="24" t="n">
        <v>0.0005</v>
      </c>
      <c r="I25" s="19"/>
    </row>
    <row r="26" customFormat="false" ht="15" hidden="false" customHeight="false" outlineLevel="0" collapsed="false">
      <c r="A26" s="13" t="s">
        <v>1165</v>
      </c>
      <c r="B26" s="20" t="n">
        <f aca="false">$B$23*RADIANS(360/4096)</f>
        <v>0.0306796157577128</v>
      </c>
      <c r="C26" s="15" t="s">
        <v>230</v>
      </c>
      <c r="D26" s="21"/>
      <c r="E26" s="15" t="n">
        <v>0.031</v>
      </c>
      <c r="F26" s="22" t="str">
        <f aca="false">IF(ABS(B26-E26)&lt;=H26,"OK","CHECK")</f>
        <v>OK</v>
      </c>
      <c r="G26" s="23" t="n">
        <f aca="false">B26/0.3048</f>
        <v>0.100654907341578</v>
      </c>
      <c r="H26" s="24" t="n">
        <v>0.0005</v>
      </c>
      <c r="I26" s="19"/>
    </row>
    <row r="27" customFormat="false" ht="15" hidden="false" customHeight="false" outlineLevel="0" collapsed="false">
      <c r="A27" s="13" t="s">
        <v>1166</v>
      </c>
      <c r="B27" s="32" t="n">
        <f aca="false">$B$24/$B$26</f>
        <v>4.14519688394832</v>
      </c>
      <c r="C27" s="15"/>
      <c r="D27" s="21"/>
      <c r="E27" s="15" t="n">
        <v>4</v>
      </c>
      <c r="F27" s="22" t="str">
        <f aca="false">IF(ABS(B27-E27)&lt;=H27,"OK","CHECK")</f>
        <v>OK</v>
      </c>
      <c r="G27" s="17"/>
      <c r="H27" s="24" t="n">
        <v>0.2</v>
      </c>
      <c r="I27" s="19"/>
    </row>
    <row r="28" customFormat="false" ht="15" hidden="false" customHeight="false" outlineLevel="0" collapsed="false">
      <c r="A28" s="13" t="s">
        <v>1167</v>
      </c>
      <c r="B28" s="20" t="n">
        <f aca="false">$B$24/2</f>
        <v>0.0635865238198015</v>
      </c>
      <c r="C28" s="15" t="s">
        <v>230</v>
      </c>
      <c r="D28" s="21"/>
      <c r="E28" s="15" t="n">
        <v>0.06</v>
      </c>
      <c r="F28" s="22" t="str">
        <f aca="false">IF(ABS(B28-E28)&lt;=H28,"OK","CHECK")</f>
        <v>OK</v>
      </c>
      <c r="G28" s="23" t="n">
        <f aca="false">B28/0.3048</f>
        <v>0.208617204133207</v>
      </c>
      <c r="H28" s="24" t="n">
        <v>0.005</v>
      </c>
      <c r="I28" s="19"/>
    </row>
    <row r="29" customFormat="false" ht="15" hidden="false" customHeight="false" outlineLevel="0" collapsed="false">
      <c r="A29" s="2"/>
      <c r="B29" s="2"/>
      <c r="C29" s="2"/>
      <c r="D29" s="2"/>
      <c r="E29" s="2"/>
      <c r="F29" s="2"/>
      <c r="G29" s="2"/>
      <c r="H29" s="2"/>
      <c r="I29" s="2"/>
    </row>
    <row r="30" customFormat="false" ht="15" hidden="false" customHeight="false" outlineLevel="0" collapsed="false">
      <c r="A30" s="10" t="s">
        <v>1168</v>
      </c>
      <c r="B30" s="11"/>
      <c r="C30" s="11"/>
      <c r="D30" s="11"/>
      <c r="E30" s="11"/>
      <c r="F30" s="11"/>
      <c r="G30" s="11"/>
      <c r="H30" s="11"/>
      <c r="I30" s="11"/>
    </row>
    <row r="31" customFormat="false" ht="15" hidden="false" customHeight="true" outlineLevel="0" collapsed="false">
      <c r="A31" s="12" t="s">
        <v>1169</v>
      </c>
      <c r="B31" s="12"/>
      <c r="C31" s="12"/>
      <c r="D31" s="12"/>
      <c r="E31" s="12"/>
      <c r="F31" s="12"/>
      <c r="G31" s="12"/>
      <c r="H31" s="12"/>
      <c r="I31" s="12"/>
    </row>
    <row r="32" customFormat="false" ht="15" hidden="false" customHeight="false" outlineLevel="0" collapsed="false">
      <c r="A32" s="13" t="s">
        <v>1170</v>
      </c>
      <c r="B32" s="14" t="n">
        <v>0.1</v>
      </c>
      <c r="C32" s="15" t="s">
        <v>300</v>
      </c>
      <c r="D32" s="16" t="s">
        <v>226</v>
      </c>
      <c r="E32" s="17"/>
      <c r="F32" s="17"/>
      <c r="G32" s="23" t="n">
        <f aca="false">B32/30.48</f>
        <v>0.00328083989501312</v>
      </c>
      <c r="H32" s="17"/>
      <c r="I32" s="19"/>
    </row>
    <row r="33" customFormat="false" ht="15" hidden="false" customHeight="false" outlineLevel="0" collapsed="false">
      <c r="A33" s="13" t="s">
        <v>1171</v>
      </c>
      <c r="B33" s="14" t="n">
        <v>0.8</v>
      </c>
      <c r="C33" s="15" t="s">
        <v>300</v>
      </c>
      <c r="D33" s="16" t="s">
        <v>226</v>
      </c>
      <c r="E33" s="17"/>
      <c r="F33" s="17"/>
      <c r="G33" s="23" t="n">
        <f aca="false">B33/30.48</f>
        <v>0.026246719160105</v>
      </c>
      <c r="H33" s="17"/>
      <c r="I33" s="19"/>
    </row>
    <row r="34" customFormat="false" ht="15" hidden="false" customHeight="false" outlineLevel="0" collapsed="false">
      <c r="A34" s="13" t="s">
        <v>1172</v>
      </c>
      <c r="B34" s="14" t="n">
        <v>0.25</v>
      </c>
      <c r="C34" s="15" t="s">
        <v>300</v>
      </c>
      <c r="D34" s="16" t="s">
        <v>226</v>
      </c>
      <c r="E34" s="17"/>
      <c r="F34" s="17"/>
      <c r="G34" s="23" t="n">
        <f aca="false">B34/30.48</f>
        <v>0.00820209973753281</v>
      </c>
      <c r="H34" s="17"/>
      <c r="I34" s="19"/>
    </row>
    <row r="35" customFormat="false" ht="15" hidden="false" customHeight="false" outlineLevel="0" collapsed="false">
      <c r="A35" s="13" t="s">
        <v>1173</v>
      </c>
      <c r="B35" s="20" t="n">
        <f aca="false">$B$32/SQRT(12)</f>
        <v>0.0288675134594813</v>
      </c>
      <c r="C35" s="15" t="s">
        <v>300</v>
      </c>
      <c r="D35" s="21" t="s">
        <v>1174</v>
      </c>
      <c r="E35" s="15" t="n">
        <v>0.029</v>
      </c>
      <c r="F35" s="22" t="str">
        <f aca="false">IF(ABS(B35-E35)&lt;=H35,"OK","CHECK")</f>
        <v>OK</v>
      </c>
      <c r="G35" s="23" t="n">
        <f aca="false">B35/30.48</f>
        <v>0.000947096898276945</v>
      </c>
      <c r="H35" s="24" t="n">
        <v>0.0005</v>
      </c>
      <c r="I35" s="19"/>
    </row>
    <row r="36" customFormat="false" ht="15" hidden="false" customHeight="false" outlineLevel="0" collapsed="false">
      <c r="A36" s="13" t="s">
        <v>1175</v>
      </c>
      <c r="B36" s="28" t="n">
        <f aca="false">$B$33/SQRT(12)</f>
        <v>0.23094010767585</v>
      </c>
      <c r="C36" s="15" t="s">
        <v>300</v>
      </c>
      <c r="D36" s="21"/>
      <c r="E36" s="15" t="n">
        <v>0.23</v>
      </c>
      <c r="F36" s="22" t="str">
        <f aca="false">IF(ABS(B36-E36)&lt;=H36,"OK","CHECK")</f>
        <v>OK</v>
      </c>
      <c r="G36" s="23" t="n">
        <f aca="false">B36/30.48</f>
        <v>0.00757677518621556</v>
      </c>
      <c r="H36" s="24" t="n">
        <v>0.005</v>
      </c>
      <c r="I36" s="19"/>
    </row>
    <row r="37" customFormat="false" ht="15" hidden="false" customHeight="false" outlineLevel="0" collapsed="false">
      <c r="A37" s="13" t="s">
        <v>1176</v>
      </c>
      <c r="B37" s="28" t="n">
        <f aca="false">SQRT($B$34^2+$B$36^2)</f>
        <v>0.340342964277702</v>
      </c>
      <c r="C37" s="15" t="s">
        <v>300</v>
      </c>
      <c r="D37" s="21"/>
      <c r="E37" s="15" t="n">
        <v>0.34</v>
      </c>
      <c r="F37" s="22" t="str">
        <f aca="false">IF(ABS(B37-E37)&lt;=H37,"OK","CHECK")</f>
        <v>OK</v>
      </c>
      <c r="G37" s="23" t="n">
        <f aca="false">B37/30.48</f>
        <v>0.0111661077518931</v>
      </c>
      <c r="H37" s="24" t="n">
        <v>0.005</v>
      </c>
      <c r="I37" s="19"/>
    </row>
    <row r="38" customFormat="false" ht="15" hidden="false" customHeight="false" outlineLevel="0" collapsed="false">
      <c r="A38" s="13" t="s">
        <v>1177</v>
      </c>
      <c r="B38" s="44" t="n">
        <f aca="false">$B$37/$B$34-1</f>
        <v>0.361371857110809</v>
      </c>
      <c r="C38" s="15"/>
      <c r="D38" s="21"/>
      <c r="E38" s="15" t="n">
        <v>0.36</v>
      </c>
      <c r="F38" s="22" t="str">
        <f aca="false">IF(ABS(B38-E38)&lt;=H38,"OK","CHECK")</f>
        <v>OK</v>
      </c>
      <c r="G38" s="17"/>
      <c r="H38" s="24" t="n">
        <v>0.005</v>
      </c>
      <c r="I38" s="19"/>
    </row>
    <row r="39" customFormat="false" ht="15" hidden="false" customHeight="false" outlineLevel="0" collapsed="false">
      <c r="A39" s="2"/>
      <c r="B39" s="2"/>
      <c r="C39" s="2"/>
      <c r="D39" s="2"/>
      <c r="E39" s="2"/>
      <c r="F39" s="2"/>
      <c r="G39" s="2"/>
      <c r="H39" s="2"/>
      <c r="I39" s="2"/>
    </row>
    <row r="40" customFormat="false" ht="15" hidden="false" customHeight="false" outlineLevel="0" collapsed="false">
      <c r="A40" s="10" t="s">
        <v>1178</v>
      </c>
      <c r="B40" s="11"/>
      <c r="C40" s="11"/>
      <c r="D40" s="11"/>
      <c r="E40" s="11"/>
      <c r="F40" s="11"/>
      <c r="G40" s="11"/>
      <c r="H40" s="11"/>
      <c r="I40" s="11"/>
    </row>
    <row r="41" customFormat="false" ht="15" hidden="false" customHeight="true" outlineLevel="0" collapsed="false">
      <c r="A41" s="12" t="s">
        <v>1179</v>
      </c>
      <c r="B41" s="12"/>
      <c r="C41" s="12"/>
      <c r="D41" s="12"/>
      <c r="E41" s="12"/>
      <c r="F41" s="12"/>
      <c r="G41" s="12"/>
      <c r="H41" s="12"/>
      <c r="I41" s="12"/>
    </row>
    <row r="42" customFormat="false" ht="15" hidden="false" customHeight="false" outlineLevel="0" collapsed="false">
      <c r="A42" s="13" t="s">
        <v>1180</v>
      </c>
      <c r="B42" s="14" t="n">
        <v>1.25</v>
      </c>
      <c r="C42" s="15" t="s">
        <v>300</v>
      </c>
      <c r="D42" s="16" t="s">
        <v>226</v>
      </c>
      <c r="E42" s="17"/>
      <c r="F42" s="17"/>
      <c r="G42" s="23" t="n">
        <f aca="false">B42/30.48</f>
        <v>0.041010498687664</v>
      </c>
      <c r="H42" s="17"/>
      <c r="I42" s="19"/>
    </row>
    <row r="43" customFormat="false" ht="15" hidden="false" customHeight="false" outlineLevel="0" collapsed="false">
      <c r="A43" s="13" t="s">
        <v>1181</v>
      </c>
      <c r="B43" s="14" t="n">
        <v>0.03</v>
      </c>
      <c r="C43" s="15" t="s">
        <v>300</v>
      </c>
      <c r="D43" s="16" t="s">
        <v>226</v>
      </c>
      <c r="E43" s="17"/>
      <c r="F43" s="17"/>
      <c r="G43" s="23" t="n">
        <f aca="false">B43/30.48</f>
        <v>0.000984251968503937</v>
      </c>
      <c r="H43" s="17"/>
      <c r="I43" s="19"/>
    </row>
    <row r="44" customFormat="false" ht="15" hidden="false" customHeight="false" outlineLevel="0" collapsed="false">
      <c r="A44" s="13" t="s">
        <v>1182</v>
      </c>
      <c r="B44" s="14" t="n">
        <v>0.25</v>
      </c>
      <c r="C44" s="15" t="s">
        <v>300</v>
      </c>
      <c r="D44" s="16" t="s">
        <v>226</v>
      </c>
      <c r="E44" s="17"/>
      <c r="F44" s="17"/>
      <c r="G44" s="23" t="n">
        <f aca="false">B44/30.48</f>
        <v>0.00820209973753281</v>
      </c>
      <c r="H44" s="17"/>
      <c r="I44" s="19"/>
    </row>
    <row r="45" customFormat="false" ht="15" hidden="false" customHeight="false" outlineLevel="0" collapsed="false">
      <c r="A45" s="13" t="s">
        <v>1183</v>
      </c>
      <c r="B45" s="28" t="n">
        <f aca="false">SQRT($B$42^2+$B$44^2+$B$43^2)</f>
        <v>1.2751078385768</v>
      </c>
      <c r="C45" s="15" t="s">
        <v>300</v>
      </c>
      <c r="D45" s="21" t="s">
        <v>1003</v>
      </c>
      <c r="E45" s="15" t="n">
        <v>1.27</v>
      </c>
      <c r="F45" s="22" t="str">
        <f aca="false">IF(ABS(B45-E45)&lt;=H45,"OK","CHECK")</f>
        <v>OK</v>
      </c>
      <c r="G45" s="23" t="n">
        <f aca="false">B45/30.48</f>
        <v>0.0418342466724672</v>
      </c>
      <c r="H45" s="24" t="n">
        <v>0.006</v>
      </c>
      <c r="I45" s="16" t="s">
        <v>1184</v>
      </c>
    </row>
    <row r="46" customFormat="false" ht="15" hidden="false" customHeight="false" outlineLevel="0" collapsed="false">
      <c r="A46" s="13" t="s">
        <v>1185</v>
      </c>
      <c r="B46" s="14" t="n">
        <v>0.4</v>
      </c>
      <c r="C46" s="15" t="s">
        <v>300</v>
      </c>
      <c r="D46" s="16" t="s">
        <v>226</v>
      </c>
      <c r="E46" s="17"/>
      <c r="F46" s="17"/>
      <c r="G46" s="23" t="n">
        <f aca="false">B46/30.48</f>
        <v>0.0131233595800525</v>
      </c>
      <c r="H46" s="17"/>
      <c r="I46" s="19"/>
    </row>
    <row r="47" customFormat="false" ht="15" hidden="false" customHeight="false" outlineLevel="0" collapsed="false">
      <c r="A47" s="13" t="s">
        <v>1186</v>
      </c>
      <c r="B47" s="28" t="n">
        <f aca="false">SQRT($B$42^2+$B$46^2)</f>
        <v>1.31244047484067</v>
      </c>
      <c r="C47" s="15" t="s">
        <v>300</v>
      </c>
      <c r="D47" s="21" t="s">
        <v>1003</v>
      </c>
      <c r="E47" s="15" t="n">
        <v>1.31</v>
      </c>
      <c r="F47" s="22" t="str">
        <f aca="false">IF(ABS(B47-E47)&lt;=H47,"OK","CHECK")</f>
        <v>OK</v>
      </c>
      <c r="G47" s="23" t="n">
        <f aca="false">B47/30.48</f>
        <v>0.0430590706968723</v>
      </c>
      <c r="H47" s="24" t="n">
        <v>0.005</v>
      </c>
      <c r="I47" s="19"/>
    </row>
    <row r="48" customFormat="false" ht="15" hidden="false" customHeight="false" outlineLevel="0" collapsed="false">
      <c r="A48" s="13" t="s">
        <v>1187</v>
      </c>
      <c r="B48" s="14" t="n">
        <v>1</v>
      </c>
      <c r="C48" s="15" t="s">
        <v>300</v>
      </c>
      <c r="D48" s="16" t="s">
        <v>226</v>
      </c>
      <c r="E48" s="17"/>
      <c r="F48" s="17"/>
      <c r="G48" s="23" t="n">
        <f aca="false">B48/30.48</f>
        <v>0.0328083989501312</v>
      </c>
      <c r="H48" s="17"/>
      <c r="I48" s="19"/>
    </row>
    <row r="49" customFormat="false" ht="15" hidden="false" customHeight="false" outlineLevel="0" collapsed="false">
      <c r="A49" s="13" t="s">
        <v>1188</v>
      </c>
      <c r="B49" s="28" t="n">
        <f aca="false">SQRT($B$42^2+$B$48^2)</f>
        <v>1.60078105935821</v>
      </c>
      <c r="C49" s="15" t="s">
        <v>300</v>
      </c>
      <c r="D49" s="21" t="s">
        <v>1003</v>
      </c>
      <c r="E49" s="15" t="n">
        <v>1.6</v>
      </c>
      <c r="F49" s="22" t="str">
        <f aca="false">IF(ABS(B49-E49)&lt;=H49,"OK","CHECK")</f>
        <v>OK</v>
      </c>
      <c r="G49" s="23" t="n">
        <f aca="false">B49/30.48</f>
        <v>0.0525190636272379</v>
      </c>
      <c r="H49" s="24" t="n">
        <v>0.005</v>
      </c>
      <c r="I49" s="19"/>
    </row>
    <row r="50" customFormat="false" ht="15" hidden="false" customHeight="false" outlineLevel="0" collapsed="false">
      <c r="A50" s="13" t="s">
        <v>1189</v>
      </c>
      <c r="B50" s="14" t="n">
        <v>1.5</v>
      </c>
      <c r="C50" s="15" t="s">
        <v>300</v>
      </c>
      <c r="D50" s="16" t="s">
        <v>226</v>
      </c>
      <c r="E50" s="17"/>
      <c r="F50" s="17"/>
      <c r="G50" s="23" t="n">
        <f aca="false">B50/30.48</f>
        <v>0.0492125984251968</v>
      </c>
      <c r="H50" s="17"/>
      <c r="I50" s="19"/>
    </row>
    <row r="51" customFormat="false" ht="15" hidden="false" customHeight="false" outlineLevel="0" collapsed="false">
      <c r="A51" s="13" t="s">
        <v>1190</v>
      </c>
      <c r="B51" s="28" t="n">
        <f aca="false">SQRT($B$42^2+$B$50^2)</f>
        <v>1.95256241897666</v>
      </c>
      <c r="C51" s="15" t="s">
        <v>300</v>
      </c>
      <c r="D51" s="21" t="s">
        <v>1003</v>
      </c>
      <c r="E51" s="15" t="n">
        <v>1.95</v>
      </c>
      <c r="F51" s="22" t="str">
        <f aca="false">IF(ABS(B51-E51)&lt;=H51,"OK","CHECK")</f>
        <v>OK</v>
      </c>
      <c r="G51" s="23" t="n">
        <f aca="false">B51/30.48</f>
        <v>0.0640604468168197</v>
      </c>
      <c r="H51" s="24" t="n">
        <v>0.005</v>
      </c>
      <c r="I51" s="19"/>
    </row>
    <row r="52" customFormat="false" ht="15" hidden="false" customHeight="false" outlineLevel="0" collapsed="false">
      <c r="A52" s="2"/>
      <c r="B52" s="2"/>
      <c r="C52" s="2"/>
      <c r="D52" s="2"/>
      <c r="E52" s="2"/>
      <c r="F52" s="2"/>
      <c r="G52" s="2"/>
      <c r="H52" s="2"/>
      <c r="I52" s="2"/>
    </row>
    <row r="53" customFormat="false" ht="15" hidden="false" customHeight="false" outlineLevel="0" collapsed="false">
      <c r="A53" s="10" t="s">
        <v>1191</v>
      </c>
      <c r="B53" s="11"/>
      <c r="C53" s="11"/>
      <c r="D53" s="11"/>
      <c r="E53" s="11"/>
      <c r="F53" s="11"/>
      <c r="G53" s="11"/>
      <c r="H53" s="11"/>
      <c r="I53" s="11"/>
    </row>
    <row r="54" customFormat="false" ht="15" hidden="false" customHeight="false" outlineLevel="0" collapsed="false">
      <c r="A54" s="13" t="s">
        <v>1192</v>
      </c>
      <c r="B54" s="14" t="n">
        <v>0.01</v>
      </c>
      <c r="C54" s="15" t="s">
        <v>238</v>
      </c>
      <c r="D54" s="16" t="s">
        <v>226</v>
      </c>
      <c r="E54" s="17"/>
      <c r="F54" s="17"/>
      <c r="G54" s="17"/>
      <c r="H54" s="17"/>
      <c r="I54" s="19"/>
    </row>
    <row r="55" customFormat="false" ht="15" hidden="false" customHeight="false" outlineLevel="0" collapsed="false">
      <c r="A55" s="13" t="s">
        <v>1193</v>
      </c>
      <c r="B55" s="26" t="n">
        <f aca="false">RADIANS($B$54)</f>
        <v>0.000174532925199433</v>
      </c>
      <c r="C55" s="15" t="s">
        <v>241</v>
      </c>
      <c r="D55" s="21"/>
      <c r="E55" s="15" t="n">
        <v>0.0001745</v>
      </c>
      <c r="F55" s="22" t="str">
        <f aca="false">IF(ABS(B55-E55)&lt;=H55,"OK","CHECK")</f>
        <v>OK</v>
      </c>
      <c r="G55" s="17"/>
      <c r="H55" s="24" t="n">
        <v>1E-007</v>
      </c>
      <c r="I55" s="19"/>
    </row>
    <row r="56" customFormat="false" ht="15" hidden="false" customHeight="false" outlineLevel="0" collapsed="false">
      <c r="A56" s="13" t="s">
        <v>1194</v>
      </c>
      <c r="B56" s="28" t="n">
        <f aca="false">10*$B$55*100</f>
        <v>0.174532925199433</v>
      </c>
      <c r="C56" s="15" t="s">
        <v>300</v>
      </c>
      <c r="D56" s="21" t="s">
        <v>1195</v>
      </c>
      <c r="E56" s="15" t="n">
        <v>0.17</v>
      </c>
      <c r="F56" s="22" t="str">
        <f aca="false">IF(ABS(B56-E56)&lt;=H56,"OK","CHECK")</f>
        <v>OK</v>
      </c>
      <c r="G56" s="23" t="n">
        <f aca="false">B56/30.48</f>
        <v>0.00572614583987641</v>
      </c>
      <c r="H56" s="24" t="n">
        <v>0.005</v>
      </c>
      <c r="I56" s="19"/>
    </row>
    <row r="57" customFormat="false" ht="15" hidden="false" customHeight="false" outlineLevel="0" collapsed="false">
      <c r="A57" s="13" t="s">
        <v>1196</v>
      </c>
      <c r="B57" s="28" t="n">
        <f aca="false">20*$B$55*100</f>
        <v>0.349065850398866</v>
      </c>
      <c r="C57" s="15" t="s">
        <v>300</v>
      </c>
      <c r="D57" s="21" t="s">
        <v>1195</v>
      </c>
      <c r="E57" s="15" t="n">
        <v>0.35</v>
      </c>
      <c r="F57" s="22" t="str">
        <f aca="false">IF(ABS(B57-E57)&lt;=H57,"OK","CHECK")</f>
        <v>OK</v>
      </c>
      <c r="G57" s="23" t="n">
        <f aca="false">B57/30.48</f>
        <v>0.0114522916797528</v>
      </c>
      <c r="H57" s="24" t="n">
        <v>0.005</v>
      </c>
      <c r="I57" s="19"/>
    </row>
    <row r="58" customFormat="false" ht="15" hidden="false" customHeight="false" outlineLevel="0" collapsed="false">
      <c r="A58" s="13" t="s">
        <v>1197</v>
      </c>
      <c r="B58" s="28" t="n">
        <f aca="false">35*$B$55*100</f>
        <v>0.610865238198015</v>
      </c>
      <c r="C58" s="15" t="s">
        <v>300</v>
      </c>
      <c r="D58" s="21" t="s">
        <v>1195</v>
      </c>
      <c r="E58" s="15" t="n">
        <v>0.61</v>
      </c>
      <c r="F58" s="22" t="str">
        <f aca="false">IF(ABS(B58-E58)&lt;=H58,"OK","CHECK")</f>
        <v>OK</v>
      </c>
      <c r="G58" s="23" t="n">
        <f aca="false">B58/30.48</f>
        <v>0.0200415104395674</v>
      </c>
      <c r="H58" s="24" t="n">
        <v>0.005</v>
      </c>
      <c r="I58" s="19"/>
    </row>
    <row r="59" customFormat="false" ht="15" hidden="false" customHeight="false" outlineLevel="0" collapsed="false">
      <c r="A59" s="2"/>
      <c r="B59" s="2"/>
      <c r="C59" s="2"/>
      <c r="D59" s="2"/>
      <c r="E59" s="2"/>
      <c r="F59" s="2"/>
      <c r="G59" s="2"/>
      <c r="H59" s="2"/>
      <c r="I59" s="2"/>
    </row>
    <row r="60" customFormat="false" ht="15" hidden="false" customHeight="false" outlineLevel="0" collapsed="false">
      <c r="A60" s="10" t="s">
        <v>1198</v>
      </c>
      <c r="B60" s="11"/>
      <c r="C60" s="11"/>
      <c r="D60" s="11"/>
      <c r="E60" s="11"/>
      <c r="F60" s="11"/>
      <c r="G60" s="11"/>
      <c r="H60" s="11"/>
      <c r="I60" s="11"/>
    </row>
    <row r="61" customFormat="false" ht="15" hidden="false" customHeight="true" outlineLevel="0" collapsed="false">
      <c r="A61" s="12" t="s">
        <v>1199</v>
      </c>
      <c r="B61" s="12"/>
      <c r="C61" s="12"/>
      <c r="D61" s="12"/>
      <c r="E61" s="12"/>
      <c r="F61" s="12"/>
      <c r="G61" s="12"/>
      <c r="H61" s="12"/>
      <c r="I61" s="12"/>
    </row>
    <row r="62" customFormat="false" ht="15" hidden="false" customHeight="false" outlineLevel="0" collapsed="false">
      <c r="A62" s="13" t="s">
        <v>1200</v>
      </c>
      <c r="B62" s="14" t="n">
        <v>0.001</v>
      </c>
      <c r="C62" s="15" t="s">
        <v>228</v>
      </c>
      <c r="D62" s="16" t="s">
        <v>226</v>
      </c>
      <c r="E62" s="17"/>
      <c r="F62" s="17"/>
      <c r="G62" s="17"/>
      <c r="H62" s="17"/>
      <c r="I62" s="19"/>
    </row>
    <row r="63" customFormat="false" ht="15" hidden="false" customHeight="false" outlineLevel="0" collapsed="false">
      <c r="A63" s="13" t="s">
        <v>1201</v>
      </c>
      <c r="B63" s="14" t="n">
        <v>1.5</v>
      </c>
      <c r="C63" s="15" t="s">
        <v>225</v>
      </c>
      <c r="D63" s="16" t="s">
        <v>226</v>
      </c>
      <c r="E63" s="17"/>
      <c r="F63" s="17"/>
      <c r="G63" s="18" t="n">
        <f aca="false">B63/0.3048</f>
        <v>4.92125984251969</v>
      </c>
      <c r="H63" s="17"/>
      <c r="I63" s="19"/>
    </row>
    <row r="64" customFormat="false" ht="15" hidden="false" customHeight="false" outlineLevel="0" collapsed="false">
      <c r="A64" s="13" t="s">
        <v>1202</v>
      </c>
      <c r="B64" s="14" t="n">
        <v>15</v>
      </c>
      <c r="C64" s="15" t="s">
        <v>225</v>
      </c>
      <c r="D64" s="16" t="s">
        <v>226</v>
      </c>
      <c r="E64" s="17"/>
      <c r="F64" s="17"/>
      <c r="G64" s="18" t="n">
        <f aca="false">B64/0.3048</f>
        <v>49.2125984251968</v>
      </c>
      <c r="H64" s="17"/>
      <c r="I64" s="19"/>
    </row>
    <row r="65" customFormat="false" ht="15" hidden="false" customHeight="false" outlineLevel="0" collapsed="false">
      <c r="A65" s="13" t="s">
        <v>542</v>
      </c>
      <c r="B65" s="14" t="n">
        <v>90</v>
      </c>
      <c r="C65" s="15" t="s">
        <v>543</v>
      </c>
      <c r="D65" s="16" t="s">
        <v>226</v>
      </c>
      <c r="E65" s="17"/>
      <c r="F65" s="17"/>
      <c r="G65" s="17"/>
      <c r="H65" s="17"/>
      <c r="I65" s="19"/>
    </row>
    <row r="66" customFormat="false" ht="15" hidden="false" customHeight="false" outlineLevel="0" collapsed="false">
      <c r="A66" s="13" t="s">
        <v>329</v>
      </c>
      <c r="B66" s="14" t="n">
        <v>20</v>
      </c>
      <c r="C66" s="15" t="s">
        <v>230</v>
      </c>
      <c r="D66" s="16" t="s">
        <v>226</v>
      </c>
      <c r="E66" s="17"/>
      <c r="F66" s="17"/>
      <c r="G66" s="23" t="n">
        <f aca="false">B66/0.3048</f>
        <v>65.6167979002625</v>
      </c>
      <c r="H66" s="17"/>
      <c r="I66" s="19"/>
    </row>
    <row r="67" customFormat="false" ht="15" hidden="false" customHeight="false" outlineLevel="0" collapsed="false">
      <c r="A67" s="13" t="s">
        <v>1203</v>
      </c>
      <c r="B67" s="14" t="n">
        <v>20</v>
      </c>
      <c r="C67" s="15" t="s">
        <v>1204</v>
      </c>
      <c r="D67" s="16" t="s">
        <v>226</v>
      </c>
      <c r="E67" s="17"/>
      <c r="F67" s="17"/>
      <c r="G67" s="17"/>
      <c r="H67" s="17"/>
      <c r="I67" s="19"/>
    </row>
    <row r="68" customFormat="false" ht="15" hidden="false" customHeight="false" outlineLevel="0" collapsed="false">
      <c r="A68" s="13" t="s">
        <v>1205</v>
      </c>
      <c r="B68" s="14" t="n">
        <v>600</v>
      </c>
      <c r="C68" s="15" t="s">
        <v>228</v>
      </c>
      <c r="D68" s="16" t="s">
        <v>226</v>
      </c>
      <c r="E68" s="17"/>
      <c r="F68" s="17"/>
      <c r="G68" s="17"/>
      <c r="H68" s="17"/>
      <c r="I68" s="19"/>
    </row>
    <row r="69" customFormat="false" ht="15" hidden="false" customHeight="false" outlineLevel="0" collapsed="false">
      <c r="A69" s="13" t="s">
        <v>1206</v>
      </c>
      <c r="B69" s="28" t="n">
        <f aca="false">$B$63*$B$62*100</f>
        <v>0.15</v>
      </c>
      <c r="C69" s="15" t="s">
        <v>300</v>
      </c>
      <c r="D69" s="21" t="s">
        <v>544</v>
      </c>
      <c r="E69" s="15" t="n">
        <v>0.15</v>
      </c>
      <c r="F69" s="22" t="str">
        <f aca="false">IF(ABS(B69-E69)&lt;=H69,"OK","CHECK")</f>
        <v>OK</v>
      </c>
      <c r="G69" s="23" t="n">
        <f aca="false">B69/30.48</f>
        <v>0.00492125984251969</v>
      </c>
      <c r="H69" s="24" t="n">
        <v>0.005</v>
      </c>
      <c r="I69" s="19"/>
    </row>
    <row r="70" customFormat="false" ht="15" hidden="false" customHeight="false" outlineLevel="0" collapsed="false">
      <c r="A70" s="13" t="s">
        <v>1207</v>
      </c>
      <c r="B70" s="28" t="n">
        <f aca="false">$B$64*$B$62*100</f>
        <v>1.5</v>
      </c>
      <c r="C70" s="15" t="s">
        <v>300</v>
      </c>
      <c r="D70" s="21"/>
      <c r="E70" s="15" t="n">
        <v>1.5</v>
      </c>
      <c r="F70" s="22" t="str">
        <f aca="false">IF(ABS(B70-E70)&lt;=H70,"OK","CHECK")</f>
        <v>OK</v>
      </c>
      <c r="G70" s="23" t="n">
        <f aca="false">B70/30.48</f>
        <v>0.0492125984251968</v>
      </c>
      <c r="H70" s="24" t="n">
        <v>0.005</v>
      </c>
      <c r="I70" s="19"/>
    </row>
    <row r="71" customFormat="false" ht="15" hidden="false" customHeight="false" outlineLevel="0" collapsed="false">
      <c r="A71" s="13" t="s">
        <v>1208</v>
      </c>
      <c r="B71" s="33" t="n">
        <f aca="false">RADIANS($B$65*$B$62)</f>
        <v>0.0015707963267949</v>
      </c>
      <c r="C71" s="15" t="s">
        <v>241</v>
      </c>
      <c r="D71" s="21"/>
      <c r="E71" s="15" t="n">
        <v>0.00157</v>
      </c>
      <c r="F71" s="22" t="str">
        <f aca="false">IF(ABS(B71-E71)&lt;=H71,"OK","CHECK")</f>
        <v>OK</v>
      </c>
      <c r="G71" s="17"/>
      <c r="H71" s="24" t="n">
        <v>5E-006</v>
      </c>
      <c r="I71" s="19"/>
    </row>
    <row r="72" customFormat="false" ht="15" hidden="false" customHeight="false" outlineLevel="0" collapsed="false">
      <c r="A72" s="13" t="s">
        <v>1209</v>
      </c>
      <c r="B72" s="32" t="n">
        <f aca="false">$B$66*$B$71*100</f>
        <v>3.14159265358979</v>
      </c>
      <c r="C72" s="15" t="s">
        <v>300</v>
      </c>
      <c r="D72" s="21" t="s">
        <v>548</v>
      </c>
      <c r="E72" s="15" t="n">
        <v>3.1</v>
      </c>
      <c r="F72" s="22" t="str">
        <f aca="false">IF(ABS(B72-E72)&lt;=H72,"OK","CHECK")</f>
        <v>OK</v>
      </c>
      <c r="G72" s="23" t="n">
        <f aca="false">B72/30.48</f>
        <v>0.103070625117775</v>
      </c>
      <c r="H72" s="24" t="n">
        <v>0.05</v>
      </c>
      <c r="I72" s="19"/>
    </row>
    <row r="73" customFormat="false" ht="15" hidden="false" customHeight="false" outlineLevel="0" collapsed="false">
      <c r="A73" s="13" t="s">
        <v>1210</v>
      </c>
      <c r="B73" s="20" t="n">
        <f aca="false">$B$68*$B$67*0.000001</f>
        <v>0.012</v>
      </c>
      <c r="C73" s="15" t="s">
        <v>228</v>
      </c>
      <c r="D73" s="21"/>
      <c r="E73" s="15" t="n">
        <v>0.012</v>
      </c>
      <c r="F73" s="22" t="str">
        <f aca="false">IF(ABS(B73-E73)&lt;=H73,"OK","CHECK")</f>
        <v>OK</v>
      </c>
      <c r="G73" s="17"/>
      <c r="H73" s="24" t="n">
        <v>1E-006</v>
      </c>
      <c r="I73" s="19"/>
    </row>
    <row r="74" customFormat="false" ht="15" hidden="false" customHeight="false" outlineLevel="0" collapsed="false">
      <c r="A74" s="13" t="s">
        <v>1211</v>
      </c>
      <c r="B74" s="28" t="n">
        <f aca="false">$B$73*$B$64</f>
        <v>0.18</v>
      </c>
      <c r="C74" s="15" t="s">
        <v>230</v>
      </c>
      <c r="D74" s="21"/>
      <c r="E74" s="15" t="n">
        <v>0.18</v>
      </c>
      <c r="F74" s="22" t="str">
        <f aca="false">IF(ABS(B74-E74)&lt;=H74,"OK","CHECK")</f>
        <v>OK</v>
      </c>
      <c r="G74" s="23" t="n">
        <f aca="false">B74/0.3048</f>
        <v>0.590551181102362</v>
      </c>
      <c r="H74" s="24" t="n">
        <v>0.005</v>
      </c>
      <c r="I74" s="19"/>
    </row>
    <row r="75" customFormat="false" ht="15" hidden="false" customHeight="false" outlineLevel="0" collapsed="false">
      <c r="A75" s="2"/>
      <c r="B75" s="2"/>
      <c r="C75" s="2"/>
      <c r="D75" s="2"/>
      <c r="E75" s="2"/>
      <c r="F75" s="2"/>
      <c r="G75" s="2"/>
      <c r="H75" s="2"/>
      <c r="I75" s="2"/>
    </row>
    <row r="76" customFormat="false" ht="15" hidden="false" customHeight="false" outlineLevel="0" collapsed="false">
      <c r="A76" s="10" t="s">
        <v>1212</v>
      </c>
      <c r="B76" s="11"/>
      <c r="C76" s="11"/>
      <c r="D76" s="11"/>
      <c r="E76" s="11"/>
      <c r="F76" s="11"/>
      <c r="G76" s="11"/>
      <c r="H76" s="11"/>
      <c r="I76" s="11"/>
    </row>
    <row r="77" customFormat="false" ht="15" hidden="false" customHeight="true" outlineLevel="0" collapsed="false">
      <c r="A77" s="12" t="s">
        <v>1213</v>
      </c>
      <c r="B77" s="12"/>
      <c r="C77" s="12"/>
      <c r="D77" s="12"/>
      <c r="E77" s="12"/>
      <c r="F77" s="12"/>
      <c r="G77" s="12"/>
      <c r="H77" s="12"/>
      <c r="I77" s="12"/>
    </row>
    <row r="78" customFormat="false" ht="15" hidden="false" customHeight="false" outlineLevel="0" collapsed="false">
      <c r="A78" s="13" t="s">
        <v>413</v>
      </c>
      <c r="B78" s="14" t="n">
        <v>10</v>
      </c>
      <c r="C78" s="15" t="s">
        <v>334</v>
      </c>
      <c r="D78" s="16" t="s">
        <v>226</v>
      </c>
      <c r="E78" s="17"/>
      <c r="F78" s="17"/>
      <c r="G78" s="17"/>
      <c r="H78" s="17"/>
      <c r="I78" s="19"/>
    </row>
    <row r="79" customFormat="false" ht="15" hidden="false" customHeight="false" outlineLevel="0" collapsed="false">
      <c r="A79" s="13" t="s">
        <v>1150</v>
      </c>
      <c r="B79" s="14" t="n">
        <v>1024</v>
      </c>
      <c r="C79" s="15"/>
      <c r="D79" s="16" t="s">
        <v>226</v>
      </c>
      <c r="E79" s="17"/>
      <c r="F79" s="17"/>
      <c r="G79" s="17"/>
      <c r="H79" s="17"/>
      <c r="I79" s="19"/>
    </row>
    <row r="80" customFormat="false" ht="15" hidden="false" customHeight="false" outlineLevel="0" collapsed="false">
      <c r="A80" s="13" t="s">
        <v>1201</v>
      </c>
      <c r="B80" s="14" t="n">
        <v>1.4</v>
      </c>
      <c r="C80" s="15" t="s">
        <v>225</v>
      </c>
      <c r="D80" s="16" t="s">
        <v>226</v>
      </c>
      <c r="E80" s="17"/>
      <c r="F80" s="17"/>
      <c r="G80" s="18" t="n">
        <f aca="false">B80/0.3048</f>
        <v>4.59317585301837</v>
      </c>
      <c r="H80" s="17"/>
      <c r="I80" s="19"/>
    </row>
    <row r="81" customFormat="false" ht="15" hidden="false" customHeight="false" outlineLevel="0" collapsed="false">
      <c r="A81" s="13" t="s">
        <v>542</v>
      </c>
      <c r="B81" s="14" t="n">
        <v>60</v>
      </c>
      <c r="C81" s="15" t="s">
        <v>543</v>
      </c>
      <c r="D81" s="16" t="s">
        <v>226</v>
      </c>
      <c r="E81" s="17"/>
      <c r="F81" s="17"/>
      <c r="G81" s="17"/>
      <c r="H81" s="17"/>
      <c r="I81" s="19"/>
    </row>
    <row r="82" customFormat="false" ht="15" hidden="false" customHeight="false" outlineLevel="0" collapsed="false">
      <c r="A82" s="13" t="s">
        <v>329</v>
      </c>
      <c r="B82" s="14" t="n">
        <v>20</v>
      </c>
      <c r="C82" s="15" t="s">
        <v>230</v>
      </c>
      <c r="D82" s="16" t="s">
        <v>226</v>
      </c>
      <c r="E82" s="17"/>
      <c r="F82" s="17"/>
      <c r="G82" s="23" t="n">
        <f aca="false">B82/0.3048</f>
        <v>65.6167979002625</v>
      </c>
      <c r="H82" s="17"/>
      <c r="I82" s="19"/>
    </row>
    <row r="83" customFormat="false" ht="15" hidden="false" customHeight="false" outlineLevel="0" collapsed="false">
      <c r="A83" s="13" t="s">
        <v>1214</v>
      </c>
      <c r="B83" s="20" t="n">
        <f aca="false">1/$B$78</f>
        <v>0.1</v>
      </c>
      <c r="C83" s="15" t="s">
        <v>228</v>
      </c>
      <c r="D83" s="21"/>
      <c r="E83" s="15" t="n">
        <v>0.1</v>
      </c>
      <c r="F83" s="22" t="str">
        <f aca="false">IF(ABS(B83-E83)&lt;=H83,"OK","CHECK")</f>
        <v>OK</v>
      </c>
      <c r="G83" s="17"/>
      <c r="H83" s="24" t="n">
        <v>1E-009</v>
      </c>
      <c r="I83" s="19"/>
    </row>
    <row r="84" customFormat="false" ht="15" hidden="false" customHeight="false" outlineLevel="0" collapsed="false">
      <c r="A84" s="13" t="s">
        <v>1215</v>
      </c>
      <c r="B84" s="32" t="n">
        <f aca="false">$B$83/$B$79*1000000</f>
        <v>97.65625</v>
      </c>
      <c r="C84" s="15" t="s">
        <v>1216</v>
      </c>
      <c r="D84" s="21"/>
      <c r="E84" s="15" t="n">
        <v>97.7</v>
      </c>
      <c r="F84" s="22" t="str">
        <f aca="false">IF(ABS(B84-E84)&lt;=H84,"OK","CHECK")</f>
        <v>OK</v>
      </c>
      <c r="G84" s="17"/>
      <c r="H84" s="24" t="n">
        <v>0.05</v>
      </c>
      <c r="I84" s="19"/>
    </row>
    <row r="85" customFormat="false" ht="15" hidden="false" customHeight="false" outlineLevel="0" collapsed="false">
      <c r="A85" s="13" t="s">
        <v>1217</v>
      </c>
      <c r="B85" s="28" t="n">
        <f aca="false">$B$80*$B$83</f>
        <v>0.14</v>
      </c>
      <c r="C85" s="15" t="s">
        <v>230</v>
      </c>
      <c r="D85" s="21"/>
      <c r="E85" s="15" t="n">
        <v>0.14</v>
      </c>
      <c r="F85" s="22" t="str">
        <f aca="false">IF(ABS(B85-E85)&lt;=H85,"OK","CHECK")</f>
        <v>OK</v>
      </c>
      <c r="G85" s="23" t="n">
        <f aca="false">B85/0.3048</f>
        <v>0.459317585301837</v>
      </c>
      <c r="H85" s="24" t="n">
        <v>1E-006</v>
      </c>
      <c r="I85" s="19"/>
    </row>
    <row r="86" customFormat="false" ht="15" hidden="false" customHeight="false" outlineLevel="0" collapsed="false">
      <c r="A86" s="13" t="s">
        <v>1218</v>
      </c>
      <c r="B86" s="32" t="n">
        <f aca="false">$B$81*$B$83</f>
        <v>6</v>
      </c>
      <c r="C86" s="15" t="s">
        <v>238</v>
      </c>
      <c r="D86" s="21"/>
      <c r="E86" s="15" t="n">
        <v>6</v>
      </c>
      <c r="F86" s="22" t="str">
        <f aca="false">IF(ABS(B86-E86)&lt;=H86,"OK","CHECK")</f>
        <v>OK</v>
      </c>
      <c r="G86" s="17"/>
      <c r="H86" s="24" t="n">
        <v>1E-009</v>
      </c>
      <c r="I86" s="19"/>
    </row>
    <row r="87" customFormat="false" ht="15" hidden="false" customHeight="false" outlineLevel="0" collapsed="false">
      <c r="A87" s="13" t="s">
        <v>1219</v>
      </c>
      <c r="B87" s="32" t="n">
        <f aca="false">$B$82*RADIANS($B$86)</f>
        <v>2.0943951023932</v>
      </c>
      <c r="C87" s="15" t="s">
        <v>230</v>
      </c>
      <c r="D87" s="21"/>
      <c r="E87" s="15" t="n">
        <v>2.1</v>
      </c>
      <c r="F87" s="22" t="str">
        <f aca="false">IF(ABS(B87-E87)&lt;=H87,"OK","CHECK")</f>
        <v>OK</v>
      </c>
      <c r="G87" s="23" t="n">
        <f aca="false">B87/0.3048</f>
        <v>6.87137500785169</v>
      </c>
      <c r="H87" s="24" t="n">
        <v>0.05</v>
      </c>
      <c r="I87" s="19"/>
    </row>
    <row r="88" customFormat="false" ht="15" hidden="false" customHeight="false" outlineLevel="0" collapsed="false">
      <c r="A88" s="2"/>
      <c r="B88" s="2"/>
      <c r="C88" s="2"/>
      <c r="D88" s="2"/>
      <c r="E88" s="2"/>
      <c r="F88" s="2"/>
      <c r="G88" s="2"/>
      <c r="H88" s="2"/>
      <c r="I88" s="2"/>
    </row>
    <row r="89" customFormat="false" ht="15" hidden="false" customHeight="false" outlineLevel="0" collapsed="false">
      <c r="A89" s="10" t="s">
        <v>1220</v>
      </c>
      <c r="B89" s="11"/>
      <c r="C89" s="11"/>
      <c r="D89" s="11"/>
      <c r="E89" s="11"/>
      <c r="F89" s="11"/>
      <c r="G89" s="11"/>
      <c r="H89" s="11"/>
      <c r="I89" s="11"/>
    </row>
    <row r="90" customFormat="false" ht="15" hidden="false" customHeight="true" outlineLevel="0" collapsed="false">
      <c r="A90" s="12" t="s">
        <v>1221</v>
      </c>
      <c r="B90" s="12"/>
      <c r="C90" s="12"/>
      <c r="D90" s="12"/>
      <c r="E90" s="12"/>
      <c r="F90" s="12"/>
      <c r="G90" s="12"/>
      <c r="H90" s="12"/>
      <c r="I90" s="12"/>
    </row>
    <row r="91" customFormat="false" ht="15" hidden="false" customHeight="false" outlineLevel="0" collapsed="false">
      <c r="A91" s="13" t="s">
        <v>1222</v>
      </c>
      <c r="B91" s="14" t="n">
        <v>0.05</v>
      </c>
      <c r="C91" s="15" t="s">
        <v>230</v>
      </c>
      <c r="D91" s="16" t="s">
        <v>226</v>
      </c>
      <c r="E91" s="17"/>
      <c r="F91" s="17"/>
      <c r="G91" s="23" t="n">
        <f aca="false">B91/0.3048</f>
        <v>0.164041994750656</v>
      </c>
      <c r="H91" s="17"/>
      <c r="I91" s="19"/>
    </row>
    <row r="92" customFormat="false" ht="15" hidden="false" customHeight="false" outlineLevel="0" collapsed="false">
      <c r="A92" s="13" t="s">
        <v>1223</v>
      </c>
      <c r="B92" s="14" t="n">
        <v>15</v>
      </c>
      <c r="C92" s="15" t="s">
        <v>230</v>
      </c>
      <c r="D92" s="16" t="s">
        <v>226</v>
      </c>
      <c r="E92" s="17"/>
      <c r="F92" s="17"/>
      <c r="G92" s="23" t="n">
        <f aca="false">B92/0.3048</f>
        <v>49.2125984251968</v>
      </c>
      <c r="H92" s="17"/>
      <c r="I92" s="19"/>
    </row>
    <row r="93" customFormat="false" ht="15" hidden="false" customHeight="false" outlineLevel="0" collapsed="false">
      <c r="A93" s="13" t="s">
        <v>1224</v>
      </c>
      <c r="B93" s="14" t="n">
        <v>5</v>
      </c>
      <c r="C93" s="15" t="s">
        <v>230</v>
      </c>
      <c r="D93" s="16" t="s">
        <v>226</v>
      </c>
      <c r="E93" s="17"/>
      <c r="F93" s="17"/>
      <c r="G93" s="23" t="n">
        <f aca="false">B93/0.3048</f>
        <v>16.4041994750656</v>
      </c>
      <c r="H93" s="17"/>
      <c r="I93" s="19"/>
    </row>
    <row r="94" customFormat="false" ht="15" hidden="false" customHeight="false" outlineLevel="0" collapsed="false">
      <c r="A94" s="13" t="s">
        <v>1225</v>
      </c>
      <c r="B94" s="14" t="n">
        <v>1</v>
      </c>
      <c r="C94" s="15" t="s">
        <v>300</v>
      </c>
      <c r="D94" s="16" t="s">
        <v>226</v>
      </c>
      <c r="E94" s="17"/>
      <c r="F94" s="17"/>
      <c r="G94" s="23" t="n">
        <f aca="false">B94/30.48</f>
        <v>0.0328083989501312</v>
      </c>
      <c r="H94" s="17"/>
      <c r="I94" s="19"/>
    </row>
    <row r="95" customFormat="false" ht="15" hidden="false" customHeight="false" outlineLevel="0" collapsed="false">
      <c r="A95" s="13" t="s">
        <v>1079</v>
      </c>
      <c r="B95" s="14" t="n">
        <v>0.03</v>
      </c>
      <c r="C95" s="15" t="s">
        <v>238</v>
      </c>
      <c r="D95" s="16" t="s">
        <v>226</v>
      </c>
      <c r="E95" s="17"/>
      <c r="F95" s="17"/>
      <c r="G95" s="17"/>
      <c r="H95" s="17"/>
      <c r="I95" s="19"/>
    </row>
    <row r="96" customFormat="false" ht="15" hidden="false" customHeight="false" outlineLevel="0" collapsed="false">
      <c r="A96" s="13" t="s">
        <v>989</v>
      </c>
      <c r="B96" s="14" t="n">
        <v>1.25</v>
      </c>
      <c r="C96" s="15" t="s">
        <v>300</v>
      </c>
      <c r="D96" s="16" t="s">
        <v>226</v>
      </c>
      <c r="E96" s="17"/>
      <c r="F96" s="17"/>
      <c r="G96" s="23" t="n">
        <f aca="false">B96/30.48</f>
        <v>0.041010498687664</v>
      </c>
      <c r="H96" s="17"/>
      <c r="I96" s="19"/>
    </row>
    <row r="97" customFormat="false" ht="15" hidden="false" customHeight="false" outlineLevel="0" collapsed="false">
      <c r="A97" s="13" t="s">
        <v>1226</v>
      </c>
      <c r="B97" s="14" t="n">
        <v>0.25</v>
      </c>
      <c r="C97" s="15" t="s">
        <v>300</v>
      </c>
      <c r="D97" s="16" t="s">
        <v>226</v>
      </c>
      <c r="E97" s="17"/>
      <c r="F97" s="17"/>
      <c r="G97" s="23" t="n">
        <f aca="false">B97/30.48</f>
        <v>0.00820209973753281</v>
      </c>
      <c r="H97" s="17"/>
      <c r="I97" s="19"/>
    </row>
    <row r="98" customFormat="false" ht="15" hidden="false" customHeight="false" outlineLevel="0" collapsed="false">
      <c r="A98" s="13" t="s">
        <v>1227</v>
      </c>
      <c r="B98" s="14" t="n">
        <v>0.01</v>
      </c>
      <c r="C98" s="15" t="s">
        <v>238</v>
      </c>
      <c r="D98" s="16" t="s">
        <v>226</v>
      </c>
      <c r="E98" s="17"/>
      <c r="F98" s="17"/>
      <c r="G98" s="17"/>
      <c r="H98" s="17"/>
      <c r="I98" s="19"/>
    </row>
    <row r="99" customFormat="false" ht="15" hidden="false" customHeight="false" outlineLevel="0" collapsed="false">
      <c r="A99" s="13" t="s">
        <v>1228</v>
      </c>
      <c r="B99" s="14" t="n">
        <v>133</v>
      </c>
      <c r="C99" s="15" t="s">
        <v>1229</v>
      </c>
      <c r="D99" s="16" t="s">
        <v>226</v>
      </c>
      <c r="E99" s="17"/>
      <c r="F99" s="17"/>
      <c r="G99" s="17"/>
      <c r="H99" s="17"/>
      <c r="I99" s="19"/>
    </row>
    <row r="100" customFormat="false" ht="15" hidden="false" customHeight="false" outlineLevel="0" collapsed="false">
      <c r="A100" s="13" t="s">
        <v>1230</v>
      </c>
      <c r="B100" s="33" t="n">
        <f aca="false">$B$91/$B$92</f>
        <v>0.00333333333333333</v>
      </c>
      <c r="C100" s="15" t="s">
        <v>241</v>
      </c>
      <c r="D100" s="21" t="s">
        <v>1231</v>
      </c>
      <c r="E100" s="15" t="n">
        <v>0.00333</v>
      </c>
      <c r="F100" s="22" t="str">
        <f aca="false">IF(ABS(B100-E100)&lt;=H100,"OK","CHECK")</f>
        <v>OK</v>
      </c>
      <c r="G100" s="17"/>
      <c r="H100" s="24" t="n">
        <v>5E-006</v>
      </c>
      <c r="I100" s="19"/>
    </row>
    <row r="101" customFormat="false" ht="15" hidden="false" customHeight="false" outlineLevel="0" collapsed="false">
      <c r="A101" s="13" t="s">
        <v>1232</v>
      </c>
      <c r="B101" s="20" t="n">
        <f aca="false">DEGREES($B$100)</f>
        <v>0.190985931710274</v>
      </c>
      <c r="C101" s="15" t="s">
        <v>238</v>
      </c>
      <c r="D101" s="21"/>
      <c r="E101" s="15" t="n">
        <v>0.19</v>
      </c>
      <c r="F101" s="22" t="str">
        <f aca="false">IF(ABS(B101-E101)&lt;=H101,"OK","CHECK")</f>
        <v>OK</v>
      </c>
      <c r="G101" s="17"/>
      <c r="H101" s="24" t="n">
        <v>0.005</v>
      </c>
      <c r="I101" s="19"/>
    </row>
    <row r="102" customFormat="false" ht="15" hidden="false" customHeight="false" outlineLevel="0" collapsed="false">
      <c r="A102" s="13" t="s">
        <v>1233</v>
      </c>
      <c r="B102" s="29" t="n">
        <f aca="false">360/$B$101</f>
        <v>1884.95559215388</v>
      </c>
      <c r="C102" s="15" t="s">
        <v>1234</v>
      </c>
      <c r="D102" s="21" t="s">
        <v>1235</v>
      </c>
      <c r="E102" s="17"/>
      <c r="F102" s="17"/>
      <c r="G102" s="17"/>
      <c r="H102" s="17"/>
      <c r="I102" s="19"/>
    </row>
    <row r="103" customFormat="false" ht="15" hidden="false" customHeight="false" outlineLevel="0" collapsed="false">
      <c r="A103" s="13" t="s">
        <v>1236</v>
      </c>
      <c r="B103" s="20" t="n">
        <f aca="false">0.005+$B$92*RADIANS(0.35)</f>
        <v>0.0966297857297023</v>
      </c>
      <c r="C103" s="15" t="s">
        <v>230</v>
      </c>
      <c r="D103" s="21"/>
      <c r="E103" s="15" t="n">
        <v>0.097</v>
      </c>
      <c r="F103" s="22" t="str">
        <f aca="false">IF(ABS(B103-E103)&lt;=H103,"OK","CHECK")</f>
        <v>OK</v>
      </c>
      <c r="G103" s="23" t="n">
        <f aca="false">B103/0.3048</f>
        <v>0.317026856068577</v>
      </c>
      <c r="H103" s="24" t="n">
        <v>0.0005</v>
      </c>
      <c r="I103" s="19"/>
    </row>
    <row r="104" customFormat="false" ht="15" hidden="false" customHeight="false" outlineLevel="0" collapsed="false">
      <c r="A104" s="13" t="s">
        <v>1237</v>
      </c>
      <c r="B104" s="20" t="n">
        <f aca="false">0.005+$B$93*RADIANS(0.35)</f>
        <v>0.0355432619099008</v>
      </c>
      <c r="C104" s="15" t="s">
        <v>230</v>
      </c>
      <c r="D104" s="21"/>
      <c r="E104" s="15" t="n">
        <v>0.036</v>
      </c>
      <c r="F104" s="22" t="str">
        <f aca="false">IF(ABS(B104-E104)&lt;=H104,"OK","CHECK")</f>
        <v>OK</v>
      </c>
      <c r="G104" s="23" t="n">
        <f aca="false">B104/0.3048</f>
        <v>0.116611751672903</v>
      </c>
      <c r="H104" s="24" t="n">
        <v>0.0005</v>
      </c>
      <c r="I104" s="19"/>
    </row>
    <row r="105" customFormat="false" ht="15" hidden="false" customHeight="false" outlineLevel="0" collapsed="false">
      <c r="A105" s="13" t="s">
        <v>1080</v>
      </c>
      <c r="B105" s="28" t="n">
        <f aca="false">SQRT($B$96^2+$B$97^2)</f>
        <v>1.2747548783982</v>
      </c>
      <c r="C105" s="15" t="s">
        <v>300</v>
      </c>
      <c r="D105" s="21"/>
      <c r="E105" s="15" t="n">
        <v>1.27</v>
      </c>
      <c r="F105" s="22" t="str">
        <f aca="false">IF(ABS(B105-E105)&lt;=H105,"OK","CHECK")</f>
        <v>OK</v>
      </c>
      <c r="G105" s="23" t="n">
        <f aca="false">B105/30.48</f>
        <v>0.041822666614114</v>
      </c>
      <c r="H105" s="24" t="n">
        <v>0.006</v>
      </c>
      <c r="I105" s="19"/>
    </row>
    <row r="106" customFormat="false" ht="15" hidden="false" customHeight="false" outlineLevel="0" collapsed="false">
      <c r="A106" s="13" t="s">
        <v>1089</v>
      </c>
      <c r="B106" s="28" t="n">
        <f aca="false">$B$92*RADIANS($B$95)*100</f>
        <v>0.785398163397448</v>
      </c>
      <c r="C106" s="15" t="s">
        <v>300</v>
      </c>
      <c r="D106" s="21"/>
      <c r="E106" s="15" t="n">
        <v>0.79</v>
      </c>
      <c r="F106" s="22" t="str">
        <f aca="false">IF(ABS(B106-E106)&lt;=H106,"OK","CHECK")</f>
        <v>OK</v>
      </c>
      <c r="G106" s="23" t="n">
        <f aca="false">B106/30.48</f>
        <v>0.0257676562794438</v>
      </c>
      <c r="H106" s="24" t="n">
        <v>0.005</v>
      </c>
      <c r="I106" s="19"/>
    </row>
    <row r="107" customFormat="false" ht="15" hidden="false" customHeight="false" outlineLevel="0" collapsed="false">
      <c r="A107" s="13" t="s">
        <v>1238</v>
      </c>
      <c r="B107" s="28" t="n">
        <f aca="false">$B$92*RADIANS($B$98)*100</f>
        <v>0.261799387799149</v>
      </c>
      <c r="C107" s="15" t="s">
        <v>300</v>
      </c>
      <c r="D107" s="21"/>
      <c r="E107" s="15" t="n">
        <v>0.26</v>
      </c>
      <c r="F107" s="22" t="str">
        <f aca="false">IF(ABS(B107-E107)&lt;=H107,"OK","CHECK")</f>
        <v>OK</v>
      </c>
      <c r="G107" s="23" t="n">
        <f aca="false">B107/30.48</f>
        <v>0.00858921875981462</v>
      </c>
      <c r="H107" s="24" t="n">
        <v>0.005</v>
      </c>
      <c r="I107" s="19"/>
    </row>
    <row r="108" customFormat="false" ht="15" hidden="false" customHeight="false" outlineLevel="0" collapsed="false">
      <c r="A108" s="13" t="s">
        <v>1239</v>
      </c>
      <c r="B108" s="32" t="n">
        <f aca="false">SQRT($B$94^2+$B$106^2+$B$105^2+2*$B$107^2)</f>
        <v>1.8381860934008</v>
      </c>
      <c r="C108" s="15" t="s">
        <v>300</v>
      </c>
      <c r="D108" s="21"/>
      <c r="E108" s="15" t="n">
        <v>1.8</v>
      </c>
      <c r="F108" s="22" t="str">
        <f aca="false">IF(ABS(B108-E108)&lt;=H108,"OK","CHECK")</f>
        <v>OK</v>
      </c>
      <c r="G108" s="23" t="n">
        <f aca="false">B108/30.48</f>
        <v>0.0603079426968767</v>
      </c>
      <c r="H108" s="24" t="n">
        <v>0.05</v>
      </c>
      <c r="I108" s="19"/>
    </row>
    <row r="109" customFormat="false" ht="15" hidden="false" customHeight="false" outlineLevel="0" collapsed="false">
      <c r="A109" s="13" t="s">
        <v>1240</v>
      </c>
      <c r="B109" s="30" t="n">
        <f aca="false">2048*128*10</f>
        <v>2621440</v>
      </c>
      <c r="C109" s="15" t="s">
        <v>424</v>
      </c>
      <c r="D109" s="21"/>
      <c r="E109" s="15" t="n">
        <v>2600000</v>
      </c>
      <c r="F109" s="22" t="str">
        <f aca="false">IF(ABS(B109-E109)&lt;=H109,"OK","CHECK")</f>
        <v>OK</v>
      </c>
      <c r="G109" s="17"/>
      <c r="H109" s="24" t="n">
        <v>50000</v>
      </c>
      <c r="I109" s="19"/>
    </row>
    <row r="110" customFormat="false" ht="15" hidden="false" customHeight="false" outlineLevel="0" collapsed="false">
      <c r="A110" s="13" t="s">
        <v>1241</v>
      </c>
      <c r="B110" s="29" t="n">
        <f aca="false">2*$B$99</f>
        <v>266</v>
      </c>
      <c r="C110" s="15" t="s">
        <v>1229</v>
      </c>
      <c r="D110" s="21" t="s">
        <v>1242</v>
      </c>
      <c r="E110" s="15" t="n">
        <v>270</v>
      </c>
      <c r="F110" s="22" t="str">
        <f aca="false">IF(ABS(B110-E110)&lt;=H110,"OK","CHECK")</f>
        <v>OK</v>
      </c>
      <c r="G110" s="17"/>
      <c r="H110" s="24" t="n">
        <v>5</v>
      </c>
      <c r="I110" s="19"/>
    </row>
  </sheetData>
  <mergeCells count="7">
    <mergeCell ref="A7:I7"/>
    <mergeCell ref="A20:I20"/>
    <mergeCell ref="A31:I31"/>
    <mergeCell ref="A41:I41"/>
    <mergeCell ref="A61:I61"/>
    <mergeCell ref="A77:I77"/>
    <mergeCell ref="A90:I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1243</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1244</v>
      </c>
      <c r="B6" s="11"/>
      <c r="C6" s="11"/>
      <c r="D6" s="11"/>
      <c r="E6" s="11"/>
      <c r="F6" s="11"/>
      <c r="G6" s="11"/>
      <c r="H6" s="11"/>
      <c r="I6" s="11"/>
    </row>
    <row r="7" customFormat="false" ht="15" hidden="false" customHeight="true" outlineLevel="0" collapsed="false">
      <c r="A7" s="12" t="s">
        <v>1245</v>
      </c>
      <c r="B7" s="12"/>
      <c r="C7" s="12"/>
      <c r="D7" s="12"/>
      <c r="E7" s="12"/>
      <c r="F7" s="12"/>
      <c r="G7" s="12"/>
      <c r="H7" s="12"/>
      <c r="I7" s="12"/>
    </row>
    <row r="8" customFormat="false" ht="15" hidden="false" customHeight="false" outlineLevel="0" collapsed="false">
      <c r="A8" s="13" t="s">
        <v>1246</v>
      </c>
      <c r="B8" s="14" t="n">
        <v>0.005</v>
      </c>
      <c r="C8" s="15" t="s">
        <v>1247</v>
      </c>
      <c r="D8" s="16" t="s">
        <v>226</v>
      </c>
      <c r="E8" s="17"/>
      <c r="F8" s="17"/>
      <c r="G8" s="17"/>
      <c r="H8" s="17"/>
      <c r="I8" s="19"/>
    </row>
    <row r="9" customFormat="false" ht="15" hidden="false" customHeight="false" outlineLevel="0" collapsed="false">
      <c r="A9" s="13" t="s">
        <v>1248</v>
      </c>
      <c r="B9" s="14" t="n">
        <v>25</v>
      </c>
      <c r="C9" s="15" t="s">
        <v>1249</v>
      </c>
      <c r="D9" s="16" t="s">
        <v>226</v>
      </c>
      <c r="E9" s="17"/>
      <c r="F9" s="17"/>
      <c r="G9" s="17"/>
      <c r="H9" s="17"/>
      <c r="I9" s="19"/>
    </row>
    <row r="10" customFormat="false" ht="15" hidden="false" customHeight="false" outlineLevel="0" collapsed="false">
      <c r="A10" s="13" t="s">
        <v>1250</v>
      </c>
      <c r="B10" s="14" t="n">
        <v>70</v>
      </c>
      <c r="C10" s="15" t="s">
        <v>228</v>
      </c>
      <c r="D10" s="16" t="s">
        <v>226</v>
      </c>
      <c r="E10" s="17"/>
      <c r="F10" s="17"/>
      <c r="G10" s="17"/>
      <c r="H10" s="17"/>
      <c r="I10" s="19"/>
    </row>
    <row r="11" customFormat="false" ht="15" hidden="false" customHeight="false" outlineLevel="0" collapsed="false">
      <c r="A11" s="13" t="s">
        <v>482</v>
      </c>
      <c r="B11" s="14" t="n">
        <v>9.81</v>
      </c>
      <c r="C11" s="15" t="s">
        <v>480</v>
      </c>
      <c r="D11" s="16" t="s">
        <v>226</v>
      </c>
      <c r="E11" s="17"/>
      <c r="F11" s="17"/>
      <c r="G11" s="17"/>
      <c r="H11" s="17"/>
      <c r="I11" s="19"/>
    </row>
    <row r="12" customFormat="false" ht="15" hidden="false" customHeight="false" outlineLevel="0" collapsed="false">
      <c r="A12" s="13" t="s">
        <v>1251</v>
      </c>
      <c r="B12" s="28" t="n">
        <f aca="false">$B$8*60</f>
        <v>0.3</v>
      </c>
      <c r="C12" s="15" t="s">
        <v>1252</v>
      </c>
      <c r="D12" s="21" t="s">
        <v>1253</v>
      </c>
      <c r="E12" s="15" t="n">
        <v>0.3</v>
      </c>
      <c r="F12" s="22" t="str">
        <f aca="false">IF(ABS(B12-E12)&lt;=H12,"OK","CHECK")</f>
        <v>OK</v>
      </c>
      <c r="G12" s="17"/>
      <c r="H12" s="24" t="n">
        <v>0.005</v>
      </c>
      <c r="I12" s="19"/>
    </row>
    <row r="13" customFormat="false" ht="15" hidden="false" customHeight="false" outlineLevel="0" collapsed="false">
      <c r="A13" s="13" t="s">
        <v>1254</v>
      </c>
      <c r="B13" s="20" t="n">
        <f aca="false">$B$12*SQRT($B$10/3600)</f>
        <v>0.0418330013267038</v>
      </c>
      <c r="C13" s="15" t="s">
        <v>238</v>
      </c>
      <c r="D13" s="21" t="s">
        <v>1255</v>
      </c>
      <c r="E13" s="15" t="n">
        <v>0.042</v>
      </c>
      <c r="F13" s="22" t="str">
        <f aca="false">IF(ABS(B13-E13)&lt;=H13,"OK","CHECK")</f>
        <v>OK</v>
      </c>
      <c r="G13" s="17"/>
      <c r="H13" s="24" t="n">
        <v>0.0005</v>
      </c>
      <c r="I13" s="19"/>
    </row>
    <row r="14" customFormat="false" ht="15" hidden="false" customHeight="false" outlineLevel="0" collapsed="false">
      <c r="A14" s="13" t="s">
        <v>1256</v>
      </c>
      <c r="B14" s="26" t="n">
        <f aca="false">$B$9*0.000001*$B$11</f>
        <v>0.00024525</v>
      </c>
      <c r="C14" s="15" t="s">
        <v>1257</v>
      </c>
      <c r="D14" s="21"/>
      <c r="E14" s="15" t="n">
        <v>0.000245</v>
      </c>
      <c r="F14" s="22" t="str">
        <f aca="false">IF(ABS(B14-E14)&lt;=H14,"OK","CHECK")</f>
        <v>OK</v>
      </c>
      <c r="G14" s="17"/>
      <c r="H14" s="24" t="n">
        <v>1E-006</v>
      </c>
      <c r="I14" s="19"/>
    </row>
    <row r="15" customFormat="false" ht="15" hidden="false" customHeight="false" outlineLevel="0" collapsed="false">
      <c r="A15" s="13" t="s">
        <v>1258</v>
      </c>
      <c r="B15" s="27" t="n">
        <f aca="false">$B$14*SQRT($B$10)</f>
        <v>0.00205190871507482</v>
      </c>
      <c r="C15" s="15" t="s">
        <v>225</v>
      </c>
      <c r="D15" s="21" t="s">
        <v>1259</v>
      </c>
      <c r="E15" s="15" t="n">
        <v>0.0021</v>
      </c>
      <c r="F15" s="22" t="str">
        <f aca="false">IF(ABS(B15-E15)&lt;=H15,"OK","CHECK")</f>
        <v>OK</v>
      </c>
      <c r="G15" s="18" t="n">
        <f aca="false">B15/0.3048</f>
        <v>0.00673198397334259</v>
      </c>
      <c r="H15" s="24" t="n">
        <v>5E-005</v>
      </c>
      <c r="I15" s="19"/>
    </row>
    <row r="16" customFormat="false" ht="15" hidden="false" customHeight="false" outlineLevel="0" collapsed="false">
      <c r="A16" s="2"/>
      <c r="B16" s="2"/>
      <c r="C16" s="2"/>
      <c r="D16" s="2"/>
      <c r="E16" s="2"/>
      <c r="F16" s="2"/>
      <c r="G16" s="2"/>
      <c r="H16" s="2"/>
      <c r="I16" s="2"/>
    </row>
    <row r="17" customFormat="false" ht="15" hidden="false" customHeight="false" outlineLevel="0" collapsed="false">
      <c r="A17" s="10" t="s">
        <v>1260</v>
      </c>
      <c r="B17" s="11"/>
      <c r="C17" s="11"/>
      <c r="D17" s="11"/>
      <c r="E17" s="11"/>
      <c r="F17" s="11"/>
      <c r="G17" s="11"/>
      <c r="H17" s="11"/>
      <c r="I17" s="11"/>
    </row>
    <row r="18" customFormat="false" ht="15" hidden="false" customHeight="true" outlineLevel="0" collapsed="false">
      <c r="A18" s="12" t="s">
        <v>1261</v>
      </c>
      <c r="B18" s="12"/>
      <c r="C18" s="12"/>
      <c r="D18" s="12"/>
      <c r="E18" s="12"/>
      <c r="F18" s="12"/>
      <c r="G18" s="12"/>
      <c r="H18" s="12"/>
      <c r="I18" s="12"/>
    </row>
    <row r="19" customFormat="false" ht="15" hidden="false" customHeight="false" outlineLevel="0" collapsed="false">
      <c r="A19" s="13" t="s">
        <v>1262</v>
      </c>
      <c r="B19" s="14" t="n">
        <v>1000</v>
      </c>
      <c r="C19" s="15" t="s">
        <v>230</v>
      </c>
      <c r="D19" s="16" t="s">
        <v>226</v>
      </c>
      <c r="E19" s="17"/>
      <c r="F19" s="17"/>
      <c r="G19" s="23" t="n">
        <f aca="false">B19/0.3048</f>
        <v>3280.83989501312</v>
      </c>
      <c r="H19" s="17"/>
      <c r="I19" s="19"/>
    </row>
    <row r="20" customFormat="false" ht="15" hidden="false" customHeight="false" outlineLevel="0" collapsed="false">
      <c r="A20" s="13" t="s">
        <v>1263</v>
      </c>
      <c r="B20" s="14" t="n">
        <v>1000</v>
      </c>
      <c r="C20" s="15" t="s">
        <v>230</v>
      </c>
      <c r="D20" s="16" t="s">
        <v>226</v>
      </c>
      <c r="E20" s="17"/>
      <c r="F20" s="17"/>
      <c r="G20" s="23" t="n">
        <f aca="false">B20/0.3048</f>
        <v>3280.83989501312</v>
      </c>
      <c r="H20" s="17"/>
      <c r="I20" s="19"/>
    </row>
    <row r="21" customFormat="false" ht="15" hidden="false" customHeight="false" outlineLevel="0" collapsed="false">
      <c r="A21" s="13" t="s">
        <v>1264</v>
      </c>
      <c r="B21" s="14" t="n">
        <v>0.8</v>
      </c>
      <c r="C21" s="15" t="s">
        <v>238</v>
      </c>
      <c r="D21" s="16" t="s">
        <v>226</v>
      </c>
      <c r="E21" s="17"/>
      <c r="F21" s="17"/>
      <c r="G21" s="17"/>
      <c r="H21" s="17"/>
      <c r="I21" s="19"/>
    </row>
    <row r="22" customFormat="false" ht="15" hidden="false" customHeight="false" outlineLevel="0" collapsed="false">
      <c r="A22" s="13" t="s">
        <v>1265</v>
      </c>
      <c r="B22" s="14" t="n">
        <v>0.002</v>
      </c>
      <c r="C22" s="15"/>
      <c r="D22" s="16" t="s">
        <v>226</v>
      </c>
      <c r="E22" s="17"/>
      <c r="F22" s="17"/>
      <c r="G22" s="17"/>
      <c r="H22" s="17"/>
      <c r="I22" s="19"/>
    </row>
    <row r="23" customFormat="false" ht="15" hidden="false" customHeight="false" outlineLevel="0" collapsed="false">
      <c r="A23" s="13" t="s">
        <v>1266</v>
      </c>
      <c r="B23" s="14" t="n">
        <v>200</v>
      </c>
      <c r="C23" s="15" t="s">
        <v>230</v>
      </c>
      <c r="D23" s="16" t="s">
        <v>226</v>
      </c>
      <c r="E23" s="17"/>
      <c r="F23" s="17"/>
      <c r="G23" s="23" t="n">
        <f aca="false">B23/0.3048</f>
        <v>656.167979002625</v>
      </c>
      <c r="H23" s="17"/>
      <c r="I23" s="19"/>
    </row>
    <row r="24" customFormat="false" ht="15" hidden="false" customHeight="false" outlineLevel="0" collapsed="false">
      <c r="A24" s="13" t="s">
        <v>1267</v>
      </c>
      <c r="B24" s="14" t="n">
        <v>90</v>
      </c>
      <c r="C24" s="15" t="s">
        <v>238</v>
      </c>
      <c r="D24" s="16" t="s">
        <v>226</v>
      </c>
      <c r="E24" s="17"/>
      <c r="F24" s="17"/>
      <c r="G24" s="17"/>
      <c r="H24" s="17"/>
      <c r="I24" s="19"/>
    </row>
    <row r="25" customFormat="false" ht="15" hidden="false" customHeight="false" outlineLevel="0" collapsed="false">
      <c r="A25" s="13" t="s">
        <v>1268</v>
      </c>
      <c r="B25" s="14" t="n">
        <v>150</v>
      </c>
      <c r="C25" s="15" t="s">
        <v>230</v>
      </c>
      <c r="D25" s="16" t="s">
        <v>226</v>
      </c>
      <c r="E25" s="17"/>
      <c r="F25" s="17"/>
      <c r="G25" s="23" t="n">
        <f aca="false">B25/0.3048</f>
        <v>492.125984251969</v>
      </c>
      <c r="H25" s="17"/>
      <c r="I25" s="19"/>
    </row>
    <row r="26" customFormat="false" ht="15" hidden="false" customHeight="false" outlineLevel="0" collapsed="false">
      <c r="A26" s="13" t="s">
        <v>1269</v>
      </c>
      <c r="B26" s="14" t="n">
        <v>180</v>
      </c>
      <c r="C26" s="15" t="s">
        <v>238</v>
      </c>
      <c r="D26" s="16" t="s">
        <v>226</v>
      </c>
      <c r="E26" s="17"/>
      <c r="F26" s="17"/>
      <c r="G26" s="17"/>
      <c r="H26" s="17"/>
      <c r="I26" s="19"/>
    </row>
    <row r="27" customFormat="false" ht="15" hidden="false" customHeight="false" outlineLevel="0" collapsed="false">
      <c r="A27" s="13" t="s">
        <v>1270</v>
      </c>
      <c r="B27" s="14" t="n">
        <v>200</v>
      </c>
      <c r="C27" s="15" t="s">
        <v>230</v>
      </c>
      <c r="D27" s="16" t="s">
        <v>226</v>
      </c>
      <c r="E27" s="17"/>
      <c r="F27" s="17"/>
      <c r="G27" s="23" t="n">
        <f aca="false">B27/0.3048</f>
        <v>656.167979002625</v>
      </c>
      <c r="H27" s="17"/>
      <c r="I27" s="19"/>
    </row>
    <row r="28" customFormat="false" ht="15" hidden="false" customHeight="false" outlineLevel="0" collapsed="false">
      <c r="A28" s="13" t="s">
        <v>1271</v>
      </c>
      <c r="B28" s="14" t="n">
        <v>270</v>
      </c>
      <c r="C28" s="15" t="s">
        <v>238</v>
      </c>
      <c r="D28" s="16" t="s">
        <v>226</v>
      </c>
      <c r="E28" s="17"/>
      <c r="F28" s="17"/>
      <c r="G28" s="17"/>
      <c r="H28" s="17"/>
      <c r="I28" s="19"/>
    </row>
    <row r="29" customFormat="false" ht="15" hidden="false" customHeight="false" outlineLevel="0" collapsed="false">
      <c r="A29" s="13" t="s">
        <v>1272</v>
      </c>
      <c r="B29" s="14" t="n">
        <v>150</v>
      </c>
      <c r="C29" s="15" t="s">
        <v>230</v>
      </c>
      <c r="D29" s="16" t="s">
        <v>226</v>
      </c>
      <c r="E29" s="17"/>
      <c r="F29" s="17"/>
      <c r="G29" s="23" t="n">
        <f aca="false">B29/0.3048</f>
        <v>492.125984251969</v>
      </c>
      <c r="H29" s="17"/>
      <c r="I29" s="19"/>
    </row>
    <row r="30" customFormat="false" ht="15" hidden="false" customHeight="false" outlineLevel="0" collapsed="false">
      <c r="A30" s="13" t="s">
        <v>1273</v>
      </c>
      <c r="B30" s="14" t="n">
        <v>0</v>
      </c>
      <c r="C30" s="15" t="s">
        <v>238</v>
      </c>
      <c r="D30" s="16" t="s">
        <v>226</v>
      </c>
      <c r="E30" s="17"/>
      <c r="F30" s="17"/>
      <c r="G30" s="17"/>
      <c r="H30" s="17"/>
      <c r="I30" s="19"/>
    </row>
    <row r="31" customFormat="false" ht="15" hidden="false" customHeight="false" outlineLevel="0" collapsed="false">
      <c r="A31" s="13" t="s">
        <v>1274</v>
      </c>
      <c r="B31" s="20" t="n">
        <f aca="false">$B$23*(1+$B$22)*SIN(RADIANS($B$24+$B$21))</f>
        <v>200.380465811465</v>
      </c>
      <c r="C31" s="15" t="s">
        <v>230</v>
      </c>
      <c r="D31" s="21" t="s">
        <v>1275</v>
      </c>
      <c r="E31" s="15" t="n">
        <v>200.38</v>
      </c>
      <c r="F31" s="22" t="str">
        <f aca="false">IF(ABS(B31-E31)&lt;=H31,"OK","CHECK")</f>
        <v>OK</v>
      </c>
      <c r="G31" s="23" t="n">
        <f aca="false">B31/0.3048</f>
        <v>657.416226415566</v>
      </c>
      <c r="H31" s="24" t="n">
        <v>0.0005</v>
      </c>
      <c r="I31" s="19"/>
    </row>
    <row r="32" customFormat="false" ht="15" hidden="false" customHeight="false" outlineLevel="0" collapsed="false">
      <c r="A32" s="13" t="s">
        <v>1276</v>
      </c>
      <c r="B32" s="20" t="n">
        <f aca="false">$B$23*(1+$B$22)*COS(RADIANS($B$24+$B$21))</f>
        <v>-2.7980209399647</v>
      </c>
      <c r="C32" s="15" t="s">
        <v>230</v>
      </c>
      <c r="D32" s="21" t="s">
        <v>1277</v>
      </c>
      <c r="E32" s="15" t="n">
        <v>-2.798</v>
      </c>
      <c r="F32" s="22" t="str">
        <f aca="false">IF(ABS(B32-E32)&lt;=H32,"OK","CHECK")</f>
        <v>OK</v>
      </c>
      <c r="G32" s="23" t="n">
        <f aca="false">B32/0.3048</f>
        <v>-9.17985872691832</v>
      </c>
      <c r="H32" s="24" t="n">
        <v>0.0005</v>
      </c>
      <c r="I32" s="19"/>
    </row>
    <row r="33" customFormat="false" ht="15" hidden="false" customHeight="false" outlineLevel="0" collapsed="false">
      <c r="A33" s="13" t="s">
        <v>1278</v>
      </c>
      <c r="B33" s="20" t="n">
        <f aca="false">$B$19+$B$31</f>
        <v>1200.38046581146</v>
      </c>
      <c r="C33" s="15" t="s">
        <v>230</v>
      </c>
      <c r="D33" s="21"/>
      <c r="E33" s="15" t="n">
        <v>1200.38</v>
      </c>
      <c r="F33" s="22" t="str">
        <f aca="false">IF(ABS(B33-E33)&lt;=H33,"OK","CHECK")</f>
        <v>OK</v>
      </c>
      <c r="G33" s="23" t="n">
        <f aca="false">B33/0.3048</f>
        <v>3938.25612142869</v>
      </c>
      <c r="H33" s="24" t="n">
        <v>0.0005</v>
      </c>
      <c r="I33" s="19"/>
    </row>
    <row r="34" customFormat="false" ht="15" hidden="false" customHeight="false" outlineLevel="0" collapsed="false">
      <c r="A34" s="13" t="s">
        <v>1279</v>
      </c>
      <c r="B34" s="20" t="n">
        <f aca="false">$B$20+$B$32</f>
        <v>997.201979060035</v>
      </c>
      <c r="C34" s="15" t="s">
        <v>230</v>
      </c>
      <c r="D34" s="21"/>
      <c r="E34" s="15" t="n">
        <v>997.202</v>
      </c>
      <c r="F34" s="22" t="str">
        <f aca="false">IF(ABS(B34-E34)&lt;=H34,"OK","CHECK")</f>
        <v>OK</v>
      </c>
      <c r="G34" s="23" t="n">
        <f aca="false">B34/0.3048</f>
        <v>3271.66003628621</v>
      </c>
      <c r="H34" s="24" t="n">
        <v>0.0005</v>
      </c>
      <c r="I34" s="19"/>
    </row>
    <row r="35" customFormat="false" ht="15" hidden="false" customHeight="false" outlineLevel="0" collapsed="false">
      <c r="A35" s="13" t="s">
        <v>1280</v>
      </c>
      <c r="B35" s="20" t="n">
        <f aca="false">$B$25*(1+$B$22)*SIN(RADIANS($B$26+$B$21))</f>
        <v>-2.09851570497352</v>
      </c>
      <c r="C35" s="15" t="s">
        <v>230</v>
      </c>
      <c r="D35" s="21" t="s">
        <v>1275</v>
      </c>
      <c r="E35" s="17"/>
      <c r="F35" s="17"/>
      <c r="G35" s="23" t="n">
        <f aca="false">B35/0.3048</f>
        <v>-6.88489404518871</v>
      </c>
      <c r="H35" s="17"/>
      <c r="I35" s="19"/>
    </row>
    <row r="36" customFormat="false" ht="15" hidden="false" customHeight="false" outlineLevel="0" collapsed="false">
      <c r="A36" s="13" t="s">
        <v>1281</v>
      </c>
      <c r="B36" s="20" t="n">
        <f aca="false">$B$25*(1+$B$22)*COS(RADIANS($B$26+$B$21))</f>
        <v>-150.285349358598</v>
      </c>
      <c r="C36" s="15" t="s">
        <v>230</v>
      </c>
      <c r="D36" s="21" t="s">
        <v>1277</v>
      </c>
      <c r="E36" s="17"/>
      <c r="F36" s="17"/>
      <c r="G36" s="23" t="n">
        <f aca="false">B36/0.3048</f>
        <v>-493.062169811675</v>
      </c>
      <c r="H36" s="17"/>
      <c r="I36" s="19"/>
    </row>
    <row r="37" customFormat="false" ht="15" hidden="false" customHeight="false" outlineLevel="0" collapsed="false">
      <c r="A37" s="13" t="s">
        <v>1282</v>
      </c>
      <c r="B37" s="20" t="n">
        <f aca="false">$B$33+$B$35</f>
        <v>1198.28195010649</v>
      </c>
      <c r="C37" s="15" t="s">
        <v>230</v>
      </c>
      <c r="D37" s="21"/>
      <c r="E37" s="17"/>
      <c r="F37" s="17"/>
      <c r="G37" s="23" t="n">
        <f aca="false">B37/0.3048</f>
        <v>3931.3712273835</v>
      </c>
      <c r="H37" s="17"/>
      <c r="I37" s="19"/>
    </row>
    <row r="38" customFormat="false" ht="15" hidden="false" customHeight="false" outlineLevel="0" collapsed="false">
      <c r="A38" s="13" t="s">
        <v>1283</v>
      </c>
      <c r="B38" s="20" t="n">
        <f aca="false">$B$34+$B$36</f>
        <v>846.916629701437</v>
      </c>
      <c r="C38" s="15" t="s">
        <v>230</v>
      </c>
      <c r="D38" s="21"/>
      <c r="E38" s="17"/>
      <c r="F38" s="17"/>
      <c r="G38" s="23" t="n">
        <f aca="false">B38/0.3048</f>
        <v>2778.59786647453</v>
      </c>
      <c r="H38" s="17"/>
      <c r="I38" s="19"/>
    </row>
    <row r="39" customFormat="false" ht="15" hidden="false" customHeight="false" outlineLevel="0" collapsed="false">
      <c r="A39" s="13" t="s">
        <v>1284</v>
      </c>
      <c r="B39" s="20" t="n">
        <f aca="false">$B$27*(1+$B$22)*SIN(RADIANS($B$28+$B$21))</f>
        <v>-200.380465811465</v>
      </c>
      <c r="C39" s="15" t="s">
        <v>230</v>
      </c>
      <c r="D39" s="21" t="s">
        <v>1275</v>
      </c>
      <c r="E39" s="17"/>
      <c r="F39" s="17"/>
      <c r="G39" s="23" t="n">
        <f aca="false">B39/0.3048</f>
        <v>-657.416226415566</v>
      </c>
      <c r="H39" s="17"/>
      <c r="I39" s="19"/>
    </row>
    <row r="40" customFormat="false" ht="15" hidden="false" customHeight="false" outlineLevel="0" collapsed="false">
      <c r="A40" s="13" t="s">
        <v>1285</v>
      </c>
      <c r="B40" s="20" t="n">
        <f aca="false">$B$27*(1+$B$22)*COS(RADIANS($B$28+$B$21))</f>
        <v>2.79802093996468</v>
      </c>
      <c r="C40" s="15" t="s">
        <v>230</v>
      </c>
      <c r="D40" s="21" t="s">
        <v>1277</v>
      </c>
      <c r="E40" s="17"/>
      <c r="F40" s="17"/>
      <c r="G40" s="23" t="n">
        <f aca="false">B40/0.3048</f>
        <v>9.17985872691824</v>
      </c>
      <c r="H40" s="17"/>
      <c r="I40" s="19"/>
    </row>
    <row r="41" customFormat="false" ht="15" hidden="false" customHeight="false" outlineLevel="0" collapsed="false">
      <c r="A41" s="13" t="s">
        <v>1286</v>
      </c>
      <c r="B41" s="20" t="n">
        <f aca="false">$B$37+$B$39</f>
        <v>997.901484295026</v>
      </c>
      <c r="C41" s="15" t="s">
        <v>230</v>
      </c>
      <c r="D41" s="21"/>
      <c r="E41" s="17"/>
      <c r="F41" s="17"/>
      <c r="G41" s="23" t="n">
        <f aca="false">B41/0.3048</f>
        <v>3273.95500096793</v>
      </c>
      <c r="H41" s="17"/>
      <c r="I41" s="19"/>
    </row>
    <row r="42" customFormat="false" ht="15" hidden="false" customHeight="false" outlineLevel="0" collapsed="false">
      <c r="A42" s="13" t="s">
        <v>1287</v>
      </c>
      <c r="B42" s="20" t="n">
        <f aca="false">$B$38+$B$40</f>
        <v>849.714650641402</v>
      </c>
      <c r="C42" s="15" t="s">
        <v>230</v>
      </c>
      <c r="D42" s="21"/>
      <c r="E42" s="17"/>
      <c r="F42" s="17"/>
      <c r="G42" s="23" t="n">
        <f aca="false">B42/0.3048</f>
        <v>2787.77772520145</v>
      </c>
      <c r="H42" s="17"/>
      <c r="I42" s="19"/>
    </row>
    <row r="43" customFormat="false" ht="15" hidden="false" customHeight="false" outlineLevel="0" collapsed="false">
      <c r="A43" s="13" t="s">
        <v>1288</v>
      </c>
      <c r="B43" s="20" t="n">
        <f aca="false">$B$29*(1+$B$22)*SIN(RADIANS($B$30+$B$21))</f>
        <v>2.09851570497353</v>
      </c>
      <c r="C43" s="15" t="s">
        <v>230</v>
      </c>
      <c r="D43" s="21" t="s">
        <v>1275</v>
      </c>
      <c r="E43" s="17"/>
      <c r="F43" s="17"/>
      <c r="G43" s="23" t="n">
        <f aca="false">B43/0.3048</f>
        <v>6.88489404518876</v>
      </c>
      <c r="H43" s="17"/>
      <c r="I43" s="19"/>
    </row>
    <row r="44" customFormat="false" ht="15" hidden="false" customHeight="false" outlineLevel="0" collapsed="false">
      <c r="A44" s="13" t="s">
        <v>1289</v>
      </c>
      <c r="B44" s="20" t="n">
        <f aca="false">$B$29*(1+$B$22)*COS(RADIANS($B$30+$B$21))</f>
        <v>150.285349358598</v>
      </c>
      <c r="C44" s="15" t="s">
        <v>230</v>
      </c>
      <c r="D44" s="21" t="s">
        <v>1277</v>
      </c>
      <c r="E44" s="17"/>
      <c r="F44" s="17"/>
      <c r="G44" s="23" t="n">
        <f aca="false">B44/0.3048</f>
        <v>493.062169811675</v>
      </c>
      <c r="H44" s="17"/>
      <c r="I44" s="19"/>
    </row>
    <row r="45" customFormat="false" ht="15" hidden="false" customHeight="false" outlineLevel="0" collapsed="false">
      <c r="A45" s="13" t="s">
        <v>1290</v>
      </c>
      <c r="B45" s="20" t="n">
        <f aca="false">$B$41+$B$43</f>
        <v>1000</v>
      </c>
      <c r="C45" s="15" t="s">
        <v>230</v>
      </c>
      <c r="D45" s="21"/>
      <c r="E45" s="15" t="n">
        <v>1000</v>
      </c>
      <c r="F45" s="22" t="str">
        <f aca="false">IF(ABS(B45-E45)&lt;=H45,"OK","CHECK")</f>
        <v>OK</v>
      </c>
      <c r="G45" s="23" t="n">
        <f aca="false">B45/0.3048</f>
        <v>3280.83989501312</v>
      </c>
      <c r="H45" s="24" t="n">
        <v>0.0005</v>
      </c>
      <c r="I45" s="19"/>
    </row>
    <row r="46" customFormat="false" ht="15" hidden="false" customHeight="false" outlineLevel="0" collapsed="false">
      <c r="A46" s="13" t="s">
        <v>1291</v>
      </c>
      <c r="B46" s="20" t="n">
        <f aca="false">$B$42+$B$44</f>
        <v>1000</v>
      </c>
      <c r="C46" s="15" t="s">
        <v>230</v>
      </c>
      <c r="D46" s="21"/>
      <c r="E46" s="15" t="n">
        <v>1000</v>
      </c>
      <c r="F46" s="22" t="str">
        <f aca="false">IF(ABS(B46-E46)&lt;=H46,"OK","CHECK")</f>
        <v>OK</v>
      </c>
      <c r="G46" s="23" t="n">
        <f aca="false">B46/0.3048</f>
        <v>3280.83989501312</v>
      </c>
      <c r="H46" s="24" t="n">
        <v>0.0005</v>
      </c>
      <c r="I46" s="19"/>
    </row>
    <row r="47" customFormat="false" ht="15" hidden="false" customHeight="false" outlineLevel="0" collapsed="false">
      <c r="A47" s="13" t="s">
        <v>1292</v>
      </c>
      <c r="B47" s="20" t="n">
        <f aca="false">SUM($B$31,$B$35,$B$39,$B$43)</f>
        <v>0</v>
      </c>
      <c r="C47" s="15" t="s">
        <v>230</v>
      </c>
      <c r="D47" s="21"/>
      <c r="E47" s="15" t="n">
        <v>0</v>
      </c>
      <c r="F47" s="22" t="str">
        <f aca="false">IF(ABS(B47-E47)&lt;=H47,"OK","CHECK")</f>
        <v>OK</v>
      </c>
      <c r="G47" s="23" t="n">
        <f aca="false">B47/0.3048</f>
        <v>0</v>
      </c>
      <c r="H47" s="24" t="n">
        <v>0.0005</v>
      </c>
      <c r="I47" s="19"/>
    </row>
    <row r="48" customFormat="false" ht="15" hidden="false" customHeight="false" outlineLevel="0" collapsed="false">
      <c r="A48" s="13" t="s">
        <v>1293</v>
      </c>
      <c r="B48" s="20" t="n">
        <f aca="false">SUM($B$32,$B$36,$B$40,$B$44)</f>
        <v>-2.48689957516035E-014</v>
      </c>
      <c r="C48" s="15" t="s">
        <v>230</v>
      </c>
      <c r="D48" s="21"/>
      <c r="E48" s="15" t="n">
        <v>0</v>
      </c>
      <c r="F48" s="22" t="str">
        <f aca="false">IF(ABS(B48-E48)&lt;=H48,"OK","CHECK")</f>
        <v>OK</v>
      </c>
      <c r="G48" s="23" t="n">
        <f aca="false">B48/0.3048</f>
        <v>-8.15911934107727E-014</v>
      </c>
      <c r="H48" s="24" t="n">
        <v>0.0005</v>
      </c>
      <c r="I48" s="19"/>
    </row>
    <row r="49" customFormat="false" ht="15" hidden="false" customHeight="false" outlineLevel="0" collapsed="false">
      <c r="A49" s="13" t="s">
        <v>1294</v>
      </c>
      <c r="B49" s="28" t="n">
        <f aca="false">SQRT(($B$33-1200)^2+($B$34-1000)^2)</f>
        <v>2.82376971691639</v>
      </c>
      <c r="C49" s="15" t="s">
        <v>230</v>
      </c>
      <c r="D49" s="21"/>
      <c r="E49" s="15" t="n">
        <v>2.82</v>
      </c>
      <c r="F49" s="22" t="str">
        <f aca="false">IF(ABS(B49-E49)&lt;=H49,"OK","CHECK")</f>
        <v>OK</v>
      </c>
      <c r="G49" s="23" t="n">
        <f aca="false">B49/0.3048</f>
        <v>9.26433634158922</v>
      </c>
      <c r="H49" s="24" t="n">
        <v>0.005</v>
      </c>
      <c r="I49" s="19"/>
    </row>
    <row r="50" customFormat="false" ht="15" hidden="false" customHeight="false" outlineLevel="0" collapsed="false">
      <c r="A50" s="13" t="s">
        <v>1295</v>
      </c>
      <c r="B50" s="28" t="n">
        <f aca="false">SQRT(($B$37-1200)^2+($B$38-850)^2)</f>
        <v>3.52971214614553</v>
      </c>
      <c r="C50" s="15" t="s">
        <v>230</v>
      </c>
      <c r="D50" s="21"/>
      <c r="E50" s="15" t="n">
        <v>3.53</v>
      </c>
      <c r="F50" s="22" t="str">
        <f aca="false">IF(ABS(B50-E50)&lt;=H50,"OK","CHECK")</f>
        <v>OK</v>
      </c>
      <c r="G50" s="23" t="n">
        <f aca="false">B50/0.3048</f>
        <v>11.5804204269867</v>
      </c>
      <c r="H50" s="24" t="n">
        <v>0.005</v>
      </c>
      <c r="I50" s="19"/>
    </row>
    <row r="51" customFormat="false" ht="15" hidden="false" customHeight="false" outlineLevel="0" collapsed="false">
      <c r="A51" s="2"/>
      <c r="B51" s="2"/>
      <c r="C51" s="2"/>
      <c r="D51" s="2"/>
      <c r="E51" s="2"/>
      <c r="F51" s="2"/>
      <c r="G51" s="2"/>
      <c r="H51" s="2"/>
      <c r="I51" s="2"/>
    </row>
    <row r="52" customFormat="false" ht="15" hidden="false" customHeight="false" outlineLevel="0" collapsed="false">
      <c r="A52" s="10" t="s">
        <v>1296</v>
      </c>
      <c r="B52" s="11"/>
      <c r="C52" s="11"/>
      <c r="D52" s="11"/>
      <c r="E52" s="11"/>
      <c r="F52" s="11"/>
      <c r="G52" s="11"/>
      <c r="H52" s="11"/>
      <c r="I52" s="11"/>
    </row>
    <row r="53" customFormat="false" ht="15" hidden="false" customHeight="true" outlineLevel="0" collapsed="false">
      <c r="A53" s="12" t="s">
        <v>1297</v>
      </c>
      <c r="B53" s="12"/>
      <c r="C53" s="12"/>
      <c r="D53" s="12"/>
      <c r="E53" s="12"/>
      <c r="F53" s="12"/>
      <c r="G53" s="12"/>
      <c r="H53" s="12"/>
      <c r="I53" s="12"/>
    </row>
    <row r="54" customFormat="false" ht="15" hidden="false" customHeight="false" outlineLevel="0" collapsed="false">
      <c r="A54" s="13" t="s">
        <v>1298</v>
      </c>
      <c r="B54" s="14" t="n">
        <v>-2</v>
      </c>
      <c r="C54" s="15" t="s">
        <v>238</v>
      </c>
      <c r="D54" s="16" t="s">
        <v>226</v>
      </c>
      <c r="E54" s="17"/>
      <c r="F54" s="17"/>
      <c r="G54" s="17"/>
      <c r="H54" s="17"/>
      <c r="I54" s="19"/>
    </row>
    <row r="55" customFormat="false" ht="15" hidden="false" customHeight="false" outlineLevel="0" collapsed="false">
      <c r="A55" s="13" t="s">
        <v>1274</v>
      </c>
      <c r="B55" s="37" t="n">
        <f aca="false">$B$23*(1+$B$22)*SIN(RADIANS($B$24+$B$21))</f>
        <v>200.380465811465</v>
      </c>
      <c r="C55" s="15" t="s">
        <v>230</v>
      </c>
      <c r="D55" s="21"/>
      <c r="E55" s="17"/>
      <c r="F55" s="17"/>
      <c r="G55" s="23" t="n">
        <f aca="false">B55/0.3048</f>
        <v>657.416226415566</v>
      </c>
      <c r="H55" s="17"/>
      <c r="I55" s="19"/>
    </row>
    <row r="56" customFormat="false" ht="15" hidden="false" customHeight="false" outlineLevel="0" collapsed="false">
      <c r="A56" s="13" t="s">
        <v>1276</v>
      </c>
      <c r="B56" s="37" t="n">
        <f aca="false">$B$23*(1+$B$22)*COS(RADIANS($B$24+$B$21))</f>
        <v>-2.7980209399647</v>
      </c>
      <c r="C56" s="15" t="s">
        <v>230</v>
      </c>
      <c r="D56" s="21"/>
      <c r="E56" s="17"/>
      <c r="F56" s="17"/>
      <c r="G56" s="23" t="n">
        <f aca="false">B56/0.3048</f>
        <v>-9.17985872691832</v>
      </c>
      <c r="H56" s="17"/>
      <c r="I56" s="19"/>
    </row>
    <row r="57" customFormat="false" ht="15" hidden="false" customHeight="false" outlineLevel="0" collapsed="false">
      <c r="A57" s="13" t="s">
        <v>1278</v>
      </c>
      <c r="B57" s="37" t="n">
        <f aca="false">$B$19+$B$55</f>
        <v>1200.38046581146</v>
      </c>
      <c r="C57" s="15" t="s">
        <v>230</v>
      </c>
      <c r="D57" s="21"/>
      <c r="E57" s="15" t="n">
        <v>1200.38</v>
      </c>
      <c r="F57" s="22" t="str">
        <f aca="false">IF(ABS(B57-E57)&lt;=H57,"OK","CHECK")</f>
        <v>OK</v>
      </c>
      <c r="G57" s="23" t="n">
        <f aca="false">B57/0.3048</f>
        <v>3938.25612142869</v>
      </c>
      <c r="H57" s="24" t="n">
        <v>0.0005</v>
      </c>
      <c r="I57" s="19"/>
    </row>
    <row r="58" customFormat="false" ht="15" hidden="false" customHeight="false" outlineLevel="0" collapsed="false">
      <c r="A58" s="13" t="s">
        <v>1279</v>
      </c>
      <c r="B58" s="37" t="n">
        <f aca="false">$B$20+$B$56</f>
        <v>997.201979060035</v>
      </c>
      <c r="C58" s="15" t="s">
        <v>230</v>
      </c>
      <c r="D58" s="21"/>
      <c r="E58" s="15" t="n">
        <v>997.202</v>
      </c>
      <c r="F58" s="22" t="str">
        <f aca="false">IF(ABS(B58-E58)&lt;=H58,"OK","CHECK")</f>
        <v>OK</v>
      </c>
      <c r="G58" s="23" t="n">
        <f aca="false">B58/0.3048</f>
        <v>3271.66003628621</v>
      </c>
      <c r="H58" s="24" t="n">
        <v>0.0005</v>
      </c>
      <c r="I58" s="19"/>
    </row>
    <row r="59" customFormat="false" ht="15" hidden="false" customHeight="false" outlineLevel="0" collapsed="false">
      <c r="A59" s="13" t="s">
        <v>1280</v>
      </c>
      <c r="B59" s="37" t="n">
        <f aca="false">$B$25*(1+$B$22)*SIN(RADIANS($B$26+$B$21+$B$54))</f>
        <v>3.14764570846851</v>
      </c>
      <c r="C59" s="15" t="s">
        <v>230</v>
      </c>
      <c r="D59" s="21"/>
      <c r="E59" s="17"/>
      <c r="F59" s="17"/>
      <c r="G59" s="23" t="n">
        <f aca="false">B59/0.3048</f>
        <v>10.3269216157103</v>
      </c>
      <c r="H59" s="17"/>
      <c r="I59" s="19"/>
    </row>
    <row r="60" customFormat="false" ht="15" hidden="false" customHeight="false" outlineLevel="0" collapsed="false">
      <c r="A60" s="13" t="s">
        <v>1281</v>
      </c>
      <c r="B60" s="37" t="n">
        <f aca="false">$B$25*(1+$B$22)*COS(RADIANS($B$26+$B$21+$B$54))</f>
        <v>-150.267036726269</v>
      </c>
      <c r="C60" s="15" t="s">
        <v>230</v>
      </c>
      <c r="D60" s="21"/>
      <c r="E60" s="17"/>
      <c r="F60" s="17"/>
      <c r="G60" s="23" t="n">
        <f aca="false">B60/0.3048</f>
        <v>-493.002088996946</v>
      </c>
      <c r="H60" s="17"/>
      <c r="I60" s="19"/>
    </row>
    <row r="61" customFormat="false" ht="15" hidden="false" customHeight="false" outlineLevel="0" collapsed="false">
      <c r="A61" s="13" t="s">
        <v>1282</v>
      </c>
      <c r="B61" s="20" t="n">
        <f aca="false">$B$57+$B$59</f>
        <v>1203.52811151993</v>
      </c>
      <c r="C61" s="15" t="s">
        <v>230</v>
      </c>
      <c r="D61" s="21"/>
      <c r="E61" s="15" t="n">
        <v>1203.528</v>
      </c>
      <c r="F61" s="22" t="str">
        <f aca="false">IF(ABS(B61-E61)&lt;=H61,"OK","CHECK")</f>
        <v>OK</v>
      </c>
      <c r="G61" s="23" t="n">
        <f aca="false">B61/0.3048</f>
        <v>3948.5830430444</v>
      </c>
      <c r="H61" s="24" t="n">
        <v>0.0005</v>
      </c>
      <c r="I61" s="19"/>
    </row>
    <row r="62" customFormat="false" ht="15" hidden="false" customHeight="false" outlineLevel="0" collapsed="false">
      <c r="A62" s="13" t="s">
        <v>1283</v>
      </c>
      <c r="B62" s="20" t="n">
        <f aca="false">$B$58+$B$60</f>
        <v>846.934942333766</v>
      </c>
      <c r="C62" s="15" t="s">
        <v>230</v>
      </c>
      <c r="D62" s="21"/>
      <c r="E62" s="15" t="n">
        <v>846.935</v>
      </c>
      <c r="F62" s="22" t="str">
        <f aca="false">IF(ABS(B62-E62)&lt;=H62,"OK","CHECK")</f>
        <v>OK</v>
      </c>
      <c r="G62" s="23" t="n">
        <f aca="false">B62/0.3048</f>
        <v>2778.65794728926</v>
      </c>
      <c r="H62" s="24" t="n">
        <v>0.0005</v>
      </c>
      <c r="I62" s="19"/>
    </row>
    <row r="63" customFormat="false" ht="15" hidden="false" customHeight="false" outlineLevel="0" collapsed="false">
      <c r="A63" s="13" t="s">
        <v>1284</v>
      </c>
      <c r="B63" s="37" t="n">
        <f aca="false">$B$27*(1+$B$22)*SIN(RADIANS($B$28+$B$21))</f>
        <v>-200.380465811465</v>
      </c>
      <c r="C63" s="15" t="s">
        <v>230</v>
      </c>
      <c r="D63" s="21"/>
      <c r="E63" s="17"/>
      <c r="F63" s="17"/>
      <c r="G63" s="23" t="n">
        <f aca="false">B63/0.3048</f>
        <v>-657.416226415566</v>
      </c>
      <c r="H63" s="17"/>
      <c r="I63" s="19"/>
    </row>
    <row r="64" customFormat="false" ht="15" hidden="false" customHeight="false" outlineLevel="0" collapsed="false">
      <c r="A64" s="13" t="s">
        <v>1285</v>
      </c>
      <c r="B64" s="37" t="n">
        <f aca="false">$B$27*(1+$B$22)*COS(RADIANS($B$28+$B$21))</f>
        <v>2.79802093996468</v>
      </c>
      <c r="C64" s="15" t="s">
        <v>230</v>
      </c>
      <c r="D64" s="21"/>
      <c r="E64" s="17"/>
      <c r="F64" s="17"/>
      <c r="G64" s="23" t="n">
        <f aca="false">B64/0.3048</f>
        <v>9.17985872691824</v>
      </c>
      <c r="H64" s="17"/>
      <c r="I64" s="19"/>
    </row>
    <row r="65" customFormat="false" ht="15" hidden="false" customHeight="false" outlineLevel="0" collapsed="false">
      <c r="A65" s="13" t="s">
        <v>1286</v>
      </c>
      <c r="B65" s="20" t="n">
        <f aca="false">$B$61+$B$63</f>
        <v>1003.14764570847</v>
      </c>
      <c r="C65" s="15" t="s">
        <v>230</v>
      </c>
      <c r="D65" s="21"/>
      <c r="E65" s="15" t="n">
        <v>1003.148</v>
      </c>
      <c r="F65" s="22" t="str">
        <f aca="false">IF(ABS(B65-E65)&lt;=H65,"OK","CHECK")</f>
        <v>OK</v>
      </c>
      <c r="G65" s="23" t="n">
        <f aca="false">B65/0.3048</f>
        <v>3291.16681662883</v>
      </c>
      <c r="H65" s="24" t="n">
        <v>0.0005</v>
      </c>
      <c r="I65" s="19"/>
    </row>
    <row r="66" customFormat="false" ht="15" hidden="false" customHeight="false" outlineLevel="0" collapsed="false">
      <c r="A66" s="13" t="s">
        <v>1287</v>
      </c>
      <c r="B66" s="20" t="n">
        <f aca="false">$B$62+$B$64</f>
        <v>849.732963273731</v>
      </c>
      <c r="C66" s="15" t="s">
        <v>230</v>
      </c>
      <c r="D66" s="21"/>
      <c r="E66" s="15" t="n">
        <v>849.733</v>
      </c>
      <c r="F66" s="22" t="str">
        <f aca="false">IF(ABS(B66-E66)&lt;=H66,"OK","CHECK")</f>
        <v>OK</v>
      </c>
      <c r="G66" s="23" t="n">
        <f aca="false">B66/0.3048</f>
        <v>2787.83780601618</v>
      </c>
      <c r="H66" s="24" t="n">
        <v>0.0005</v>
      </c>
      <c r="I66" s="19"/>
    </row>
    <row r="67" customFormat="false" ht="15" hidden="false" customHeight="false" outlineLevel="0" collapsed="false">
      <c r="A67" s="13" t="s">
        <v>1288</v>
      </c>
      <c r="B67" s="37" t="n">
        <f aca="false">$B$29*(1+$B$22)*SIN(RADIANS($B$30+$B$21))</f>
        <v>2.09851570497353</v>
      </c>
      <c r="C67" s="15" t="s">
        <v>230</v>
      </c>
      <c r="D67" s="21"/>
      <c r="E67" s="17"/>
      <c r="F67" s="17"/>
      <c r="G67" s="23" t="n">
        <f aca="false">B67/0.3048</f>
        <v>6.88489404518876</v>
      </c>
      <c r="H67" s="17"/>
      <c r="I67" s="19"/>
    </row>
    <row r="68" customFormat="false" ht="15" hidden="false" customHeight="false" outlineLevel="0" collapsed="false">
      <c r="A68" s="13" t="s">
        <v>1289</v>
      </c>
      <c r="B68" s="37" t="n">
        <f aca="false">$B$29*(1+$B$22)*COS(RADIANS($B$30+$B$21))</f>
        <v>150.285349358598</v>
      </c>
      <c r="C68" s="15" t="s">
        <v>230</v>
      </c>
      <c r="D68" s="21"/>
      <c r="E68" s="17"/>
      <c r="F68" s="17"/>
      <c r="G68" s="23" t="n">
        <f aca="false">B68/0.3048</f>
        <v>493.062169811675</v>
      </c>
      <c r="H68" s="17"/>
      <c r="I68" s="19"/>
    </row>
    <row r="69" customFormat="false" ht="15" hidden="false" customHeight="false" outlineLevel="0" collapsed="false">
      <c r="A69" s="13" t="s">
        <v>1290</v>
      </c>
      <c r="B69" s="20" t="n">
        <f aca="false">$B$65+$B$67</f>
        <v>1005.24616141344</v>
      </c>
      <c r="C69" s="15" t="s">
        <v>230</v>
      </c>
      <c r="D69" s="21"/>
      <c r="E69" s="15" t="n">
        <v>1005.246</v>
      </c>
      <c r="F69" s="22" t="str">
        <f aca="false">IF(ABS(B69-E69)&lt;=H69,"OK","CHECK")</f>
        <v>OK</v>
      </c>
      <c r="G69" s="23" t="n">
        <f aca="false">B69/0.3048</f>
        <v>3298.05171067402</v>
      </c>
      <c r="H69" s="24" t="n">
        <v>0.0005</v>
      </c>
      <c r="I69" s="19"/>
    </row>
    <row r="70" customFormat="false" ht="15" hidden="false" customHeight="false" outlineLevel="0" collapsed="false">
      <c r="A70" s="13" t="s">
        <v>1291</v>
      </c>
      <c r="B70" s="20" t="n">
        <f aca="false">$B$66+$B$68</f>
        <v>1000.01831263233</v>
      </c>
      <c r="C70" s="15" t="s">
        <v>230</v>
      </c>
      <c r="D70" s="21"/>
      <c r="E70" s="15" t="n">
        <v>1000.018</v>
      </c>
      <c r="F70" s="22" t="str">
        <f aca="false">IF(ABS(B70-E70)&lt;=H70,"OK","CHECK")</f>
        <v>OK</v>
      </c>
      <c r="G70" s="23" t="n">
        <f aca="false">B70/0.3048</f>
        <v>3280.89997582785</v>
      </c>
      <c r="H70" s="24" t="n">
        <v>0.0005</v>
      </c>
      <c r="I70" s="19"/>
    </row>
    <row r="71" customFormat="false" ht="15" hidden="false" customHeight="false" outlineLevel="0" collapsed="false">
      <c r="A71" s="13" t="s">
        <v>1299</v>
      </c>
      <c r="B71" s="37" t="n">
        <f aca="false">$B$69-$B$19</f>
        <v>5.246161413442</v>
      </c>
      <c r="C71" s="15" t="s">
        <v>230</v>
      </c>
      <c r="D71" s="21"/>
      <c r="E71" s="15" t="n">
        <v>5.246</v>
      </c>
      <c r="F71" s="22" t="str">
        <f aca="false">IF(ABS(B71-E71)&lt;=H71,"OK","CHECK")</f>
        <v>OK</v>
      </c>
      <c r="G71" s="23" t="n">
        <f aca="false">B71/0.3048</f>
        <v>17.2118156608989</v>
      </c>
      <c r="H71" s="24" t="n">
        <v>0.0005</v>
      </c>
      <c r="I71" s="19"/>
    </row>
    <row r="72" customFormat="false" ht="15" hidden="false" customHeight="false" outlineLevel="0" collapsed="false">
      <c r="A72" s="13" t="s">
        <v>1300</v>
      </c>
      <c r="B72" s="37" t="n">
        <f aca="false">$B$70-$B$20</f>
        <v>0.0183126323290708</v>
      </c>
      <c r="C72" s="15" t="s">
        <v>230</v>
      </c>
      <c r="D72" s="21"/>
      <c r="E72" s="15" t="n">
        <v>0.018</v>
      </c>
      <c r="F72" s="22" t="str">
        <f aca="false">IF(ABS(B72-E72)&lt;=H72,"OK","CHECK")</f>
        <v>OK</v>
      </c>
      <c r="G72" s="23" t="n">
        <f aca="false">B72/0.3048</f>
        <v>0.0600808147279225</v>
      </c>
      <c r="H72" s="24" t="n">
        <v>0.0005</v>
      </c>
      <c r="I72" s="19"/>
    </row>
    <row r="73" customFormat="false" ht="15" hidden="false" customHeight="false" outlineLevel="0" collapsed="false">
      <c r="A73" s="13" t="s">
        <v>1301</v>
      </c>
      <c r="B73" s="28" t="n">
        <f aca="false">SQRT($B$71^2+$B$72^2)</f>
        <v>5.24619337504733</v>
      </c>
      <c r="C73" s="15" t="s">
        <v>230</v>
      </c>
      <c r="D73" s="21"/>
      <c r="E73" s="15" t="n">
        <v>5.25</v>
      </c>
      <c r="F73" s="22" t="str">
        <f aca="false">IF(ABS(B73-E73)&lt;=H73,"OK","CHECK")</f>
        <v>OK</v>
      </c>
      <c r="G73" s="23" t="n">
        <f aca="false">B73/0.3048</f>
        <v>17.2119205218088</v>
      </c>
      <c r="H73" s="24" t="n">
        <v>0.005</v>
      </c>
      <c r="I73" s="19"/>
    </row>
    <row r="74" customFormat="false" ht="15" hidden="false" customHeight="false" outlineLevel="0" collapsed="false">
      <c r="A74" s="13" t="s">
        <v>1302</v>
      </c>
      <c r="B74" s="45" t="n">
        <f aca="false">$B$23+$B$25+$B$27+$B$29</f>
        <v>700</v>
      </c>
      <c r="C74" s="15" t="s">
        <v>230</v>
      </c>
      <c r="D74" s="21"/>
      <c r="E74" s="15" t="n">
        <v>700</v>
      </c>
      <c r="F74" s="22" t="str">
        <f aca="false">IF(ABS(B74-E74)&lt;=H74,"OK","CHECK")</f>
        <v>OK</v>
      </c>
      <c r="G74" s="23" t="n">
        <f aca="false">B74/0.3048</f>
        <v>2296.58792650919</v>
      </c>
      <c r="H74" s="24" t="n">
        <v>1E-009</v>
      </c>
      <c r="I74" s="19"/>
    </row>
    <row r="75" customFormat="false" ht="15" hidden="false" customHeight="false" outlineLevel="0" collapsed="false">
      <c r="A75" s="13" t="s">
        <v>1303</v>
      </c>
      <c r="B75" s="29" t="n">
        <f aca="false">$B$74/$B$73</f>
        <v>133.430079670612</v>
      </c>
      <c r="C75" s="15"/>
      <c r="D75" s="21"/>
      <c r="E75" s="15" t="n">
        <v>133</v>
      </c>
      <c r="F75" s="22" t="str">
        <f aca="false">IF(ABS(B75-E75)&lt;=H75,"OK","CHECK")</f>
        <v>OK</v>
      </c>
      <c r="G75" s="17"/>
      <c r="H75" s="24" t="n">
        <v>1</v>
      </c>
      <c r="I75" s="19"/>
    </row>
    <row r="76" customFormat="false" ht="15" hidden="false" customHeight="false" outlineLevel="0" collapsed="false">
      <c r="A76" s="13" t="s">
        <v>1304</v>
      </c>
      <c r="B76" s="41" t="n">
        <f aca="false">-$B$71*$B$23/$B$74</f>
        <v>-1.49890326098343</v>
      </c>
      <c r="C76" s="15" t="s">
        <v>230</v>
      </c>
      <c r="D76" s="21" t="s">
        <v>1305</v>
      </c>
      <c r="E76" s="15" t="n">
        <v>-1.5</v>
      </c>
      <c r="F76" s="22" t="str">
        <f aca="false">IF(ABS(B76-E76)&lt;=H76,"OK","CHECK")</f>
        <v>OK</v>
      </c>
      <c r="G76" s="23" t="n">
        <f aca="false">B76/0.3048</f>
        <v>-4.9176616173997</v>
      </c>
      <c r="H76" s="24" t="n">
        <v>0.005</v>
      </c>
      <c r="I76" s="19"/>
    </row>
    <row r="77" customFormat="false" ht="15" hidden="false" customHeight="false" outlineLevel="0" collapsed="false">
      <c r="A77" s="13" t="s">
        <v>1306</v>
      </c>
      <c r="B77" s="37" t="n">
        <f aca="false">-$B$72*$B$23/$B$74</f>
        <v>-0.00523218066544879</v>
      </c>
      <c r="C77" s="15" t="s">
        <v>230</v>
      </c>
      <c r="D77" s="21"/>
      <c r="E77" s="17"/>
      <c r="F77" s="17"/>
      <c r="G77" s="23" t="n">
        <f aca="false">B77/0.3048</f>
        <v>-0.0171659470651207</v>
      </c>
      <c r="H77" s="17"/>
      <c r="I77" s="19"/>
    </row>
    <row r="78" customFormat="false" ht="15" hidden="false" customHeight="false" outlineLevel="0" collapsed="false">
      <c r="A78" s="13" t="s">
        <v>1307</v>
      </c>
      <c r="B78" s="28" t="n">
        <f aca="false">SQRT(($B$57+$B$76-1200)^2+($B$58+$B$77-1000)^2)</f>
        <v>3.01813359326733</v>
      </c>
      <c r="C78" s="15" t="s">
        <v>230</v>
      </c>
      <c r="D78" s="21"/>
      <c r="E78" s="15" t="n">
        <v>3.02</v>
      </c>
      <c r="F78" s="22" t="str">
        <f aca="false">IF(ABS(B78-E78)&lt;=H78,"OK","CHECK")</f>
        <v>OK</v>
      </c>
      <c r="G78" s="23" t="n">
        <f aca="false">B78/0.3048</f>
        <v>9.90201310127077</v>
      </c>
      <c r="H78" s="24" t="n">
        <v>0.005</v>
      </c>
      <c r="I78" s="19"/>
    </row>
    <row r="79" customFormat="false" ht="15" hidden="false" customHeight="false" outlineLevel="0" collapsed="false">
      <c r="A79" s="13" t="s">
        <v>1308</v>
      </c>
      <c r="B79" s="41" t="n">
        <f aca="false">-$B$71*($B$23+$B$25)/$B$74</f>
        <v>-2.623080706721</v>
      </c>
      <c r="C79" s="15" t="s">
        <v>230</v>
      </c>
      <c r="D79" s="21" t="s">
        <v>1305</v>
      </c>
      <c r="E79" s="15" t="n">
        <v>-2.62</v>
      </c>
      <c r="F79" s="22" t="str">
        <f aca="false">IF(ABS(B79-E79)&lt;=H79,"OK","CHECK")</f>
        <v>OK</v>
      </c>
      <c r="G79" s="23" t="n">
        <f aca="false">B79/0.3048</f>
        <v>-8.60590783044947</v>
      </c>
      <c r="H79" s="24" t="n">
        <v>0.005</v>
      </c>
      <c r="I79" s="19"/>
    </row>
    <row r="80" customFormat="false" ht="15" hidden="false" customHeight="false" outlineLevel="0" collapsed="false">
      <c r="A80" s="13" t="s">
        <v>1309</v>
      </c>
      <c r="B80" s="37" t="n">
        <f aca="false">-$B$72*($B$23+$B$25)/$B$74</f>
        <v>-0.00915631616453538</v>
      </c>
      <c r="C80" s="15" t="s">
        <v>230</v>
      </c>
      <c r="D80" s="21"/>
      <c r="E80" s="17"/>
      <c r="F80" s="17"/>
      <c r="G80" s="23" t="n">
        <f aca="false">B80/0.3048</f>
        <v>-0.0300404073639612</v>
      </c>
      <c r="H80" s="17"/>
      <c r="I80" s="19"/>
    </row>
    <row r="81" customFormat="false" ht="15" hidden="false" customHeight="false" outlineLevel="0" collapsed="false">
      <c r="A81" s="13" t="s">
        <v>1310</v>
      </c>
      <c r="B81" s="28" t="n">
        <f aca="false">SQRT(($B$61+$B$79-1200)^2+($B$62+$B$80-850)^2)</f>
        <v>3.20466416063174</v>
      </c>
      <c r="C81" s="15" t="s">
        <v>230</v>
      </c>
      <c r="D81" s="21"/>
      <c r="E81" s="15" t="n">
        <v>3.2</v>
      </c>
      <c r="F81" s="22" t="str">
        <f aca="false">IF(ABS(B81-E81)&lt;=H81,"OK","CHECK")</f>
        <v>OK</v>
      </c>
      <c r="G81" s="23" t="n">
        <f aca="false">B81/0.3048</f>
        <v>10.5139900283194</v>
      </c>
      <c r="H81" s="24" t="n">
        <v>0.005</v>
      </c>
      <c r="I81" s="19"/>
    </row>
    <row r="82" customFormat="false" ht="15" hidden="false" customHeight="false" outlineLevel="0" collapsed="false">
      <c r="A82" s="13" t="s">
        <v>1311</v>
      </c>
      <c r="B82" s="41" t="n">
        <f aca="false">-$B$71*($B$23+$B$25+$B$27)/$B$74</f>
        <v>-4.12198396770443</v>
      </c>
      <c r="C82" s="15" t="s">
        <v>230</v>
      </c>
      <c r="D82" s="21" t="s">
        <v>1305</v>
      </c>
      <c r="E82" s="15" t="n">
        <v>-4.12</v>
      </c>
      <c r="F82" s="22" t="str">
        <f aca="false">IF(ABS(B82-E82)&lt;=H82,"OK","CHECK")</f>
        <v>OK</v>
      </c>
      <c r="G82" s="23" t="n">
        <f aca="false">B82/0.3048</f>
        <v>-13.5235694478492</v>
      </c>
      <c r="H82" s="24" t="n">
        <v>0.005</v>
      </c>
      <c r="I82" s="19"/>
    </row>
    <row r="83" customFormat="false" ht="15" hidden="false" customHeight="false" outlineLevel="0" collapsed="false">
      <c r="A83" s="13" t="s">
        <v>1312</v>
      </c>
      <c r="B83" s="37" t="n">
        <f aca="false">-$B$72*($B$23+$B$25+$B$27)/$B$74</f>
        <v>-0.0143884968299842</v>
      </c>
      <c r="C83" s="15" t="s">
        <v>230</v>
      </c>
      <c r="D83" s="21"/>
      <c r="E83" s="17"/>
      <c r="F83" s="17"/>
      <c r="G83" s="23" t="n">
        <f aca="false">B83/0.3048</f>
        <v>-0.0472063544290819</v>
      </c>
      <c r="H83" s="17"/>
      <c r="I83" s="19"/>
    </row>
    <row r="84" customFormat="false" ht="15" hidden="false" customHeight="false" outlineLevel="0" collapsed="false">
      <c r="A84" s="13" t="s">
        <v>1313</v>
      </c>
      <c r="B84" s="28" t="n">
        <f aca="false">SQRT(($B$65+$B$82-1000)^2+($B$66+$B$83-850)^2)</f>
        <v>1.01416724439685</v>
      </c>
      <c r="C84" s="15" t="s">
        <v>230</v>
      </c>
      <c r="D84" s="21"/>
      <c r="E84" s="15" t="n">
        <v>1.01</v>
      </c>
      <c r="F84" s="22" t="str">
        <f aca="false">IF(ABS(B84-E84)&lt;=H84,"OK","CHECK")</f>
        <v>OK</v>
      </c>
      <c r="G84" s="23" t="n">
        <f aca="false">B84/0.3048</f>
        <v>3.32732035563272</v>
      </c>
      <c r="H84" s="24" t="n">
        <v>0.005</v>
      </c>
      <c r="I84" s="19"/>
    </row>
    <row r="85" customFormat="false" ht="15" hidden="false" customHeight="false" outlineLevel="0" collapsed="false">
      <c r="A85" s="2"/>
      <c r="B85" s="2"/>
      <c r="C85" s="2"/>
      <c r="D85" s="2"/>
      <c r="E85" s="2"/>
      <c r="F85" s="2"/>
      <c r="G85" s="2"/>
      <c r="H85" s="2"/>
      <c r="I85" s="2"/>
    </row>
    <row r="86" customFormat="false" ht="15" hidden="false" customHeight="false" outlineLevel="0" collapsed="false">
      <c r="A86" s="10" t="s">
        <v>1314</v>
      </c>
      <c r="B86" s="11"/>
      <c r="C86" s="11"/>
      <c r="D86" s="11"/>
      <c r="E86" s="11"/>
      <c r="F86" s="11"/>
      <c r="G86" s="11"/>
      <c r="H86" s="11"/>
      <c r="I86" s="11"/>
    </row>
    <row r="87" customFormat="false" ht="15" hidden="false" customHeight="true" outlineLevel="0" collapsed="false">
      <c r="A87" s="12" t="s">
        <v>1315</v>
      </c>
      <c r="B87" s="12"/>
      <c r="C87" s="12"/>
      <c r="D87" s="12"/>
      <c r="E87" s="12"/>
      <c r="F87" s="12"/>
      <c r="G87" s="12"/>
      <c r="H87" s="12"/>
      <c r="I87" s="12"/>
    </row>
    <row r="88" customFormat="false" ht="15" hidden="false" customHeight="false" outlineLevel="0" collapsed="false">
      <c r="A88" s="13" t="s">
        <v>466</v>
      </c>
      <c r="B88" s="14" t="n">
        <v>0.8</v>
      </c>
      <c r="C88" s="15" t="s">
        <v>238</v>
      </c>
      <c r="D88" s="16" t="s">
        <v>226</v>
      </c>
      <c r="E88" s="17"/>
      <c r="F88" s="17"/>
      <c r="G88" s="17"/>
      <c r="H88" s="17"/>
      <c r="I88" s="19"/>
    </row>
    <row r="89" customFormat="false" ht="15" hidden="false" customHeight="false" outlineLevel="0" collapsed="false">
      <c r="A89" s="13" t="s">
        <v>1193</v>
      </c>
      <c r="B89" s="33" t="n">
        <f aca="false">RADIANS($B$88)</f>
        <v>0.0139626340159546</v>
      </c>
      <c r="C89" s="15" t="s">
        <v>241</v>
      </c>
      <c r="D89" s="21"/>
      <c r="E89" s="15" t="n">
        <v>0.01396</v>
      </c>
      <c r="F89" s="22" t="str">
        <f aca="false">IF(ABS(B89-E89)&lt;=H89,"OK","CHECK")</f>
        <v>OK</v>
      </c>
      <c r="G89" s="17"/>
      <c r="H89" s="24" t="n">
        <v>5E-006</v>
      </c>
      <c r="I89" s="19"/>
    </row>
    <row r="90" customFormat="false" ht="15" hidden="false" customHeight="false" outlineLevel="0" collapsed="false">
      <c r="A90" s="13" t="s">
        <v>1316</v>
      </c>
      <c r="B90" s="28" t="n">
        <f aca="false">200*$B$89</f>
        <v>2.79252680319093</v>
      </c>
      <c r="C90" s="15" t="s">
        <v>230</v>
      </c>
      <c r="D90" s="21" t="s">
        <v>1317</v>
      </c>
      <c r="E90" s="15" t="n">
        <v>2.79</v>
      </c>
      <c r="F90" s="22" t="str">
        <f aca="false">IF(ABS(B90-E90)&lt;=H90,"OK","CHECK")</f>
        <v>OK</v>
      </c>
      <c r="G90" s="23" t="n">
        <f aca="false">B90/0.3048</f>
        <v>9.16183334380225</v>
      </c>
      <c r="H90" s="24" t="n">
        <v>0.005</v>
      </c>
      <c r="I90" s="19"/>
    </row>
    <row r="91" customFormat="false" ht="15" hidden="false" customHeight="false" outlineLevel="0" collapsed="false">
      <c r="A91" s="13" t="s">
        <v>1318</v>
      </c>
      <c r="B91" s="28" t="n">
        <f aca="false">150*$B$89</f>
        <v>2.0943951023932</v>
      </c>
      <c r="C91" s="15" t="s">
        <v>230</v>
      </c>
      <c r="D91" s="21"/>
      <c r="E91" s="15" t="n">
        <v>2.09</v>
      </c>
      <c r="F91" s="22" t="str">
        <f aca="false">IF(ABS(B91-E91)&lt;=H91,"OK","CHECK")</f>
        <v>OK</v>
      </c>
      <c r="G91" s="23" t="n">
        <f aca="false">B91/0.3048</f>
        <v>6.87137500785169</v>
      </c>
      <c r="H91" s="24" t="n">
        <v>0.005</v>
      </c>
      <c r="I91" s="19"/>
    </row>
    <row r="92" customFormat="false" ht="15" hidden="false" customHeight="false" outlineLevel="0" collapsed="false">
      <c r="A92" s="13" t="s">
        <v>1319</v>
      </c>
      <c r="B92" s="28" t="n">
        <f aca="false">SQRT(2*$B$90^2+2*$B$91^2)</f>
        <v>4.93653659795374</v>
      </c>
      <c r="C92" s="15" t="s">
        <v>230</v>
      </c>
      <c r="D92" s="21" t="s">
        <v>1320</v>
      </c>
      <c r="E92" s="15" t="n">
        <v>4.93</v>
      </c>
      <c r="F92" s="22" t="str">
        <f aca="false">IF(ABS(B92-E92)&lt;=H92,"OK","CHECK")</f>
        <v>OK</v>
      </c>
      <c r="G92" s="23" t="n">
        <f aca="false">B92/0.3048</f>
        <v>16.195986213759</v>
      </c>
      <c r="H92" s="24" t="n">
        <v>0.01</v>
      </c>
      <c r="I92" s="19"/>
    </row>
    <row r="93" customFormat="false" ht="15" hidden="false" customHeight="false" outlineLevel="0" collapsed="false">
      <c r="A93" s="2"/>
      <c r="B93" s="2"/>
      <c r="C93" s="2"/>
      <c r="D93" s="2"/>
      <c r="E93" s="2"/>
      <c r="F93" s="2"/>
      <c r="G93" s="2"/>
      <c r="H93" s="2"/>
      <c r="I93" s="2"/>
    </row>
    <row r="94" customFormat="false" ht="15" hidden="false" customHeight="false" outlineLevel="0" collapsed="false">
      <c r="A94" s="10" t="s">
        <v>1321</v>
      </c>
      <c r="B94" s="11"/>
      <c r="C94" s="11"/>
      <c r="D94" s="11"/>
      <c r="E94" s="11"/>
      <c r="F94" s="11"/>
      <c r="G94" s="11"/>
      <c r="H94" s="11"/>
      <c r="I94" s="11"/>
    </row>
    <row r="95" customFormat="false" ht="15" hidden="false" customHeight="true" outlineLevel="0" collapsed="false">
      <c r="A95" s="12" t="s">
        <v>1322</v>
      </c>
      <c r="B95" s="12"/>
      <c r="C95" s="12"/>
      <c r="D95" s="12"/>
      <c r="E95" s="12"/>
      <c r="F95" s="12"/>
      <c r="G95" s="12"/>
      <c r="H95" s="12"/>
      <c r="I95" s="12"/>
    </row>
    <row r="96" customFormat="false" ht="15" hidden="false" customHeight="false" outlineLevel="0" collapsed="false">
      <c r="A96" s="13" t="s">
        <v>1323</v>
      </c>
      <c r="B96" s="14" t="n">
        <v>0.25</v>
      </c>
      <c r="C96" s="15" t="s">
        <v>238</v>
      </c>
      <c r="D96" s="16" t="s">
        <v>226</v>
      </c>
      <c r="E96" s="17"/>
      <c r="F96" s="17"/>
      <c r="G96" s="17"/>
      <c r="H96" s="17"/>
      <c r="I96" s="19"/>
    </row>
    <row r="97" customFormat="false" ht="15" hidden="false" customHeight="false" outlineLevel="0" collapsed="false">
      <c r="A97" s="13" t="s">
        <v>514</v>
      </c>
      <c r="B97" s="14" t="n">
        <v>70</v>
      </c>
      <c r="C97" s="15" t="s">
        <v>228</v>
      </c>
      <c r="D97" s="16" t="s">
        <v>226</v>
      </c>
      <c r="E97" s="17"/>
      <c r="F97" s="17"/>
      <c r="G97" s="17"/>
      <c r="H97" s="17"/>
      <c r="I97" s="19"/>
    </row>
    <row r="98" customFormat="false" ht="15" hidden="false" customHeight="false" outlineLevel="0" collapsed="false">
      <c r="A98" s="13" t="s">
        <v>482</v>
      </c>
      <c r="B98" s="14" t="n">
        <v>9.81</v>
      </c>
      <c r="C98" s="15" t="s">
        <v>480</v>
      </c>
      <c r="D98" s="16" t="s">
        <v>226</v>
      </c>
      <c r="E98" s="17"/>
      <c r="F98" s="17"/>
      <c r="G98" s="17"/>
      <c r="H98" s="17"/>
      <c r="I98" s="19"/>
    </row>
    <row r="99" customFormat="false" ht="15" hidden="false" customHeight="false" outlineLevel="0" collapsed="false">
      <c r="A99" s="13" t="s">
        <v>414</v>
      </c>
      <c r="B99" s="14" t="n">
        <v>10</v>
      </c>
      <c r="C99" s="15" t="s">
        <v>225</v>
      </c>
      <c r="D99" s="16" t="s">
        <v>226</v>
      </c>
      <c r="E99" s="17"/>
      <c r="F99" s="17"/>
      <c r="G99" s="18" t="n">
        <f aca="false">B99/0.3048</f>
        <v>32.8083989501312</v>
      </c>
      <c r="H99" s="17"/>
      <c r="I99" s="19"/>
    </row>
    <row r="100" customFormat="false" ht="15" hidden="false" customHeight="false" outlineLevel="0" collapsed="false">
      <c r="A100" s="13" t="s">
        <v>1324</v>
      </c>
      <c r="B100" s="14" t="n">
        <v>2</v>
      </c>
      <c r="C100" s="15" t="s">
        <v>497</v>
      </c>
      <c r="D100" s="16" t="s">
        <v>226</v>
      </c>
      <c r="E100" s="17"/>
      <c r="F100" s="17"/>
      <c r="G100" s="17"/>
      <c r="H100" s="17"/>
      <c r="I100" s="19"/>
    </row>
    <row r="101" customFormat="false" ht="15" hidden="false" customHeight="false" outlineLevel="0" collapsed="false">
      <c r="A101" s="13" t="s">
        <v>1325</v>
      </c>
      <c r="B101" s="14" t="n">
        <v>0.04</v>
      </c>
      <c r="C101" s="15" t="s">
        <v>1326</v>
      </c>
      <c r="D101" s="16" t="s">
        <v>226</v>
      </c>
      <c r="E101" s="17"/>
      <c r="F101" s="17"/>
      <c r="G101" s="17"/>
      <c r="H101" s="17"/>
      <c r="I101" s="19"/>
    </row>
    <row r="102" customFormat="false" ht="15" hidden="false" customHeight="false" outlineLevel="0" collapsed="false">
      <c r="A102" s="13" t="s">
        <v>1327</v>
      </c>
      <c r="B102" s="14" t="n">
        <v>0.04</v>
      </c>
      <c r="C102" s="15" t="s">
        <v>497</v>
      </c>
      <c r="D102" s="16" t="s">
        <v>226</v>
      </c>
      <c r="E102" s="17"/>
      <c r="F102" s="17"/>
      <c r="G102" s="17"/>
      <c r="H102" s="17"/>
      <c r="I102" s="19"/>
    </row>
    <row r="103" customFormat="false" ht="15" hidden="false" customHeight="false" outlineLevel="0" collapsed="false">
      <c r="A103" s="13" t="s">
        <v>1328</v>
      </c>
      <c r="B103" s="14" t="n">
        <v>8</v>
      </c>
      <c r="C103" s="15" t="s">
        <v>1329</v>
      </c>
      <c r="D103" s="16" t="s">
        <v>226</v>
      </c>
      <c r="E103" s="17"/>
      <c r="F103" s="17"/>
      <c r="G103" s="17"/>
      <c r="H103" s="17"/>
      <c r="I103" s="19"/>
    </row>
    <row r="104" customFormat="false" ht="15" hidden="false" customHeight="false" outlineLevel="0" collapsed="false">
      <c r="A104" s="13" t="s">
        <v>1330</v>
      </c>
      <c r="B104" s="27" t="n">
        <f aca="false">$B$98*SIN(RADIANS($B$96))</f>
        <v>0.0428040640833639</v>
      </c>
      <c r="C104" s="15" t="s">
        <v>480</v>
      </c>
      <c r="D104" s="21" t="s">
        <v>516</v>
      </c>
      <c r="E104" s="15" t="n">
        <v>0.0428</v>
      </c>
      <c r="F104" s="22" t="str">
        <f aca="false">IF(ABS(B104-E104)&lt;=H104,"OK","CHECK")</f>
        <v>OK</v>
      </c>
      <c r="G104" s="17"/>
      <c r="H104" s="24" t="n">
        <v>5E-005</v>
      </c>
      <c r="I104" s="19"/>
    </row>
    <row r="105" customFormat="false" ht="15" hidden="false" customHeight="false" outlineLevel="0" collapsed="false">
      <c r="A105" s="13" t="s">
        <v>1331</v>
      </c>
      <c r="B105" s="29" t="n">
        <f aca="false">0.5*$B$104*$B$97^2</f>
        <v>104.869957004241</v>
      </c>
      <c r="C105" s="15" t="s">
        <v>230</v>
      </c>
      <c r="D105" s="21" t="s">
        <v>1332</v>
      </c>
      <c r="E105" s="15" t="n">
        <v>105</v>
      </c>
      <c r="F105" s="22" t="str">
        <f aca="false">IF(ABS(B105-E105)&lt;=H105,"OK","CHECK")</f>
        <v>OK</v>
      </c>
      <c r="G105" s="23" t="n">
        <f aca="false">B105/0.3048</f>
        <v>344.061538727826</v>
      </c>
      <c r="H105" s="24" t="n">
        <v>0.5</v>
      </c>
      <c r="I105" s="19"/>
    </row>
    <row r="106" customFormat="false" ht="15" hidden="false" customHeight="false" outlineLevel="0" collapsed="false">
      <c r="A106" s="13" t="s">
        <v>496</v>
      </c>
      <c r="B106" s="27" t="n">
        <f aca="false">$B$100*0.001*$B$98</f>
        <v>0.01962</v>
      </c>
      <c r="C106" s="15" t="s">
        <v>480</v>
      </c>
      <c r="D106" s="21"/>
      <c r="E106" s="15" t="n">
        <v>0.0196</v>
      </c>
      <c r="F106" s="22" t="str">
        <f aca="false">IF(ABS(B106-E106)&lt;=H106,"OK","CHECK")</f>
        <v>OK</v>
      </c>
      <c r="G106" s="17"/>
      <c r="H106" s="24" t="n">
        <v>5E-005</v>
      </c>
      <c r="I106" s="19"/>
    </row>
    <row r="107" customFormat="false" ht="15" hidden="false" customHeight="false" outlineLevel="0" collapsed="false">
      <c r="A107" s="13" t="s">
        <v>1333</v>
      </c>
      <c r="B107" s="29" t="n">
        <f aca="false">0.5*$B$106*$B$97^2</f>
        <v>48.069</v>
      </c>
      <c r="C107" s="15" t="s">
        <v>230</v>
      </c>
      <c r="D107" s="21"/>
      <c r="E107" s="15" t="n">
        <v>48</v>
      </c>
      <c r="F107" s="22" t="str">
        <f aca="false">IF(ABS(B107-E107)&lt;=H107,"OK","CHECK")</f>
        <v>OK</v>
      </c>
      <c r="G107" s="23" t="n">
        <f aca="false">B107/0.3048</f>
        <v>157.706692913386</v>
      </c>
      <c r="H107" s="24" t="n">
        <v>0.5</v>
      </c>
      <c r="I107" s="19"/>
    </row>
    <row r="108" customFormat="false" ht="15" hidden="false" customHeight="false" outlineLevel="0" collapsed="false">
      <c r="A108" s="13" t="s">
        <v>1334</v>
      </c>
      <c r="B108" s="32" t="n">
        <f aca="false">$B$101*$B$97</f>
        <v>2.8</v>
      </c>
      <c r="C108" s="15" t="s">
        <v>238</v>
      </c>
      <c r="D108" s="21"/>
      <c r="E108" s="15" t="n">
        <v>2.8</v>
      </c>
      <c r="F108" s="22" t="str">
        <f aca="false">IF(ABS(B108-E108)&lt;=H108,"OK","CHECK")</f>
        <v>OK</v>
      </c>
      <c r="G108" s="17"/>
      <c r="H108" s="24" t="n">
        <v>0.005</v>
      </c>
      <c r="I108" s="19"/>
    </row>
    <row r="109" customFormat="false" ht="15" hidden="false" customHeight="false" outlineLevel="0" collapsed="false">
      <c r="A109" s="13" t="s">
        <v>1335</v>
      </c>
      <c r="B109" s="29" t="n">
        <f aca="false">0.5*$B$99*RADIANS($B$101)*$B$97^2</f>
        <v>17.1042266695444</v>
      </c>
      <c r="C109" s="15" t="s">
        <v>230</v>
      </c>
      <c r="D109" s="21" t="s">
        <v>506</v>
      </c>
      <c r="E109" s="15" t="n">
        <v>17</v>
      </c>
      <c r="F109" s="22" t="str">
        <f aca="false">IF(ABS(B109-E109)&lt;=H109,"OK","CHECK")</f>
        <v>OK</v>
      </c>
      <c r="G109" s="23" t="n">
        <f aca="false">B109/0.3048</f>
        <v>56.1162292307888</v>
      </c>
      <c r="H109" s="24" t="n">
        <v>0.5</v>
      </c>
      <c r="I109" s="19"/>
    </row>
    <row r="110" customFormat="false" ht="15" hidden="false" customHeight="false" outlineLevel="0" collapsed="false">
      <c r="A110" s="13" t="s">
        <v>1336</v>
      </c>
      <c r="B110" s="28" t="n">
        <f aca="false">0.5*$B$102*0.001*$B$98*$B$97^2</f>
        <v>0.96138</v>
      </c>
      <c r="C110" s="15" t="s">
        <v>230</v>
      </c>
      <c r="D110" s="21"/>
      <c r="E110" s="15" t="n">
        <v>0.96</v>
      </c>
      <c r="F110" s="22" t="str">
        <f aca="false">IF(ABS(B110-E110)&lt;=H110,"OK","CHECK")</f>
        <v>OK</v>
      </c>
      <c r="G110" s="23" t="n">
        <f aca="false">B110/0.3048</f>
        <v>3.15413385826772</v>
      </c>
      <c r="H110" s="24" t="n">
        <v>0.005</v>
      </c>
      <c r="I110" s="19"/>
    </row>
    <row r="111" customFormat="false" ht="15" hidden="false" customHeight="false" outlineLevel="0" collapsed="false">
      <c r="A111" s="13" t="s">
        <v>1337</v>
      </c>
      <c r="B111" s="28" t="n">
        <f aca="false">0.5*$B$99*RADIANS($B$103/3600)*$B$97^2</f>
        <v>0.950234814974691</v>
      </c>
      <c r="C111" s="15" t="s">
        <v>230</v>
      </c>
      <c r="D111" s="21"/>
      <c r="E111" s="15" t="n">
        <v>0.95</v>
      </c>
      <c r="F111" s="22" t="str">
        <f aca="false">IF(ABS(B111-E111)&lt;=H111,"OK","CHECK")</f>
        <v>OK</v>
      </c>
      <c r="G111" s="23" t="n">
        <f aca="false">B111/0.3048</f>
        <v>3.11756829059938</v>
      </c>
      <c r="H111" s="24" t="n">
        <v>0.005</v>
      </c>
      <c r="I111" s="19"/>
    </row>
    <row r="112" customFormat="false" ht="15" hidden="false" customHeight="false" outlineLevel="0" collapsed="false">
      <c r="A112" s="2"/>
      <c r="B112" s="2"/>
      <c r="C112" s="2"/>
      <c r="D112" s="2"/>
      <c r="E112" s="2"/>
      <c r="F112" s="2"/>
      <c r="G112" s="2"/>
      <c r="H112" s="2"/>
      <c r="I112" s="2"/>
    </row>
    <row r="113" customFormat="false" ht="15" hidden="false" customHeight="false" outlineLevel="0" collapsed="false">
      <c r="A113" s="10" t="s">
        <v>1338</v>
      </c>
      <c r="B113" s="11"/>
      <c r="C113" s="11"/>
      <c r="D113" s="11"/>
      <c r="E113" s="11"/>
      <c r="F113" s="11"/>
      <c r="G113" s="11"/>
      <c r="H113" s="11"/>
      <c r="I113" s="11"/>
    </row>
    <row r="114" customFormat="false" ht="15" hidden="false" customHeight="true" outlineLevel="0" collapsed="false">
      <c r="A114" s="12" t="s">
        <v>1339</v>
      </c>
      <c r="B114" s="12"/>
      <c r="C114" s="12"/>
      <c r="D114" s="12"/>
      <c r="E114" s="12"/>
      <c r="F114" s="12"/>
      <c r="G114" s="12"/>
      <c r="H114" s="12"/>
      <c r="I114" s="12"/>
    </row>
    <row r="115" customFormat="false" ht="15" hidden="false" customHeight="false" outlineLevel="0" collapsed="false">
      <c r="A115" s="13" t="s">
        <v>1340</v>
      </c>
      <c r="B115" s="14" t="n">
        <v>2</v>
      </c>
      <c r="C115" s="15" t="s">
        <v>230</v>
      </c>
      <c r="D115" s="16" t="s">
        <v>226</v>
      </c>
      <c r="E115" s="17"/>
      <c r="F115" s="17"/>
      <c r="G115" s="23" t="n">
        <f aca="false">B115/0.3048</f>
        <v>6.56167979002625</v>
      </c>
      <c r="H115" s="17"/>
      <c r="I115" s="19"/>
    </row>
    <row r="116" customFormat="false" ht="15" hidden="false" customHeight="false" outlineLevel="0" collapsed="false">
      <c r="A116" s="13" t="s">
        <v>1341</v>
      </c>
      <c r="B116" s="14" t="n">
        <v>20</v>
      </c>
      <c r="C116" s="15" t="s">
        <v>228</v>
      </c>
      <c r="D116" s="16" t="s">
        <v>226</v>
      </c>
      <c r="E116" s="17"/>
      <c r="F116" s="17"/>
      <c r="G116" s="17"/>
      <c r="H116" s="17"/>
      <c r="I116" s="19"/>
    </row>
    <row r="117" customFormat="false" ht="15" hidden="false" customHeight="false" outlineLevel="0" collapsed="false">
      <c r="A117" s="13" t="s">
        <v>482</v>
      </c>
      <c r="B117" s="14" t="n">
        <v>9.81</v>
      </c>
      <c r="C117" s="15" t="s">
        <v>480</v>
      </c>
      <c r="D117" s="16" t="s">
        <v>226</v>
      </c>
      <c r="E117" s="17"/>
      <c r="F117" s="17"/>
      <c r="G117" s="17"/>
      <c r="H117" s="17"/>
      <c r="I117" s="19"/>
    </row>
    <row r="118" customFormat="false" ht="15" hidden="false" customHeight="false" outlineLevel="0" collapsed="false">
      <c r="A118" s="13" t="s">
        <v>1342</v>
      </c>
      <c r="B118" s="14" t="n">
        <v>0.05</v>
      </c>
      <c r="C118" s="15" t="s">
        <v>238</v>
      </c>
      <c r="D118" s="16" t="s">
        <v>226</v>
      </c>
      <c r="E118" s="17"/>
      <c r="F118" s="17"/>
      <c r="G118" s="17"/>
      <c r="H118" s="17"/>
      <c r="I118" s="19"/>
    </row>
    <row r="119" customFormat="false" ht="15" hidden="false" customHeight="false" outlineLevel="0" collapsed="false">
      <c r="A119" s="13" t="s">
        <v>496</v>
      </c>
      <c r="B119" s="14" t="n">
        <v>0.00039</v>
      </c>
      <c r="C119" s="15" t="s">
        <v>480</v>
      </c>
      <c r="D119" s="16" t="s">
        <v>226</v>
      </c>
      <c r="E119" s="17"/>
      <c r="F119" s="17"/>
      <c r="G119" s="17"/>
      <c r="H119" s="17"/>
      <c r="I119" s="19"/>
    </row>
    <row r="120" customFormat="false" ht="15" hidden="false" customHeight="false" outlineLevel="0" collapsed="false">
      <c r="A120" s="13" t="s">
        <v>1343</v>
      </c>
      <c r="B120" s="14" t="n">
        <v>0.25</v>
      </c>
      <c r="C120" s="15" t="s">
        <v>238</v>
      </c>
      <c r="D120" s="16" t="s">
        <v>226</v>
      </c>
      <c r="E120" s="17"/>
      <c r="F120" s="17"/>
      <c r="G120" s="17"/>
      <c r="H120" s="17"/>
      <c r="I120" s="19"/>
    </row>
    <row r="121" customFormat="false" ht="15" hidden="false" customHeight="false" outlineLevel="0" collapsed="false">
      <c r="A121" s="13" t="s">
        <v>1344</v>
      </c>
      <c r="B121" s="14" t="n">
        <v>30</v>
      </c>
      <c r="C121" s="15" t="s">
        <v>322</v>
      </c>
      <c r="D121" s="16" t="s">
        <v>226</v>
      </c>
      <c r="E121" s="17"/>
      <c r="F121" s="17"/>
      <c r="G121" s="17"/>
      <c r="H121" s="17"/>
      <c r="I121" s="19"/>
    </row>
    <row r="122" customFormat="false" ht="15" hidden="false" customHeight="false" outlineLevel="0" collapsed="false">
      <c r="A122" s="13" t="s">
        <v>414</v>
      </c>
      <c r="B122" s="14" t="n">
        <v>10</v>
      </c>
      <c r="C122" s="15" t="s">
        <v>225</v>
      </c>
      <c r="D122" s="16" t="s">
        <v>226</v>
      </c>
      <c r="E122" s="17"/>
      <c r="F122" s="17"/>
      <c r="G122" s="18" t="n">
        <f aca="false">B122/0.3048</f>
        <v>32.8083989501312</v>
      </c>
      <c r="H122" s="17"/>
      <c r="I122" s="19"/>
    </row>
    <row r="123" customFormat="false" ht="15" hidden="false" customHeight="false" outlineLevel="0" collapsed="false">
      <c r="A123" s="13" t="s">
        <v>1345</v>
      </c>
      <c r="B123" s="28" t="n">
        <f aca="false">$B$115/SQRT(2)</f>
        <v>1.4142135623731</v>
      </c>
      <c r="C123" s="15" t="s">
        <v>230</v>
      </c>
      <c r="D123" s="21"/>
      <c r="E123" s="15" t="n">
        <v>1.41</v>
      </c>
      <c r="F123" s="22" t="str">
        <f aca="false">IF(ABS(B123-E123)&lt;=H123,"OK","CHECK")</f>
        <v>OK</v>
      </c>
      <c r="G123" s="23" t="n">
        <f aca="false">B123/0.3048</f>
        <v>4.63980827550228</v>
      </c>
      <c r="H123" s="24" t="n">
        <v>0.005</v>
      </c>
      <c r="I123" s="19"/>
    </row>
    <row r="124" customFormat="false" ht="15" hidden="false" customHeight="false" outlineLevel="0" collapsed="false">
      <c r="A124" s="13" t="s">
        <v>1346</v>
      </c>
      <c r="B124" s="28" t="n">
        <f aca="false">2.448*$B$123</f>
        <v>3.46199480068934</v>
      </c>
      <c r="C124" s="15" t="s">
        <v>230</v>
      </c>
      <c r="D124" s="21" t="s">
        <v>1347</v>
      </c>
      <c r="E124" s="15" t="n">
        <v>3.46</v>
      </c>
      <c r="F124" s="22" t="str">
        <f aca="false">IF(ABS(B124-E124)&lt;=H124,"OK","CHECK")</f>
        <v>OK</v>
      </c>
      <c r="G124" s="23" t="n">
        <f aca="false">B124/0.3048</f>
        <v>11.3582506584296</v>
      </c>
      <c r="H124" s="24" t="n">
        <v>0.005</v>
      </c>
      <c r="I124" s="19"/>
    </row>
    <row r="125" customFormat="false" ht="15" hidden="false" customHeight="false" outlineLevel="0" collapsed="false">
      <c r="A125" s="13" t="s">
        <v>1348</v>
      </c>
      <c r="B125" s="32" t="n">
        <f aca="false">SQRT(2)*$B$115</f>
        <v>2.82842712474619</v>
      </c>
      <c r="C125" s="15" t="s">
        <v>230</v>
      </c>
      <c r="D125" s="21" t="s">
        <v>1349</v>
      </c>
      <c r="E125" s="15" t="n">
        <v>2.8</v>
      </c>
      <c r="F125" s="22" t="str">
        <f aca="false">IF(ABS(B125-E125)&lt;=H125,"OK","CHECK")</f>
        <v>OK</v>
      </c>
      <c r="G125" s="23" t="n">
        <f aca="false">B125/0.3048</f>
        <v>9.27961655100456</v>
      </c>
      <c r="H125" s="24" t="n">
        <v>0.05</v>
      </c>
      <c r="I125" s="19"/>
    </row>
    <row r="126" customFormat="false" ht="15" hidden="false" customHeight="false" outlineLevel="0" collapsed="false">
      <c r="A126" s="13" t="s">
        <v>1350</v>
      </c>
      <c r="B126" s="32" t="n">
        <f aca="false">0.5*($B$117*SIN(RADIANS($B$118))+$B$119)*$B$116^2</f>
        <v>1.79016777889136</v>
      </c>
      <c r="C126" s="15" t="s">
        <v>230</v>
      </c>
      <c r="D126" s="21" t="s">
        <v>1351</v>
      </c>
      <c r="E126" s="15" t="n">
        <v>1.8</v>
      </c>
      <c r="F126" s="22" t="str">
        <f aca="false">IF(ABS(B126-E126)&lt;=H126,"OK","CHECK")</f>
        <v>OK</v>
      </c>
      <c r="G126" s="23" t="n">
        <f aca="false">B126/0.3048</f>
        <v>5.87325386775382</v>
      </c>
      <c r="H126" s="24" t="n">
        <v>0.05</v>
      </c>
      <c r="I126" s="19"/>
    </row>
    <row r="127" customFormat="false" ht="15" hidden="false" customHeight="false" outlineLevel="0" collapsed="false">
      <c r="A127" s="13" t="s">
        <v>1352</v>
      </c>
      <c r="B127" s="32" t="n">
        <f aca="false">0.5*($B$117*SIN(RADIANS($B$120))+$B$119)*$B$116^2</f>
        <v>8.63881281667277</v>
      </c>
      <c r="C127" s="15" t="s">
        <v>230</v>
      </c>
      <c r="D127" s="21"/>
      <c r="E127" s="15" t="n">
        <v>8.6</v>
      </c>
      <c r="F127" s="22" t="str">
        <f aca="false">IF(ABS(B127-E127)&lt;=H127,"OK","CHECK")</f>
        <v>OK</v>
      </c>
      <c r="G127" s="23" t="n">
        <f aca="false">B127/0.3048</f>
        <v>28.3425617344907</v>
      </c>
      <c r="H127" s="24" t="n">
        <v>0.05</v>
      </c>
      <c r="I127" s="19"/>
    </row>
    <row r="128" customFormat="false" ht="15" hidden="false" customHeight="false" outlineLevel="0" collapsed="false">
      <c r="A128" s="13" t="s">
        <v>1353</v>
      </c>
      <c r="B128" s="32" t="n">
        <f aca="false">$B$121*0.000000001*$B$122*1000000</f>
        <v>0.3</v>
      </c>
      <c r="C128" s="15" t="s">
        <v>1354</v>
      </c>
      <c r="D128" s="21"/>
      <c r="E128" s="15" t="n">
        <v>0.3</v>
      </c>
      <c r="F128" s="22" t="str">
        <f aca="false">IF(ABS(B128-E128)&lt;=H128,"OK","CHECK")</f>
        <v>OK</v>
      </c>
      <c r="G128" s="17"/>
      <c r="H128" s="24" t="n">
        <v>1E-006</v>
      </c>
      <c r="I128" s="19"/>
    </row>
    <row r="129" customFormat="false" ht="15" hidden="false" customHeight="false" outlineLevel="0" collapsed="false">
      <c r="A129" s="2"/>
      <c r="B129" s="2"/>
      <c r="C129" s="2"/>
      <c r="D129" s="2"/>
      <c r="E129" s="2"/>
      <c r="F129" s="2"/>
      <c r="G129" s="2"/>
      <c r="H129" s="2"/>
      <c r="I129" s="2"/>
    </row>
    <row r="130" customFormat="false" ht="15" hidden="false" customHeight="false" outlineLevel="0" collapsed="false">
      <c r="A130" s="10" t="s">
        <v>1355</v>
      </c>
      <c r="B130" s="11"/>
      <c r="C130" s="11"/>
      <c r="D130" s="11"/>
      <c r="E130" s="11"/>
      <c r="F130" s="11"/>
      <c r="G130" s="11"/>
      <c r="H130" s="11"/>
      <c r="I130" s="11"/>
    </row>
    <row r="131" customFormat="false" ht="15" hidden="false" customHeight="true" outlineLevel="0" collapsed="false">
      <c r="A131" s="12" t="s">
        <v>1356</v>
      </c>
      <c r="B131" s="12"/>
      <c r="C131" s="12"/>
      <c r="D131" s="12"/>
      <c r="E131" s="12"/>
      <c r="F131" s="12"/>
      <c r="G131" s="12"/>
      <c r="H131" s="12"/>
      <c r="I131" s="12"/>
    </row>
    <row r="132" customFormat="false" ht="15" hidden="false" customHeight="false" outlineLevel="0" collapsed="false">
      <c r="A132" s="13" t="s">
        <v>1357</v>
      </c>
      <c r="B132" s="14" t="n">
        <v>0.25</v>
      </c>
      <c r="C132" s="15" t="s">
        <v>238</v>
      </c>
      <c r="D132" s="16" t="s">
        <v>226</v>
      </c>
      <c r="E132" s="17"/>
      <c r="F132" s="17"/>
      <c r="G132" s="17"/>
      <c r="H132" s="17"/>
      <c r="I132" s="19"/>
    </row>
    <row r="133" customFormat="false" ht="15" hidden="false" customHeight="false" outlineLevel="0" collapsed="false">
      <c r="A133" s="13" t="s">
        <v>1358</v>
      </c>
      <c r="B133" s="14" t="n">
        <v>1.5</v>
      </c>
      <c r="C133" s="15" t="s">
        <v>230</v>
      </c>
      <c r="D133" s="16" t="s">
        <v>226</v>
      </c>
      <c r="E133" s="17"/>
      <c r="F133" s="17"/>
      <c r="G133" s="23" t="n">
        <f aca="false">B133/0.3048</f>
        <v>4.92125984251969</v>
      </c>
      <c r="H133" s="17"/>
      <c r="I133" s="19"/>
    </row>
    <row r="134" customFormat="false" ht="15" hidden="false" customHeight="false" outlineLevel="0" collapsed="false">
      <c r="A134" s="13" t="s">
        <v>1359</v>
      </c>
      <c r="B134" s="14" t="n">
        <v>0.5</v>
      </c>
      <c r="C134" s="15" t="s">
        <v>230</v>
      </c>
      <c r="D134" s="16" t="s">
        <v>226</v>
      </c>
      <c r="E134" s="17"/>
      <c r="F134" s="17"/>
      <c r="G134" s="23" t="n">
        <f aca="false">B134/0.3048</f>
        <v>1.64041994750656</v>
      </c>
      <c r="H134" s="17"/>
      <c r="I134" s="19"/>
    </row>
    <row r="135" customFormat="false" ht="15" hidden="false" customHeight="false" outlineLevel="0" collapsed="false">
      <c r="A135" s="13" t="s">
        <v>1360</v>
      </c>
      <c r="B135" s="14" t="n">
        <v>2.5</v>
      </c>
      <c r="C135" s="15" t="s">
        <v>230</v>
      </c>
      <c r="D135" s="16" t="s">
        <v>226</v>
      </c>
      <c r="E135" s="17"/>
      <c r="F135" s="17"/>
      <c r="G135" s="23" t="n">
        <f aca="false">B135/0.3048</f>
        <v>8.20209973753281</v>
      </c>
      <c r="H135" s="17"/>
      <c r="I135" s="19"/>
    </row>
    <row r="136" customFormat="false" ht="15" hidden="false" customHeight="false" outlineLevel="0" collapsed="false">
      <c r="A136" s="13" t="s">
        <v>1361</v>
      </c>
      <c r="B136" s="32" t="n">
        <f aca="false">$B$133*RADIANS($B$132)*1000</f>
        <v>6.54498469497874</v>
      </c>
      <c r="C136" s="15" t="s">
        <v>946</v>
      </c>
      <c r="D136" s="21" t="s">
        <v>1362</v>
      </c>
      <c r="E136" s="15" t="n">
        <v>6.5</v>
      </c>
      <c r="F136" s="22" t="str">
        <f aca="false">IF(ABS(B136-E136)&lt;=H136,"OK","CHECK")</f>
        <v>OK</v>
      </c>
      <c r="G136" s="23" t="n">
        <f aca="false">B136/304.8</f>
        <v>0.0214730468995365</v>
      </c>
      <c r="H136" s="24" t="n">
        <v>0.05</v>
      </c>
      <c r="I136" s="19"/>
    </row>
    <row r="137" customFormat="false" ht="15" hidden="false" customHeight="false" outlineLevel="0" collapsed="false">
      <c r="A137" s="13" t="s">
        <v>1363</v>
      </c>
      <c r="B137" s="28" t="n">
        <f aca="false">DEGREES($B$136/1000/$B$134)</f>
        <v>0.75</v>
      </c>
      <c r="C137" s="15" t="s">
        <v>238</v>
      </c>
      <c r="D137" s="21" t="s">
        <v>1364</v>
      </c>
      <c r="E137" s="15" t="n">
        <v>0.75</v>
      </c>
      <c r="F137" s="22" t="str">
        <f aca="false">IF(ABS(B137-E137)&lt;=H137,"OK","CHECK")</f>
        <v>OK</v>
      </c>
      <c r="G137" s="17"/>
      <c r="H137" s="24" t="n">
        <v>0.005</v>
      </c>
      <c r="I137" s="19"/>
    </row>
    <row r="138" customFormat="false" ht="15" hidden="false" customHeight="false" outlineLevel="0" collapsed="false">
      <c r="A138" s="13" t="s">
        <v>1365</v>
      </c>
      <c r="B138" s="28" t="n">
        <f aca="false">DEGREES($B$136/1000/$B$135)</f>
        <v>0.15</v>
      </c>
      <c r="C138" s="15" t="s">
        <v>238</v>
      </c>
      <c r="D138" s="21"/>
      <c r="E138" s="15" t="n">
        <v>0.15</v>
      </c>
      <c r="F138" s="22" t="str">
        <f aca="false">IF(ABS(B138-E138)&lt;=H138,"OK","CHECK")</f>
        <v>OK</v>
      </c>
      <c r="G138" s="17"/>
      <c r="H138" s="24" t="n">
        <v>0.005</v>
      </c>
      <c r="I138" s="19"/>
    </row>
    <row r="139" customFormat="false" ht="15" hidden="false" customHeight="false" outlineLevel="0" collapsed="false">
      <c r="A139" s="2"/>
      <c r="B139" s="2"/>
      <c r="C139" s="2"/>
      <c r="D139" s="2"/>
      <c r="E139" s="2"/>
      <c r="F139" s="2"/>
      <c r="G139" s="2"/>
      <c r="H139" s="2"/>
      <c r="I139" s="2"/>
    </row>
    <row r="140" customFormat="false" ht="15" hidden="false" customHeight="false" outlineLevel="0" collapsed="false">
      <c r="A140" s="10" t="s">
        <v>1366</v>
      </c>
      <c r="B140" s="11"/>
      <c r="C140" s="11"/>
      <c r="D140" s="11"/>
      <c r="E140" s="11"/>
      <c r="F140" s="11"/>
      <c r="G140" s="11"/>
      <c r="H140" s="11"/>
      <c r="I140" s="11"/>
    </row>
    <row r="141" customFormat="false" ht="15" hidden="false" customHeight="true" outlineLevel="0" collapsed="false">
      <c r="A141" s="12" t="s">
        <v>1367</v>
      </c>
      <c r="B141" s="12"/>
      <c r="C141" s="12"/>
      <c r="D141" s="12"/>
      <c r="E141" s="12"/>
      <c r="F141" s="12"/>
      <c r="G141" s="12"/>
      <c r="H141" s="12"/>
      <c r="I141" s="12"/>
    </row>
    <row r="142" customFormat="false" ht="15" hidden="false" customHeight="false" outlineLevel="0" collapsed="false">
      <c r="A142" s="13" t="s">
        <v>1368</v>
      </c>
      <c r="B142" s="14" t="n">
        <v>1</v>
      </c>
      <c r="C142" s="15" t="s">
        <v>300</v>
      </c>
      <c r="D142" s="16" t="s">
        <v>226</v>
      </c>
      <c r="E142" s="17"/>
      <c r="F142" s="17"/>
      <c r="G142" s="23" t="n">
        <f aca="false">B142/30.48</f>
        <v>0.0328083989501312</v>
      </c>
      <c r="H142" s="17"/>
      <c r="I142" s="19"/>
    </row>
    <row r="143" customFormat="false" ht="15" hidden="false" customHeight="false" outlineLevel="0" collapsed="false">
      <c r="A143" s="13" t="s">
        <v>1369</v>
      </c>
      <c r="B143" s="14" t="n">
        <v>1</v>
      </c>
      <c r="C143" s="15" t="s">
        <v>1204</v>
      </c>
      <c r="D143" s="16" t="s">
        <v>226</v>
      </c>
      <c r="E143" s="17"/>
      <c r="F143" s="17"/>
      <c r="G143" s="17"/>
      <c r="H143" s="17"/>
      <c r="I143" s="19"/>
    </row>
    <row r="144" customFormat="false" ht="15" hidden="false" customHeight="false" outlineLevel="0" collapsed="false">
      <c r="A144" s="13" t="s">
        <v>1370</v>
      </c>
      <c r="B144" s="14" t="n">
        <v>22000</v>
      </c>
      <c r="C144" s="15" t="s">
        <v>230</v>
      </c>
      <c r="D144" s="16" t="s">
        <v>226</v>
      </c>
      <c r="E144" s="17"/>
      <c r="F144" s="17"/>
      <c r="G144" s="23" t="n">
        <f aca="false">B144/0.3048</f>
        <v>72178.4776902887</v>
      </c>
      <c r="H144" s="17"/>
      <c r="I144" s="19"/>
    </row>
    <row r="145" customFormat="false" ht="15" hidden="false" customHeight="false" outlineLevel="0" collapsed="false">
      <c r="A145" s="13" t="s">
        <v>1371</v>
      </c>
      <c r="B145" s="14" t="n">
        <v>3000</v>
      </c>
      <c r="C145" s="15" t="s">
        <v>230</v>
      </c>
      <c r="D145" s="16" t="s">
        <v>226</v>
      </c>
      <c r="E145" s="17"/>
      <c r="F145" s="17"/>
      <c r="G145" s="23" t="n">
        <f aca="false">B145/0.3048</f>
        <v>9842.51968503937</v>
      </c>
      <c r="H145" s="17"/>
      <c r="I145" s="19"/>
    </row>
    <row r="146" customFormat="false" ht="15" hidden="false" customHeight="false" outlineLevel="0" collapsed="false">
      <c r="A146" s="13" t="s">
        <v>1372</v>
      </c>
      <c r="B146" s="32" t="n">
        <f aca="false">$B$142+$B$143*0.000001*$B$144*100</f>
        <v>3.2</v>
      </c>
      <c r="C146" s="15" t="s">
        <v>300</v>
      </c>
      <c r="D146" s="21" t="s">
        <v>1373</v>
      </c>
      <c r="E146" s="15" t="n">
        <v>3.2</v>
      </c>
      <c r="F146" s="22" t="str">
        <f aca="false">IF(ABS(B146-E146)&lt;=H146,"OK","CHECK")</f>
        <v>OK</v>
      </c>
      <c r="G146" s="23" t="n">
        <f aca="false">B146/30.48</f>
        <v>0.10498687664042</v>
      </c>
      <c r="H146" s="24" t="n">
        <v>0.005</v>
      </c>
      <c r="I146" s="19"/>
    </row>
    <row r="147" customFormat="false" ht="15" hidden="false" customHeight="false" outlineLevel="0" collapsed="false">
      <c r="A147" s="13" t="s">
        <v>1374</v>
      </c>
      <c r="B147" s="32" t="n">
        <f aca="false">$B$142+$B$143*0.000001*$B$145*100</f>
        <v>1.3</v>
      </c>
      <c r="C147" s="15" t="s">
        <v>300</v>
      </c>
      <c r="D147" s="21"/>
      <c r="E147" s="15" t="n">
        <v>1.3</v>
      </c>
      <c r="F147" s="22" t="str">
        <f aca="false">IF(ABS(B147-E147)&lt;=H147,"OK","CHECK")</f>
        <v>OK</v>
      </c>
      <c r="G147" s="23" t="n">
        <f aca="false">B147/30.48</f>
        <v>0.0426509186351706</v>
      </c>
      <c r="H147" s="24" t="n">
        <v>0.005</v>
      </c>
      <c r="I147" s="19"/>
    </row>
    <row r="148" customFormat="false" ht="15" hidden="false" customHeight="false" outlineLevel="0" collapsed="false">
      <c r="A148" s="2"/>
      <c r="B148" s="2"/>
      <c r="C148" s="2"/>
      <c r="D148" s="2"/>
      <c r="E148" s="2"/>
      <c r="F148" s="2"/>
      <c r="G148" s="2"/>
      <c r="H148" s="2"/>
      <c r="I148" s="2"/>
    </row>
    <row r="149" customFormat="false" ht="15" hidden="false" customHeight="false" outlineLevel="0" collapsed="false">
      <c r="A149" s="10" t="s">
        <v>1375</v>
      </c>
      <c r="B149" s="11"/>
      <c r="C149" s="11"/>
      <c r="D149" s="11"/>
      <c r="E149" s="11"/>
      <c r="F149" s="11"/>
      <c r="G149" s="11"/>
      <c r="H149" s="11"/>
      <c r="I149" s="11"/>
    </row>
    <row r="150" customFormat="false" ht="15" hidden="false" customHeight="true" outlineLevel="0" collapsed="false">
      <c r="A150" s="12" t="s">
        <v>1376</v>
      </c>
      <c r="B150" s="12"/>
      <c r="C150" s="12"/>
      <c r="D150" s="12"/>
      <c r="E150" s="12"/>
      <c r="F150" s="12"/>
      <c r="G150" s="12"/>
      <c r="H150" s="12"/>
      <c r="I150" s="12"/>
    </row>
    <row r="151" customFormat="false" ht="15" hidden="false" customHeight="false" outlineLevel="0" collapsed="false">
      <c r="A151" s="13" t="s">
        <v>1368</v>
      </c>
      <c r="B151" s="14" t="n">
        <v>1</v>
      </c>
      <c r="C151" s="15" t="s">
        <v>300</v>
      </c>
      <c r="D151" s="16" t="s">
        <v>226</v>
      </c>
      <c r="E151" s="17"/>
      <c r="F151" s="17"/>
      <c r="G151" s="23" t="n">
        <f aca="false">B151/30.48</f>
        <v>0.0328083989501312</v>
      </c>
      <c r="H151" s="17"/>
      <c r="I151" s="19"/>
    </row>
    <row r="152" customFormat="false" ht="15" hidden="false" customHeight="false" outlineLevel="0" collapsed="false">
      <c r="A152" s="13" t="s">
        <v>1377</v>
      </c>
      <c r="B152" s="14" t="n">
        <v>2000</v>
      </c>
      <c r="C152" s="15" t="s">
        <v>230</v>
      </c>
      <c r="D152" s="16" t="s">
        <v>226</v>
      </c>
      <c r="E152" s="17"/>
      <c r="F152" s="17"/>
      <c r="G152" s="23" t="n">
        <f aca="false">B152/0.3048</f>
        <v>6561.67979002625</v>
      </c>
      <c r="H152" s="17"/>
      <c r="I152" s="19"/>
    </row>
    <row r="153" customFormat="false" ht="15" hidden="false" customHeight="false" outlineLevel="0" collapsed="false">
      <c r="A153" s="13" t="s">
        <v>1378</v>
      </c>
      <c r="B153" s="14" t="n">
        <v>2</v>
      </c>
      <c r="C153" s="15" t="s">
        <v>300</v>
      </c>
      <c r="D153" s="16" t="s">
        <v>226</v>
      </c>
      <c r="E153" s="17"/>
      <c r="F153" s="17"/>
      <c r="G153" s="23" t="n">
        <f aca="false">B153/30.48</f>
        <v>0.0656167979002625</v>
      </c>
      <c r="H153" s="17"/>
      <c r="I153" s="19"/>
    </row>
    <row r="154" customFormat="false" ht="15" hidden="false" customHeight="false" outlineLevel="0" collapsed="false">
      <c r="A154" s="13" t="s">
        <v>1379</v>
      </c>
      <c r="B154" s="14" t="n">
        <v>700</v>
      </c>
      <c r="C154" s="15" t="s">
        <v>230</v>
      </c>
      <c r="D154" s="16" t="s">
        <v>226</v>
      </c>
      <c r="E154" s="17"/>
      <c r="F154" s="17"/>
      <c r="G154" s="23" t="n">
        <f aca="false">B154/0.3048</f>
        <v>2296.58792650919</v>
      </c>
      <c r="H154" s="17"/>
      <c r="I154" s="19"/>
    </row>
    <row r="155" customFormat="false" ht="15" hidden="false" customHeight="false" outlineLevel="0" collapsed="false">
      <c r="A155" s="13" t="s">
        <v>1380</v>
      </c>
      <c r="B155" s="32" t="n">
        <f aca="false">$B$151+0.000001*$B$152*100</f>
        <v>1.2</v>
      </c>
      <c r="C155" s="15" t="s">
        <v>300</v>
      </c>
      <c r="D155" s="21"/>
      <c r="E155" s="15" t="n">
        <v>1.2</v>
      </c>
      <c r="F155" s="22" t="str">
        <f aca="false">IF(ABS(B155-E155)&lt;=H155,"OK","CHECK")</f>
        <v>OK</v>
      </c>
      <c r="G155" s="23" t="n">
        <f aca="false">B155/30.48</f>
        <v>0.0393700787401575</v>
      </c>
      <c r="H155" s="24" t="n">
        <v>0.005</v>
      </c>
      <c r="I155" s="19"/>
    </row>
    <row r="156" customFormat="false" ht="15" hidden="false" customHeight="false" outlineLevel="0" collapsed="false">
      <c r="A156" s="13" t="s">
        <v>1381</v>
      </c>
      <c r="B156" s="32" t="n">
        <f aca="false">2.448*$B$153/SQRT(2)</f>
        <v>3.46199480068934</v>
      </c>
      <c r="C156" s="15" t="s">
        <v>300</v>
      </c>
      <c r="D156" s="21"/>
      <c r="E156" s="15" t="n">
        <v>3.5</v>
      </c>
      <c r="F156" s="22" t="str">
        <f aca="false">IF(ABS(B156-E156)&lt;=H156,"OK","CHECK")</f>
        <v>OK</v>
      </c>
      <c r="G156" s="23" t="n">
        <f aca="false">B156/30.48</f>
        <v>0.113582506584296</v>
      </c>
      <c r="H156" s="24" t="n">
        <v>0.05</v>
      </c>
      <c r="I156" s="19"/>
    </row>
    <row r="157" customFormat="false" ht="15" hidden="false" customHeight="false" outlineLevel="0" collapsed="false">
      <c r="A157" s="13" t="s">
        <v>852</v>
      </c>
      <c r="B157" s="32" t="n">
        <f aca="false">SQRT(2)*$B$153</f>
        <v>2.82842712474619</v>
      </c>
      <c r="C157" s="15" t="s">
        <v>300</v>
      </c>
      <c r="D157" s="21"/>
      <c r="E157" s="15" t="n">
        <v>2.8</v>
      </c>
      <c r="F157" s="22" t="str">
        <f aca="false">IF(ABS(B157-E157)&lt;=H157,"OK","CHECK")</f>
        <v>OK</v>
      </c>
      <c r="G157" s="23" t="n">
        <f aca="false">B157/30.48</f>
        <v>0.0927961655100456</v>
      </c>
      <c r="H157" s="24" t="n">
        <v>0.05</v>
      </c>
      <c r="I157" s="19"/>
    </row>
    <row r="158" customFormat="false" ht="15" hidden="false" customHeight="false" outlineLevel="0" collapsed="false">
      <c r="A158" s="13" t="s">
        <v>1382</v>
      </c>
      <c r="B158" s="30" t="n">
        <f aca="false">$B$154/($B$157/100)</f>
        <v>24748.7373415292</v>
      </c>
      <c r="C158" s="15"/>
      <c r="D158" s="21"/>
      <c r="E158" s="15" t="n">
        <v>25000</v>
      </c>
      <c r="F158" s="22" t="str">
        <f aca="false">IF(ABS(B158-E158)&lt;=H158,"OK","CHECK")</f>
        <v>OK</v>
      </c>
      <c r="G158" s="17"/>
      <c r="H158" s="24" t="n">
        <v>300</v>
      </c>
      <c r="I158" s="19"/>
    </row>
    <row r="159" customFormat="false" ht="15" hidden="false" customHeight="false" outlineLevel="0" collapsed="false">
      <c r="A159" s="2"/>
      <c r="B159" s="2"/>
      <c r="C159" s="2"/>
      <c r="D159" s="2"/>
      <c r="E159" s="2"/>
      <c r="F159" s="2"/>
      <c r="G159" s="2"/>
      <c r="H159" s="2"/>
      <c r="I159" s="2"/>
    </row>
    <row r="160" customFormat="false" ht="15" hidden="false" customHeight="false" outlineLevel="0" collapsed="false">
      <c r="A160" s="10" t="s">
        <v>1383</v>
      </c>
      <c r="B160" s="11"/>
      <c r="C160" s="11"/>
      <c r="D160" s="11"/>
      <c r="E160" s="11"/>
      <c r="F160" s="11"/>
      <c r="G160" s="11"/>
      <c r="H160" s="11"/>
      <c r="I160" s="11"/>
    </row>
    <row r="161" customFormat="false" ht="15" hidden="false" customHeight="true" outlineLevel="0" collapsed="false">
      <c r="A161" s="12" t="s">
        <v>1384</v>
      </c>
      <c r="B161" s="12"/>
      <c r="C161" s="12"/>
      <c r="D161" s="12"/>
      <c r="E161" s="12"/>
      <c r="F161" s="12"/>
      <c r="G161" s="12"/>
      <c r="H161" s="12"/>
      <c r="I161" s="12"/>
    </row>
    <row r="162" customFormat="false" ht="15" hidden="false" customHeight="false" outlineLevel="0" collapsed="false">
      <c r="A162" s="13" t="s">
        <v>482</v>
      </c>
      <c r="B162" s="14" t="n">
        <v>9.81</v>
      </c>
      <c r="C162" s="15" t="s">
        <v>480</v>
      </c>
      <c r="D162" s="16" t="s">
        <v>226</v>
      </c>
      <c r="E162" s="17"/>
      <c r="F162" s="17"/>
      <c r="G162" s="17"/>
      <c r="H162" s="17"/>
      <c r="I162" s="19"/>
    </row>
    <row r="163" customFormat="false" ht="15" hidden="false" customHeight="false" outlineLevel="0" collapsed="false">
      <c r="A163" s="13" t="s">
        <v>1385</v>
      </c>
      <c r="B163" s="14" t="n">
        <v>0.1</v>
      </c>
      <c r="C163" s="15" t="s">
        <v>225</v>
      </c>
      <c r="D163" s="16" t="s">
        <v>226</v>
      </c>
      <c r="E163" s="17"/>
      <c r="F163" s="17"/>
      <c r="G163" s="18" t="n">
        <f aca="false">B163/0.3048</f>
        <v>0.328083989501312</v>
      </c>
      <c r="H163" s="17"/>
      <c r="I163" s="19"/>
    </row>
    <row r="164" customFormat="false" ht="15" hidden="false" customHeight="false" outlineLevel="0" collapsed="false">
      <c r="A164" s="13" t="s">
        <v>1386</v>
      </c>
      <c r="B164" s="14" t="n">
        <v>0.00039</v>
      </c>
      <c r="C164" s="15" t="s">
        <v>480</v>
      </c>
      <c r="D164" s="16" t="s">
        <v>226</v>
      </c>
      <c r="E164" s="17"/>
      <c r="F164" s="17"/>
      <c r="G164" s="17"/>
      <c r="H164" s="17"/>
      <c r="I164" s="19"/>
    </row>
    <row r="165" customFormat="false" ht="15" hidden="false" customHeight="false" outlineLevel="0" collapsed="false">
      <c r="A165" s="13" t="s">
        <v>1387</v>
      </c>
      <c r="B165" s="14" t="n">
        <v>8</v>
      </c>
      <c r="C165" s="15" t="s">
        <v>1329</v>
      </c>
      <c r="D165" s="16" t="s">
        <v>226</v>
      </c>
      <c r="E165" s="17"/>
      <c r="F165" s="17"/>
      <c r="G165" s="17"/>
      <c r="H165" s="17"/>
      <c r="I165" s="19"/>
    </row>
    <row r="166" customFormat="false" ht="15" hidden="false" customHeight="false" outlineLevel="0" collapsed="false">
      <c r="A166" s="13" t="s">
        <v>1388</v>
      </c>
      <c r="B166" s="14" t="n">
        <v>0.05</v>
      </c>
      <c r="C166" s="15" t="s">
        <v>225</v>
      </c>
      <c r="D166" s="16" t="s">
        <v>226</v>
      </c>
      <c r="E166" s="17"/>
      <c r="F166" s="17"/>
      <c r="G166" s="18" t="n">
        <f aca="false">B166/0.3048</f>
        <v>0.164041994750656</v>
      </c>
      <c r="H166" s="17"/>
      <c r="I166" s="19"/>
    </row>
    <row r="167" customFormat="false" ht="15" hidden="false" customHeight="false" outlineLevel="0" collapsed="false">
      <c r="A167" s="13" t="s">
        <v>1389</v>
      </c>
      <c r="B167" s="14" t="n">
        <v>4.9E-005</v>
      </c>
      <c r="C167" s="15" t="s">
        <v>480</v>
      </c>
      <c r="D167" s="16" t="s">
        <v>226</v>
      </c>
      <c r="E167" s="17"/>
      <c r="F167" s="17"/>
      <c r="G167" s="17"/>
      <c r="H167" s="17"/>
      <c r="I167" s="19"/>
    </row>
    <row r="168" customFormat="false" ht="15" hidden="false" customHeight="false" outlineLevel="0" collapsed="false">
      <c r="A168" s="13" t="s">
        <v>1390</v>
      </c>
      <c r="B168" s="14" t="n">
        <v>1.5</v>
      </c>
      <c r="C168" s="15" t="s">
        <v>1329</v>
      </c>
      <c r="D168" s="16" t="s">
        <v>226</v>
      </c>
      <c r="E168" s="17"/>
      <c r="F168" s="17"/>
      <c r="G168" s="17"/>
      <c r="H168" s="17"/>
      <c r="I168" s="19"/>
    </row>
    <row r="169" customFormat="false" ht="15" hidden="false" customHeight="false" outlineLevel="0" collapsed="false">
      <c r="A169" s="13" t="s">
        <v>1391</v>
      </c>
      <c r="B169" s="14" t="n">
        <v>0.01</v>
      </c>
      <c r="C169" s="15" t="s">
        <v>225</v>
      </c>
      <c r="D169" s="16" t="s">
        <v>226</v>
      </c>
      <c r="E169" s="17"/>
      <c r="F169" s="17"/>
      <c r="G169" s="18" t="n">
        <f aca="false">B169/0.3048</f>
        <v>0.0328083989501312</v>
      </c>
      <c r="H169" s="17"/>
      <c r="I169" s="19"/>
    </row>
    <row r="170" customFormat="false" ht="15" hidden="false" customHeight="false" outlineLevel="0" collapsed="false">
      <c r="A170" s="13" t="s">
        <v>1392</v>
      </c>
      <c r="B170" s="14" t="n">
        <v>4.9E-005</v>
      </c>
      <c r="C170" s="15" t="s">
        <v>480</v>
      </c>
      <c r="D170" s="16" t="s">
        <v>226</v>
      </c>
      <c r="E170" s="17"/>
      <c r="F170" s="17"/>
      <c r="G170" s="17"/>
      <c r="H170" s="17"/>
      <c r="I170" s="19"/>
    </row>
    <row r="171" customFormat="false" ht="15" hidden="false" customHeight="false" outlineLevel="0" collapsed="false">
      <c r="A171" s="13" t="s">
        <v>1393</v>
      </c>
      <c r="B171" s="14" t="n">
        <v>1.5</v>
      </c>
      <c r="C171" s="15" t="s">
        <v>1329</v>
      </c>
      <c r="D171" s="16" t="s">
        <v>226</v>
      </c>
      <c r="E171" s="17"/>
      <c r="F171" s="17"/>
      <c r="G171" s="17"/>
      <c r="H171" s="17"/>
      <c r="I171" s="19"/>
    </row>
    <row r="172" customFormat="false" ht="39.55" hidden="false" customHeight="false" outlineLevel="0" collapsed="false">
      <c r="A172" s="13" t="s">
        <v>1394</v>
      </c>
      <c r="B172" s="28" t="n">
        <f aca="false">SQRT(($B$163*20)^2+(0.5*$B$164*20^2)^2+($B$162*RADIANS($B$165/3600)*20^3/6)^2)</f>
        <v>2.06481148241649</v>
      </c>
      <c r="C172" s="15" t="s">
        <v>230</v>
      </c>
      <c r="D172" s="21"/>
      <c r="E172" s="15" t="n">
        <v>2.07</v>
      </c>
      <c r="F172" s="22" t="str">
        <f aca="false">IF(ABS(B172-E172)&lt;=H172,"OK","CHECK")</f>
        <v>OK</v>
      </c>
      <c r="G172" s="23" t="n">
        <f aca="false">B172/0.3048</f>
        <v>6.77431588719322</v>
      </c>
      <c r="H172" s="24" t="n">
        <v>0.006</v>
      </c>
      <c r="I172" s="16" t="s">
        <v>1395</v>
      </c>
    </row>
    <row r="173" customFormat="false" ht="15" hidden="false" customHeight="false" outlineLevel="0" collapsed="false">
      <c r="A173" s="13" t="s">
        <v>1396</v>
      </c>
      <c r="B173" s="28" t="n">
        <f aca="false">SQRT(($B$166*20)^2+(0.5*$B$167*20^2)^2+($B$162*RADIANS($B$168/3600)*20^3/6)^2)</f>
        <v>1.00456156551563</v>
      </c>
      <c r="C173" s="15" t="s">
        <v>230</v>
      </c>
      <c r="D173" s="21"/>
      <c r="E173" s="15" t="n">
        <v>1</v>
      </c>
      <c r="F173" s="22" t="str">
        <f aca="false">IF(ABS(B173-E173)&lt;=H173,"OK","CHECK")</f>
        <v>OK</v>
      </c>
      <c r="G173" s="23" t="n">
        <f aca="false">B173/0.3048</f>
        <v>3.29580566114052</v>
      </c>
      <c r="H173" s="24" t="n">
        <v>0.005</v>
      </c>
      <c r="I173" s="19"/>
    </row>
    <row r="174" customFormat="false" ht="15" hidden="false" customHeight="false" outlineLevel="0" collapsed="false">
      <c r="A174" s="13" t="s">
        <v>1397</v>
      </c>
      <c r="B174" s="28" t="n">
        <f aca="false">SQRT(($B$169*20)^2+(0.5*$B$170*20^2)^2+($B$162*RADIANS($B$171/3600)*20^3/6)^2)</f>
        <v>0.22168432265547</v>
      </c>
      <c r="C174" s="15" t="s">
        <v>230</v>
      </c>
      <c r="D174" s="21"/>
      <c r="E174" s="15" t="n">
        <v>0.22</v>
      </c>
      <c r="F174" s="22" t="str">
        <f aca="false">IF(ABS(B174-E174)&lt;=H174,"OK","CHECK")</f>
        <v>OK</v>
      </c>
      <c r="G174" s="23" t="n">
        <f aca="false">B174/0.3048</f>
        <v>0.727310769867029</v>
      </c>
      <c r="H174" s="24" t="n">
        <v>0.005</v>
      </c>
      <c r="I174" s="19"/>
    </row>
    <row r="175" customFormat="false" ht="15" hidden="false" customHeight="false" outlineLevel="0" collapsed="false">
      <c r="A175" s="13" t="s">
        <v>1398</v>
      </c>
      <c r="B175" s="32" t="n">
        <f aca="false">SQRT(($B$163*60)^2+(0.5*$B$164*60^2)^2+($B$162*RADIANS($B$165/3600)*60^3/6)^2)</f>
        <v>14.9703051345972</v>
      </c>
      <c r="C175" s="15" t="s">
        <v>230</v>
      </c>
      <c r="D175" s="21"/>
      <c r="E175" s="15" t="n">
        <v>15</v>
      </c>
      <c r="F175" s="22" t="str">
        <f aca="false">IF(ABS(B175-E175)&lt;=H175,"OK","CHECK")</f>
        <v>OK</v>
      </c>
      <c r="G175" s="23" t="n">
        <f aca="false">B175/0.3048</f>
        <v>49.1151743261064</v>
      </c>
      <c r="H175" s="24" t="n">
        <v>0.05</v>
      </c>
      <c r="I175" s="19"/>
    </row>
    <row r="176" customFormat="false" ht="15" hidden="false" customHeight="false" outlineLevel="0" collapsed="false">
      <c r="A176" s="13" t="s">
        <v>1399</v>
      </c>
      <c r="B176" s="28" t="n">
        <f aca="false">SQRT(($B$169*60)^2+(0.5*$B$170*60^2)^2+($B$162*RADIANS($B$171/3600)*60^3/6)^2)</f>
        <v>2.63888187425575</v>
      </c>
      <c r="C176" s="15" t="s">
        <v>230</v>
      </c>
      <c r="D176" s="21"/>
      <c r="E176" s="15" t="n">
        <v>2.64</v>
      </c>
      <c r="F176" s="22" t="str">
        <f aca="false">IF(ABS(B176-E176)&lt;=H176,"OK","CHECK")</f>
        <v>OK</v>
      </c>
      <c r="G176" s="23" t="n">
        <f aca="false">B176/0.3048</f>
        <v>8.65774893128526</v>
      </c>
      <c r="H176" s="24" t="n">
        <v>0.005</v>
      </c>
      <c r="I176" s="19"/>
    </row>
  </sheetData>
  <mergeCells count="10">
    <mergeCell ref="A7:I7"/>
    <mergeCell ref="A18:I18"/>
    <mergeCell ref="A53:I53"/>
    <mergeCell ref="A87:I87"/>
    <mergeCell ref="A95:I95"/>
    <mergeCell ref="A114:I114"/>
    <mergeCell ref="A131:I131"/>
    <mergeCell ref="A141:I141"/>
    <mergeCell ref="A150:I150"/>
    <mergeCell ref="A161:I1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1400</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1401</v>
      </c>
      <c r="B6" s="11"/>
      <c r="C6" s="11"/>
      <c r="D6" s="11"/>
      <c r="E6" s="11"/>
      <c r="F6" s="11"/>
      <c r="G6" s="11"/>
      <c r="H6" s="11"/>
      <c r="I6" s="11"/>
    </row>
    <row r="7" customFormat="false" ht="15" hidden="false" customHeight="false" outlineLevel="0" collapsed="false">
      <c r="A7" s="13" t="s">
        <v>335</v>
      </c>
      <c r="B7" s="14" t="n">
        <v>299700000</v>
      </c>
      <c r="C7" s="15" t="s">
        <v>225</v>
      </c>
      <c r="D7" s="16" t="s">
        <v>226</v>
      </c>
      <c r="E7" s="17"/>
      <c r="F7" s="17"/>
      <c r="G7" s="18" t="n">
        <f aca="false">B7/0.3048</f>
        <v>983267716.535433</v>
      </c>
      <c r="H7" s="17"/>
      <c r="I7" s="19"/>
    </row>
    <row r="8" customFormat="false" ht="15" hidden="false" customHeight="false" outlineLevel="0" collapsed="false">
      <c r="A8" s="13" t="s">
        <v>1402</v>
      </c>
      <c r="B8" s="14" t="n">
        <v>2400000</v>
      </c>
      <c r="C8" s="15" t="s">
        <v>334</v>
      </c>
      <c r="D8" s="16" t="s">
        <v>226</v>
      </c>
      <c r="E8" s="17"/>
      <c r="F8" s="17"/>
      <c r="G8" s="17"/>
      <c r="H8" s="17"/>
      <c r="I8" s="19"/>
    </row>
    <row r="9" customFormat="false" ht="15" hidden="false" customHeight="false" outlineLevel="0" collapsed="false">
      <c r="A9" s="13" t="s">
        <v>1403</v>
      </c>
      <c r="B9" s="14" t="n">
        <v>152.4</v>
      </c>
      <c r="C9" s="15" t="s">
        <v>230</v>
      </c>
      <c r="D9" s="16" t="s">
        <v>226</v>
      </c>
      <c r="E9" s="17"/>
      <c r="F9" s="17"/>
      <c r="G9" s="23" t="n">
        <f aca="false">B9/0.3048</f>
        <v>500</v>
      </c>
      <c r="H9" s="17"/>
      <c r="I9" s="19"/>
    </row>
    <row r="10" customFormat="false" ht="15" hidden="false" customHeight="false" outlineLevel="0" collapsed="false">
      <c r="A10" s="13" t="s">
        <v>1404</v>
      </c>
      <c r="B10" s="14" t="n">
        <v>300000</v>
      </c>
      <c r="C10" s="15" t="s">
        <v>334</v>
      </c>
      <c r="D10" s="16" t="s">
        <v>226</v>
      </c>
      <c r="E10" s="17"/>
      <c r="F10" s="17"/>
      <c r="G10" s="17"/>
      <c r="H10" s="17"/>
      <c r="I10" s="19"/>
    </row>
    <row r="11" customFormat="false" ht="15" hidden="false" customHeight="false" outlineLevel="0" collapsed="false">
      <c r="A11" s="13" t="s">
        <v>1405</v>
      </c>
      <c r="B11" s="32" t="n">
        <f aca="false">$B$7/(2*$B$8)</f>
        <v>62.4375</v>
      </c>
      <c r="C11" s="15" t="s">
        <v>230</v>
      </c>
      <c r="D11" s="21" t="s">
        <v>1406</v>
      </c>
      <c r="E11" s="15" t="n">
        <v>62.4</v>
      </c>
      <c r="F11" s="22" t="str">
        <f aca="false">IF(ABS(B11-E11)&lt;=H11,"OK","CHECK")</f>
        <v>OK</v>
      </c>
      <c r="G11" s="23" t="n">
        <f aca="false">B11/0.3048</f>
        <v>204.847440944882</v>
      </c>
      <c r="H11" s="24" t="n">
        <v>0.05</v>
      </c>
      <c r="I11" s="19"/>
    </row>
    <row r="12" customFormat="false" ht="15" hidden="false" customHeight="false" outlineLevel="0" collapsed="false">
      <c r="A12" s="13" t="s">
        <v>1407</v>
      </c>
      <c r="B12" s="28" t="n">
        <f aca="false">$B$9/$B$11</f>
        <v>2.44084084084084</v>
      </c>
      <c r="C12" s="15"/>
      <c r="D12" s="21"/>
      <c r="E12" s="15" t="n">
        <v>2.44</v>
      </c>
      <c r="F12" s="22" t="str">
        <f aca="false">IF(ABS(B12-E12)&lt;=H12,"OK","CHECK")</f>
        <v>OK</v>
      </c>
      <c r="G12" s="17"/>
      <c r="H12" s="24" t="n">
        <v>0.005</v>
      </c>
      <c r="I12" s="19"/>
    </row>
    <row r="13" customFormat="false" ht="15" hidden="false" customHeight="false" outlineLevel="0" collapsed="false">
      <c r="A13" s="13" t="s">
        <v>1408</v>
      </c>
      <c r="B13" s="29" t="n">
        <f aca="false">INT($B$12)+1</f>
        <v>3</v>
      </c>
      <c r="C13" s="15"/>
      <c r="D13" s="21"/>
      <c r="E13" s="15" t="n">
        <v>3</v>
      </c>
      <c r="F13" s="22" t="str">
        <f aca="false">IF(ABS(B13-E13)&lt;=H13,"OK","CHECK")</f>
        <v>OK</v>
      </c>
      <c r="G13" s="17"/>
      <c r="H13" s="24" t="n">
        <v>1E-009</v>
      </c>
      <c r="I13" s="19"/>
    </row>
    <row r="14" customFormat="false" ht="15" hidden="false" customHeight="false" outlineLevel="0" collapsed="false">
      <c r="A14" s="13" t="s">
        <v>1409</v>
      </c>
      <c r="B14" s="29" t="n">
        <f aca="false">$B$7/(2*$B$10)</f>
        <v>499.5</v>
      </c>
      <c r="C14" s="15" t="s">
        <v>230</v>
      </c>
      <c r="D14" s="21"/>
      <c r="E14" s="15" t="n">
        <v>500</v>
      </c>
      <c r="F14" s="22" t="str">
        <f aca="false">IF(ABS(B14-E14)&lt;=H14,"OK","CHECK")</f>
        <v>OK</v>
      </c>
      <c r="G14" s="23" t="n">
        <f aca="false">B14/0.3048</f>
        <v>1638.77952755906</v>
      </c>
      <c r="H14" s="24" t="n">
        <v>0.5</v>
      </c>
      <c r="I14" s="19"/>
    </row>
    <row r="15" customFormat="false" ht="15" hidden="false" customHeight="false" outlineLevel="0" collapsed="false">
      <c r="A15" s="2"/>
      <c r="B15" s="2"/>
      <c r="C15" s="2"/>
      <c r="D15" s="2"/>
      <c r="E15" s="2"/>
      <c r="F15" s="2"/>
      <c r="G15" s="2"/>
      <c r="H15" s="2"/>
      <c r="I15" s="2"/>
    </row>
    <row r="16" customFormat="false" ht="15" hidden="false" customHeight="false" outlineLevel="0" collapsed="false">
      <c r="A16" s="10" t="s">
        <v>1410</v>
      </c>
      <c r="B16" s="11"/>
      <c r="C16" s="11"/>
      <c r="D16" s="11"/>
      <c r="E16" s="11"/>
      <c r="F16" s="11"/>
      <c r="G16" s="11"/>
      <c r="H16" s="11"/>
      <c r="I16" s="11"/>
    </row>
    <row r="17" customFormat="false" ht="15" hidden="false" customHeight="false" outlineLevel="0" collapsed="false">
      <c r="A17" s="13" t="s">
        <v>320</v>
      </c>
      <c r="B17" s="14" t="n">
        <v>1.0003</v>
      </c>
      <c r="C17" s="15"/>
      <c r="D17" s="16" t="s">
        <v>226</v>
      </c>
      <c r="E17" s="17"/>
      <c r="F17" s="17"/>
      <c r="G17" s="17"/>
      <c r="H17" s="17"/>
      <c r="I17" s="19"/>
    </row>
    <row r="18" customFormat="false" ht="15" hidden="false" customHeight="false" outlineLevel="0" collapsed="false">
      <c r="A18" s="13" t="s">
        <v>329</v>
      </c>
      <c r="B18" s="14" t="n">
        <v>152.4</v>
      </c>
      <c r="C18" s="15" t="s">
        <v>230</v>
      </c>
      <c r="D18" s="16" t="s">
        <v>226</v>
      </c>
      <c r="E18" s="17"/>
      <c r="F18" s="17"/>
      <c r="G18" s="23" t="n">
        <f aca="false">B18/0.3048</f>
        <v>500</v>
      </c>
      <c r="H18" s="17"/>
      <c r="I18" s="19"/>
    </row>
    <row r="19" customFormat="false" ht="15" hidden="false" customHeight="false" outlineLevel="0" collapsed="false">
      <c r="A19" s="13" t="s">
        <v>1411</v>
      </c>
      <c r="B19" s="29" t="n">
        <f aca="false">($B$17-1)*1000000</f>
        <v>299.999999999967</v>
      </c>
      <c r="C19" s="15" t="s">
        <v>1204</v>
      </c>
      <c r="D19" s="21"/>
      <c r="E19" s="15" t="n">
        <v>300</v>
      </c>
      <c r="F19" s="22" t="str">
        <f aca="false">IF(ABS(B19-E19)&lt;=H19,"OK","CHECK")</f>
        <v>OK</v>
      </c>
      <c r="G19" s="17"/>
      <c r="H19" s="24" t="n">
        <v>1E-006</v>
      </c>
      <c r="I19" s="19"/>
    </row>
    <row r="20" customFormat="false" ht="15" hidden="false" customHeight="false" outlineLevel="0" collapsed="false">
      <c r="A20" s="13" t="s">
        <v>1412</v>
      </c>
      <c r="B20" s="20" t="n">
        <f aca="false">$B$18*($B$17-1)</f>
        <v>0.045719999999995</v>
      </c>
      <c r="C20" s="15" t="s">
        <v>230</v>
      </c>
      <c r="D20" s="21" t="s">
        <v>1413</v>
      </c>
      <c r="E20" s="15" t="n">
        <v>0.046</v>
      </c>
      <c r="F20" s="22" t="str">
        <f aca="false">IF(ABS(B20-E20)&lt;=H20,"OK","CHECK")</f>
        <v>OK</v>
      </c>
      <c r="G20" s="23" t="n">
        <f aca="false">B20/0.3048</f>
        <v>0.149999999999983</v>
      </c>
      <c r="H20" s="24" t="n">
        <v>0.0005</v>
      </c>
      <c r="I20" s="19"/>
    </row>
    <row r="21" customFormat="false" ht="15" hidden="false" customHeight="false" outlineLevel="0" collapsed="false">
      <c r="A21" s="2"/>
      <c r="B21" s="2"/>
      <c r="C21" s="2"/>
      <c r="D21" s="2"/>
      <c r="E21" s="2"/>
      <c r="F21" s="2"/>
      <c r="G21" s="2"/>
      <c r="H21" s="2"/>
      <c r="I21" s="2"/>
    </row>
    <row r="22" customFormat="false" ht="15" hidden="false" customHeight="false" outlineLevel="0" collapsed="false">
      <c r="A22" s="10" t="s">
        <v>1414</v>
      </c>
      <c r="B22" s="11"/>
      <c r="C22" s="11"/>
      <c r="D22" s="11"/>
      <c r="E22" s="11"/>
      <c r="F22" s="11"/>
      <c r="G22" s="11"/>
      <c r="H22" s="11"/>
      <c r="I22" s="11"/>
    </row>
    <row r="23" customFormat="false" ht="15" hidden="false" customHeight="false" outlineLevel="0" collapsed="false">
      <c r="A23" s="13" t="s">
        <v>1415</v>
      </c>
      <c r="B23" s="14" t="n">
        <v>152.4</v>
      </c>
      <c r="C23" s="15" t="s">
        <v>230</v>
      </c>
      <c r="D23" s="16" t="s">
        <v>226</v>
      </c>
      <c r="E23" s="17"/>
      <c r="F23" s="17"/>
      <c r="G23" s="23" t="n">
        <f aca="false">B23/0.3048</f>
        <v>500</v>
      </c>
      <c r="H23" s="17"/>
      <c r="I23" s="19"/>
    </row>
    <row r="24" customFormat="false" ht="15" hidden="false" customHeight="false" outlineLevel="0" collapsed="false">
      <c r="A24" s="13" t="s">
        <v>1416</v>
      </c>
      <c r="B24" s="14" t="n">
        <v>37.5</v>
      </c>
      <c r="C24" s="15" t="s">
        <v>238</v>
      </c>
      <c r="D24" s="16" t="s">
        <v>226</v>
      </c>
      <c r="E24" s="17"/>
      <c r="F24" s="17"/>
      <c r="G24" s="17"/>
      <c r="H24" s="17"/>
      <c r="I24" s="19"/>
    </row>
    <row r="25" customFormat="false" ht="15" hidden="false" customHeight="false" outlineLevel="0" collapsed="false">
      <c r="A25" s="13" t="s">
        <v>1417</v>
      </c>
      <c r="B25" s="14" t="n">
        <v>2000000</v>
      </c>
      <c r="C25" s="15" t="s">
        <v>424</v>
      </c>
      <c r="D25" s="16" t="s">
        <v>226</v>
      </c>
      <c r="E25" s="17"/>
      <c r="F25" s="17"/>
      <c r="G25" s="17"/>
      <c r="H25" s="17"/>
      <c r="I25" s="19"/>
    </row>
    <row r="26" customFormat="false" ht="15" hidden="false" customHeight="false" outlineLevel="0" collapsed="false">
      <c r="A26" s="13" t="s">
        <v>1418</v>
      </c>
      <c r="B26" s="14" t="n">
        <v>60</v>
      </c>
      <c r="C26" s="15" t="s">
        <v>1419</v>
      </c>
      <c r="D26" s="16" t="s">
        <v>226</v>
      </c>
      <c r="E26" s="17"/>
      <c r="F26" s="17"/>
      <c r="G26" s="17"/>
      <c r="H26" s="17"/>
      <c r="I26" s="19"/>
    </row>
    <row r="27" customFormat="false" ht="15" hidden="false" customHeight="false" outlineLevel="0" collapsed="false">
      <c r="A27" s="13" t="s">
        <v>1420</v>
      </c>
      <c r="B27" s="14" t="n">
        <v>10</v>
      </c>
      <c r="C27" s="15" t="s">
        <v>225</v>
      </c>
      <c r="D27" s="16" t="s">
        <v>226</v>
      </c>
      <c r="E27" s="17"/>
      <c r="F27" s="17"/>
      <c r="G27" s="18" t="n">
        <f aca="false">B27/0.3048</f>
        <v>32.8083989501312</v>
      </c>
      <c r="H27" s="17"/>
      <c r="I27" s="19"/>
    </row>
    <row r="28" customFormat="false" ht="15" hidden="false" customHeight="false" outlineLevel="0" collapsed="false">
      <c r="A28" s="13" t="s">
        <v>1421</v>
      </c>
      <c r="B28" s="29" t="n">
        <f aca="false">2*$B$23*TAN(RADIANS($B$24))</f>
        <v>233.881265935987</v>
      </c>
      <c r="C28" s="15" t="s">
        <v>230</v>
      </c>
      <c r="D28" s="21" t="s">
        <v>1422</v>
      </c>
      <c r="E28" s="15" t="n">
        <v>234</v>
      </c>
      <c r="F28" s="22" t="str">
        <f aca="false">IF(ABS(B28-E28)&lt;=H28,"OK","CHECK")</f>
        <v>OK</v>
      </c>
      <c r="G28" s="23" t="n">
        <f aca="false">B28/0.3048</f>
        <v>767.32698797896</v>
      </c>
      <c r="H28" s="24" t="n">
        <v>0.5</v>
      </c>
      <c r="I28" s="19"/>
    </row>
    <row r="29" customFormat="false" ht="15" hidden="false" customHeight="false" outlineLevel="0" collapsed="false">
      <c r="A29" s="13" t="s">
        <v>1423</v>
      </c>
      <c r="B29" s="32" t="n">
        <f aca="false">$B$26*1852/3600</f>
        <v>30.8666666666667</v>
      </c>
      <c r="C29" s="15" t="s">
        <v>225</v>
      </c>
      <c r="D29" s="21"/>
      <c r="E29" s="15" t="n">
        <v>30.9</v>
      </c>
      <c r="F29" s="22" t="str">
        <f aca="false">IF(ABS(B29-E29)&lt;=H29,"OK","CHECK")</f>
        <v>OK</v>
      </c>
      <c r="G29" s="18" t="n">
        <f aca="false">B29/0.3048</f>
        <v>101.268591426072</v>
      </c>
      <c r="H29" s="24" t="n">
        <v>0.05</v>
      </c>
      <c r="I29" s="19"/>
    </row>
    <row r="30" customFormat="false" ht="15" hidden="false" customHeight="false" outlineLevel="0" collapsed="false">
      <c r="A30" s="13" t="s">
        <v>1424</v>
      </c>
      <c r="B30" s="29" t="n">
        <f aca="false">$B$25/($B$28*$B$29)</f>
        <v>277.041498622729</v>
      </c>
      <c r="C30" s="15" t="s">
        <v>1425</v>
      </c>
      <c r="D30" s="21" t="s">
        <v>1426</v>
      </c>
      <c r="E30" s="15" t="n">
        <v>277</v>
      </c>
      <c r="F30" s="22" t="str">
        <f aca="false">IF(ABS(B30-E30)&lt;=H30,"OK","CHECK")</f>
        <v>OK</v>
      </c>
      <c r="G30" s="46" t="n">
        <f aca="false">B30*0.09290304</f>
        <v>25.7379974282073</v>
      </c>
      <c r="H30" s="24" t="n">
        <v>0.5</v>
      </c>
      <c r="I30" s="19"/>
    </row>
    <row r="31" customFormat="false" ht="15" hidden="false" customHeight="false" outlineLevel="0" collapsed="false">
      <c r="A31" s="13" t="s">
        <v>1427</v>
      </c>
      <c r="B31" s="29" t="n">
        <f aca="false">$B$25/($B$28*$B$27)</f>
        <v>855.134759082156</v>
      </c>
      <c r="C31" s="15" t="s">
        <v>1425</v>
      </c>
      <c r="D31" s="21"/>
      <c r="E31" s="15" t="n">
        <v>855</v>
      </c>
      <c r="F31" s="22" t="str">
        <f aca="false">IF(ABS(B31-E31)&lt;=H31,"OK","CHECK")</f>
        <v>OK</v>
      </c>
      <c r="G31" s="46" t="n">
        <f aca="false">B31*0.09290304</f>
        <v>79.4446187283999</v>
      </c>
      <c r="H31" s="24" t="n">
        <v>0.5</v>
      </c>
      <c r="I31" s="19"/>
    </row>
    <row r="32" customFormat="false" ht="15" hidden="false" customHeight="false" outlineLevel="0" collapsed="false">
      <c r="A32" s="13" t="s">
        <v>1428</v>
      </c>
      <c r="B32" s="29" t="n">
        <f aca="false">$B$30*500/1100</f>
        <v>125.927953919422</v>
      </c>
      <c r="C32" s="15" t="s">
        <v>1425</v>
      </c>
      <c r="D32" s="21" t="s">
        <v>1429</v>
      </c>
      <c r="E32" s="15" t="n">
        <v>126</v>
      </c>
      <c r="F32" s="22" t="str">
        <f aca="false">IF(ABS(B32-E32)&lt;=H32,"OK","CHECK")</f>
        <v>OK</v>
      </c>
      <c r="G32" s="46" t="n">
        <f aca="false">B32*0.09290304</f>
        <v>11.6990897400942</v>
      </c>
      <c r="H32" s="24" t="n">
        <v>0.5</v>
      </c>
      <c r="I32" s="19"/>
    </row>
    <row r="33" customFormat="false" ht="15" hidden="false" customHeight="false" outlineLevel="0" collapsed="false">
      <c r="A33" s="13" t="s">
        <v>1430</v>
      </c>
      <c r="B33" s="20" t="n">
        <f aca="false">1/SQRT($B$30)</f>
        <v>0.0600796765771261</v>
      </c>
      <c r="C33" s="15" t="s">
        <v>230</v>
      </c>
      <c r="D33" s="21" t="s">
        <v>1431</v>
      </c>
      <c r="E33" s="15" t="n">
        <v>0.06</v>
      </c>
      <c r="F33" s="22" t="str">
        <f aca="false">IF(ABS(B33-E33)&lt;=H33,"OK","CHECK")</f>
        <v>OK</v>
      </c>
      <c r="G33" s="23" t="n">
        <f aca="false">B33/0.3048</f>
        <v>0.197111799793721</v>
      </c>
      <c r="H33" s="24" t="n">
        <v>0.005</v>
      </c>
      <c r="I33"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1432</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1433</v>
      </c>
      <c r="B6" s="11"/>
      <c r="C6" s="11"/>
      <c r="D6" s="11"/>
      <c r="E6" s="11"/>
      <c r="F6" s="11"/>
      <c r="G6" s="11"/>
      <c r="H6" s="11"/>
      <c r="I6" s="11"/>
    </row>
    <row r="7" customFormat="false" ht="15" hidden="false" customHeight="true" outlineLevel="0" collapsed="false">
      <c r="A7" s="12" t="s">
        <v>1434</v>
      </c>
      <c r="B7" s="12"/>
      <c r="C7" s="12"/>
      <c r="D7" s="12"/>
      <c r="E7" s="12"/>
      <c r="F7" s="12"/>
      <c r="G7" s="12"/>
      <c r="H7" s="12"/>
      <c r="I7" s="12"/>
    </row>
    <row r="8" customFormat="false" ht="15" hidden="false" customHeight="false" outlineLevel="0" collapsed="false">
      <c r="A8" s="13" t="s">
        <v>1435</v>
      </c>
      <c r="B8" s="14" t="n">
        <v>0.05</v>
      </c>
      <c r="C8" s="15" t="s">
        <v>230</v>
      </c>
      <c r="D8" s="16" t="s">
        <v>226</v>
      </c>
      <c r="E8" s="17"/>
      <c r="F8" s="17"/>
      <c r="G8" s="23" t="n">
        <f aca="false">B8/0.3048</f>
        <v>0.164041994750656</v>
      </c>
      <c r="H8" s="17"/>
      <c r="I8" s="19"/>
    </row>
    <row r="9" customFormat="false" ht="15" hidden="false" customHeight="false" outlineLevel="0" collapsed="false">
      <c r="A9" s="13" t="s">
        <v>1436</v>
      </c>
      <c r="B9" s="14" t="n">
        <v>0.06</v>
      </c>
      <c r="C9" s="15" t="s">
        <v>230</v>
      </c>
      <c r="D9" s="16" t="s">
        <v>226</v>
      </c>
      <c r="E9" s="17"/>
      <c r="F9" s="17"/>
      <c r="G9" s="23" t="n">
        <f aca="false">B9/0.3048</f>
        <v>0.196850393700787</v>
      </c>
      <c r="H9" s="17"/>
      <c r="I9" s="19"/>
    </row>
    <row r="10" customFormat="false" ht="15" hidden="false" customHeight="false" outlineLevel="0" collapsed="false">
      <c r="A10" s="13" t="s">
        <v>1437</v>
      </c>
      <c r="B10" s="14" t="n">
        <v>0.04</v>
      </c>
      <c r="C10" s="15" t="s">
        <v>230</v>
      </c>
      <c r="D10" s="16" t="s">
        <v>226</v>
      </c>
      <c r="E10" s="17"/>
      <c r="F10" s="17"/>
      <c r="G10" s="23" t="n">
        <f aca="false">B10/0.3048</f>
        <v>0.131233595800525</v>
      </c>
      <c r="H10" s="17"/>
      <c r="I10" s="19"/>
    </row>
    <row r="11" customFormat="false" ht="15" hidden="false" customHeight="false" outlineLevel="0" collapsed="false">
      <c r="A11" s="13" t="s">
        <v>1438</v>
      </c>
      <c r="B11" s="14" t="n">
        <v>0.05</v>
      </c>
      <c r="C11" s="15" t="s">
        <v>230</v>
      </c>
      <c r="D11" s="16" t="s">
        <v>226</v>
      </c>
      <c r="E11" s="17"/>
      <c r="F11" s="17"/>
      <c r="G11" s="23" t="n">
        <f aca="false">B11/0.3048</f>
        <v>0.164041994750656</v>
      </c>
      <c r="H11" s="17"/>
      <c r="I11" s="19"/>
    </row>
    <row r="12" customFormat="false" ht="15" hidden="false" customHeight="false" outlineLevel="0" collapsed="false">
      <c r="A12" s="13" t="s">
        <v>1439</v>
      </c>
      <c r="B12" s="14" t="n">
        <v>0.07</v>
      </c>
      <c r="C12" s="15" t="s">
        <v>230</v>
      </c>
      <c r="D12" s="16" t="s">
        <v>226</v>
      </c>
      <c r="E12" s="17"/>
      <c r="F12" s="17"/>
      <c r="G12" s="23" t="n">
        <f aca="false">B12/0.3048</f>
        <v>0.229658792650919</v>
      </c>
      <c r="H12" s="17"/>
      <c r="I12" s="19"/>
    </row>
    <row r="13" customFormat="false" ht="15" hidden="false" customHeight="false" outlineLevel="0" collapsed="false">
      <c r="A13" s="13" t="s">
        <v>1440</v>
      </c>
      <c r="B13" s="14" t="n">
        <v>0.05</v>
      </c>
      <c r="C13" s="15" t="s">
        <v>230</v>
      </c>
      <c r="D13" s="16" t="s">
        <v>226</v>
      </c>
      <c r="E13" s="17"/>
      <c r="F13" s="17"/>
      <c r="G13" s="23" t="n">
        <f aca="false">B13/0.3048</f>
        <v>0.164041994750656</v>
      </c>
      <c r="H13" s="17"/>
      <c r="I13" s="19"/>
    </row>
    <row r="14" customFormat="false" ht="15" hidden="false" customHeight="false" outlineLevel="0" collapsed="false">
      <c r="A14" s="13" t="s">
        <v>1441</v>
      </c>
      <c r="B14" s="14" t="n">
        <v>0.06</v>
      </c>
      <c r="C14" s="15" t="s">
        <v>230</v>
      </c>
      <c r="D14" s="16" t="s">
        <v>226</v>
      </c>
      <c r="E14" s="17"/>
      <c r="F14" s="17"/>
      <c r="G14" s="23" t="n">
        <f aca="false">B14/0.3048</f>
        <v>0.196850393700787</v>
      </c>
      <c r="H14" s="17"/>
      <c r="I14" s="19"/>
    </row>
    <row r="15" customFormat="false" ht="15" hidden="false" customHeight="false" outlineLevel="0" collapsed="false">
      <c r="A15" s="13" t="s">
        <v>1442</v>
      </c>
      <c r="B15" s="14" t="n">
        <v>0.42</v>
      </c>
      <c r="C15" s="15" t="s">
        <v>230</v>
      </c>
      <c r="D15" s="16" t="s">
        <v>226</v>
      </c>
      <c r="E15" s="17"/>
      <c r="F15" s="17"/>
      <c r="G15" s="23" t="n">
        <f aca="false">B15/0.3048</f>
        <v>1.37795275590551</v>
      </c>
      <c r="H15" s="17"/>
      <c r="I15" s="19"/>
    </row>
    <row r="16" customFormat="false" ht="15" hidden="false" customHeight="false" outlineLevel="0" collapsed="false">
      <c r="A16" s="13" t="s">
        <v>1443</v>
      </c>
      <c r="B16" s="14" t="n">
        <v>1</v>
      </c>
      <c r="C16" s="15"/>
      <c r="D16" s="16" t="s">
        <v>226</v>
      </c>
      <c r="E16" s="17"/>
      <c r="F16" s="17"/>
      <c r="G16" s="17"/>
      <c r="H16" s="17"/>
      <c r="I16" s="19"/>
    </row>
    <row r="17" customFormat="false" ht="15" hidden="false" customHeight="false" outlineLevel="0" collapsed="false">
      <c r="A17" s="13" t="s">
        <v>1444</v>
      </c>
      <c r="B17" s="20" t="n">
        <f aca="false">AVERAGE($B$8:$B$15)</f>
        <v>0.1</v>
      </c>
      <c r="C17" s="15" t="s">
        <v>230</v>
      </c>
      <c r="D17" s="21" t="s">
        <v>1445</v>
      </c>
      <c r="E17" s="15" t="n">
        <v>0.1</v>
      </c>
      <c r="F17" s="22" t="str">
        <f aca="false">IF(ABS(B17-E17)&lt;=H17,"OK","CHECK")</f>
        <v>OK</v>
      </c>
      <c r="G17" s="23" t="n">
        <f aca="false">B17/0.3048</f>
        <v>0.328083989501312</v>
      </c>
      <c r="H17" s="24" t="n">
        <v>0.0005</v>
      </c>
      <c r="I17" s="19"/>
    </row>
    <row r="18" customFormat="false" ht="15" hidden="false" customHeight="false" outlineLevel="0" collapsed="false">
      <c r="A18" s="13" t="s">
        <v>1446</v>
      </c>
      <c r="B18" s="20" t="n">
        <f aca="false">STDEVP($B$8:$B$15)</f>
        <v>0.121243556529821</v>
      </c>
      <c r="C18" s="15" t="s">
        <v>230</v>
      </c>
      <c r="D18" s="21" t="s">
        <v>1447</v>
      </c>
      <c r="E18" s="15" t="n">
        <v>0.121</v>
      </c>
      <c r="F18" s="22" t="str">
        <f aca="false">IF(ABS(B18-E18)&lt;=H18,"OK","CHECK")</f>
        <v>OK</v>
      </c>
      <c r="G18" s="23" t="n">
        <f aca="false">B18/0.3048</f>
        <v>0.397780697276317</v>
      </c>
      <c r="H18" s="24" t="n">
        <v>0.0005</v>
      </c>
      <c r="I18" s="19"/>
    </row>
    <row r="19" customFormat="false" ht="15" hidden="false" customHeight="false" outlineLevel="0" collapsed="false">
      <c r="A19" s="13" t="s">
        <v>1448</v>
      </c>
      <c r="B19" s="20" t="n">
        <f aca="false">$B$17+$B$16*$B$18</f>
        <v>0.221243556529821</v>
      </c>
      <c r="C19" s="15" t="s">
        <v>230</v>
      </c>
      <c r="D19" s="21" t="s">
        <v>1449</v>
      </c>
      <c r="E19" s="15" t="n">
        <v>0.221</v>
      </c>
      <c r="F19" s="22" t="str">
        <f aca="false">IF(ABS(B19-E19)&lt;=H19,"OK","CHECK")</f>
        <v>OK</v>
      </c>
      <c r="G19" s="23" t="n">
        <f aca="false">B19/0.3048</f>
        <v>0.725864686777629</v>
      </c>
      <c r="H19" s="24" t="n">
        <v>0.0005</v>
      </c>
      <c r="I19" s="19"/>
    </row>
    <row r="20" customFormat="false" ht="15" hidden="false" customHeight="false" outlineLevel="0" collapsed="false">
      <c r="A20" s="13" t="s">
        <v>1450</v>
      </c>
      <c r="B20" s="29" t="n">
        <f aca="false">COUNTIF($B$8:$B$15,"&gt;"&amp;$B$19)</f>
        <v>1</v>
      </c>
      <c r="C20" s="15"/>
      <c r="D20" s="21"/>
      <c r="E20" s="15" t="n">
        <v>1</v>
      </c>
      <c r="F20" s="22" t="str">
        <f aca="false">IF(ABS(B20-E20)&lt;=H20,"OK","CHECK")</f>
        <v>OK</v>
      </c>
      <c r="G20" s="17"/>
      <c r="H20" s="24" t="n">
        <v>1E-009</v>
      </c>
      <c r="I20" s="19"/>
    </row>
    <row r="21" customFormat="false" ht="15" hidden="false" customHeight="false" outlineLevel="0" collapsed="false">
      <c r="A21" s="2"/>
      <c r="B21" s="2"/>
      <c r="C21" s="2"/>
      <c r="D21" s="2"/>
      <c r="E21" s="2"/>
      <c r="F21" s="2"/>
      <c r="G21" s="2"/>
      <c r="H21" s="2"/>
      <c r="I21" s="2"/>
    </row>
    <row r="22" customFormat="false" ht="15" hidden="false" customHeight="false" outlineLevel="0" collapsed="false">
      <c r="A22" s="10" t="s">
        <v>1451</v>
      </c>
      <c r="B22" s="11"/>
      <c r="C22" s="11"/>
      <c r="D22" s="11"/>
      <c r="E22" s="11"/>
      <c r="F22" s="11"/>
      <c r="G22" s="11"/>
      <c r="H22" s="11"/>
      <c r="I22" s="11"/>
    </row>
    <row r="23" customFormat="false" ht="15" hidden="false" customHeight="true" outlineLevel="0" collapsed="false">
      <c r="A23" s="12" t="s">
        <v>1452</v>
      </c>
      <c r="B23" s="12"/>
      <c r="C23" s="12"/>
      <c r="D23" s="12"/>
      <c r="E23" s="12"/>
      <c r="F23" s="12"/>
      <c r="G23" s="12"/>
      <c r="H23" s="12"/>
      <c r="I23" s="12"/>
    </row>
    <row r="24" customFormat="false" ht="15" hidden="false" customHeight="false" outlineLevel="0" collapsed="false">
      <c r="A24" s="13" t="s">
        <v>1453</v>
      </c>
      <c r="B24" s="14" t="n">
        <v>1.2</v>
      </c>
      <c r="C24" s="15" t="s">
        <v>230</v>
      </c>
      <c r="D24" s="16" t="s">
        <v>226</v>
      </c>
      <c r="E24" s="17"/>
      <c r="F24" s="17"/>
      <c r="G24" s="23" t="n">
        <f aca="false">B24/0.3048</f>
        <v>3.93700787401575</v>
      </c>
      <c r="H24" s="17"/>
      <c r="I24" s="19"/>
    </row>
    <row r="25" customFormat="false" ht="15" hidden="false" customHeight="false" outlineLevel="0" collapsed="false">
      <c r="A25" s="13" t="s">
        <v>1454</v>
      </c>
      <c r="B25" s="14" t="n">
        <v>1.5</v>
      </c>
      <c r="C25" s="15" t="s">
        <v>230</v>
      </c>
      <c r="D25" s="16" t="s">
        <v>226</v>
      </c>
      <c r="E25" s="17"/>
      <c r="F25" s="17"/>
      <c r="G25" s="23" t="n">
        <f aca="false">B25/0.3048</f>
        <v>4.92125984251969</v>
      </c>
      <c r="H25" s="17"/>
      <c r="I25" s="19"/>
    </row>
    <row r="26" customFormat="false" ht="15" hidden="false" customHeight="false" outlineLevel="0" collapsed="false">
      <c r="A26" s="13" t="s">
        <v>1455</v>
      </c>
      <c r="B26" s="14" t="n">
        <v>1.1</v>
      </c>
      <c r="C26" s="15" t="s">
        <v>230</v>
      </c>
      <c r="D26" s="16" t="s">
        <v>226</v>
      </c>
      <c r="E26" s="17"/>
      <c r="F26" s="17"/>
      <c r="G26" s="23" t="n">
        <f aca="false">B26/0.3048</f>
        <v>3.60892388451444</v>
      </c>
      <c r="H26" s="17"/>
      <c r="I26" s="19"/>
    </row>
    <row r="27" customFormat="false" ht="15" hidden="false" customHeight="false" outlineLevel="0" collapsed="false">
      <c r="A27" s="13" t="s">
        <v>1456</v>
      </c>
      <c r="B27" s="14" t="n">
        <v>1.8</v>
      </c>
      <c r="C27" s="15" t="s">
        <v>230</v>
      </c>
      <c r="D27" s="16" t="s">
        <v>226</v>
      </c>
      <c r="E27" s="17"/>
      <c r="F27" s="17"/>
      <c r="G27" s="23" t="n">
        <f aca="false">B27/0.3048</f>
        <v>5.90551181102362</v>
      </c>
      <c r="H27" s="17"/>
      <c r="I27" s="19"/>
    </row>
    <row r="28" customFormat="false" ht="15" hidden="false" customHeight="false" outlineLevel="0" collapsed="false">
      <c r="A28" s="13" t="s">
        <v>1457</v>
      </c>
      <c r="B28" s="14" t="n">
        <v>2.4</v>
      </c>
      <c r="C28" s="15" t="s">
        <v>230</v>
      </c>
      <c r="D28" s="16" t="s">
        <v>226</v>
      </c>
      <c r="E28" s="17"/>
      <c r="F28" s="17"/>
      <c r="G28" s="23" t="n">
        <f aca="false">B28/0.3048</f>
        <v>7.8740157480315</v>
      </c>
      <c r="H28" s="17"/>
      <c r="I28" s="19"/>
    </row>
    <row r="29" customFormat="false" ht="15" hidden="false" customHeight="false" outlineLevel="0" collapsed="false">
      <c r="A29" s="13" t="s">
        <v>1458</v>
      </c>
      <c r="B29" s="14" t="n">
        <v>1.6</v>
      </c>
      <c r="C29" s="15" t="s">
        <v>230</v>
      </c>
      <c r="D29" s="16" t="s">
        <v>226</v>
      </c>
      <c r="E29" s="17"/>
      <c r="F29" s="17"/>
      <c r="G29" s="23" t="n">
        <f aca="false">B29/0.3048</f>
        <v>5.249343832021</v>
      </c>
      <c r="H29" s="17"/>
      <c r="I29" s="19"/>
    </row>
    <row r="30" customFormat="false" ht="15" hidden="false" customHeight="false" outlineLevel="0" collapsed="false">
      <c r="A30" s="13" t="s">
        <v>1459</v>
      </c>
      <c r="B30" s="14" t="n">
        <v>1</v>
      </c>
      <c r="C30" s="15" t="s">
        <v>230</v>
      </c>
      <c r="D30" s="16" t="s">
        <v>226</v>
      </c>
      <c r="E30" s="17"/>
      <c r="F30" s="17"/>
      <c r="G30" s="23" t="n">
        <f aca="false">B30/0.3048</f>
        <v>3.28083989501312</v>
      </c>
      <c r="H30" s="17"/>
      <c r="I30" s="19"/>
    </row>
    <row r="31" customFormat="false" ht="15" hidden="false" customHeight="false" outlineLevel="0" collapsed="false">
      <c r="A31" s="13" t="s">
        <v>1460</v>
      </c>
      <c r="B31" s="14" t="n">
        <v>1.3</v>
      </c>
      <c r="C31" s="15" t="s">
        <v>230</v>
      </c>
      <c r="D31" s="16" t="s">
        <v>226</v>
      </c>
      <c r="E31" s="17"/>
      <c r="F31" s="17"/>
      <c r="G31" s="23" t="n">
        <f aca="false">B31/0.3048</f>
        <v>4.26509186351706</v>
      </c>
      <c r="H31" s="17"/>
      <c r="I31" s="19"/>
    </row>
    <row r="32" customFormat="false" ht="15" hidden="false" customHeight="false" outlineLevel="0" collapsed="false">
      <c r="A32" s="13" t="s">
        <v>1461</v>
      </c>
      <c r="B32" s="14" t="n">
        <v>0.9</v>
      </c>
      <c r="C32" s="15" t="s">
        <v>230</v>
      </c>
      <c r="D32" s="16" t="s">
        <v>226</v>
      </c>
      <c r="E32" s="17"/>
      <c r="F32" s="17"/>
      <c r="G32" s="23" t="n">
        <f aca="false">B32/0.3048</f>
        <v>2.95275590551181</v>
      </c>
      <c r="H32" s="17"/>
      <c r="I32" s="19"/>
    </row>
    <row r="33" customFormat="false" ht="15" hidden="false" customHeight="false" outlineLevel="0" collapsed="false">
      <c r="A33" s="13" t="s">
        <v>1462</v>
      </c>
      <c r="B33" s="14" t="n">
        <v>2</v>
      </c>
      <c r="C33" s="15" t="s">
        <v>230</v>
      </c>
      <c r="D33" s="16" t="s">
        <v>226</v>
      </c>
      <c r="E33" s="17"/>
      <c r="F33" s="17"/>
      <c r="G33" s="23" t="n">
        <f aca="false">B33/0.3048</f>
        <v>6.56167979002625</v>
      </c>
      <c r="H33" s="17"/>
      <c r="I33" s="19"/>
    </row>
    <row r="34" customFormat="false" ht="15" hidden="false" customHeight="false" outlineLevel="0" collapsed="false">
      <c r="A34" s="13" t="s">
        <v>1033</v>
      </c>
      <c r="B34" s="29" t="n">
        <f aca="false">$B$33^2</f>
        <v>4</v>
      </c>
      <c r="C34" s="15" t="s">
        <v>644</v>
      </c>
      <c r="D34" s="21"/>
      <c r="E34" s="15" t="n">
        <v>4</v>
      </c>
      <c r="F34" s="22" t="str">
        <f aca="false">IF(ABS(B34-E34)&lt;=H34,"OK","CHECK")</f>
        <v>OK</v>
      </c>
      <c r="G34" s="38" t="n">
        <f aca="false">B34/0.09290304</f>
        <v>43.0556416668389</v>
      </c>
      <c r="H34" s="24" t="n">
        <v>1E-009</v>
      </c>
      <c r="I34" s="19"/>
    </row>
    <row r="35" customFormat="false" ht="15" hidden="false" customHeight="false" outlineLevel="0" collapsed="false">
      <c r="A35" s="13" t="s">
        <v>1463</v>
      </c>
      <c r="B35" s="32" t="n">
        <f aca="false">SUM($B$24:$B$32)</f>
        <v>12.8</v>
      </c>
      <c r="C35" s="15" t="s">
        <v>230</v>
      </c>
      <c r="D35" s="21"/>
      <c r="E35" s="15" t="n">
        <v>12.8</v>
      </c>
      <c r="F35" s="22" t="str">
        <f aca="false">IF(ABS(B35-E35)&lt;=H35,"OK","CHECK")</f>
        <v>OK</v>
      </c>
      <c r="G35" s="23" t="n">
        <f aca="false">B35/0.3048</f>
        <v>41.994750656168</v>
      </c>
      <c r="H35" s="24" t="n">
        <v>1E-006</v>
      </c>
      <c r="I35" s="19"/>
    </row>
    <row r="36" customFormat="false" ht="15" hidden="false" customHeight="false" outlineLevel="0" collapsed="false">
      <c r="A36" s="13" t="s">
        <v>1464</v>
      </c>
      <c r="B36" s="32" t="n">
        <f aca="false">$B$35*$B$34</f>
        <v>51.2</v>
      </c>
      <c r="C36" s="15" t="s">
        <v>1035</v>
      </c>
      <c r="D36" s="21" t="s">
        <v>1465</v>
      </c>
      <c r="E36" s="15" t="n">
        <v>51.2</v>
      </c>
      <c r="F36" s="22" t="str">
        <f aca="false">IF(ABS(B36-E36)&lt;=H36,"OK","CHECK")</f>
        <v>OK</v>
      </c>
      <c r="G36" s="42" t="n">
        <f aca="false">B36/0.0283168</f>
        <v>1808.1139111764</v>
      </c>
      <c r="H36" s="24" t="n">
        <v>1E-006</v>
      </c>
      <c r="I36" s="19"/>
    </row>
    <row r="37" customFormat="false" ht="15" hidden="false" customHeight="false" outlineLevel="0" collapsed="false">
      <c r="A37" s="13" t="s">
        <v>1466</v>
      </c>
      <c r="B37" s="29" t="n">
        <f aca="false">$B$36*1.30795</f>
        <v>66.96704</v>
      </c>
      <c r="C37" s="15" t="s">
        <v>1467</v>
      </c>
      <c r="D37" s="21"/>
      <c r="E37" s="15" t="n">
        <v>67</v>
      </c>
      <c r="F37" s="22" t="str">
        <f aca="false">IF(ABS(B37-E37)&lt;=H37,"OK","CHECK")</f>
        <v>OK</v>
      </c>
      <c r="G37" s="17"/>
      <c r="H37" s="24" t="n">
        <v>0.5</v>
      </c>
      <c r="I37" s="19"/>
    </row>
  </sheetData>
  <mergeCells count="2">
    <mergeCell ref="A7:I7"/>
    <mergeCell ref="A23:I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1468</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1469</v>
      </c>
      <c r="B6" s="11"/>
      <c r="C6" s="11"/>
      <c r="D6" s="11"/>
      <c r="E6" s="11"/>
      <c r="F6" s="11"/>
      <c r="G6" s="11"/>
      <c r="H6" s="11"/>
      <c r="I6" s="11"/>
    </row>
    <row r="7" customFormat="false" ht="15" hidden="false" customHeight="true" outlineLevel="0" collapsed="false">
      <c r="A7" s="12" t="s">
        <v>1470</v>
      </c>
      <c r="B7" s="12"/>
      <c r="C7" s="12"/>
      <c r="D7" s="12"/>
      <c r="E7" s="12"/>
      <c r="F7" s="12"/>
      <c r="G7" s="12"/>
      <c r="H7" s="12"/>
      <c r="I7" s="12"/>
    </row>
    <row r="8" customFormat="false" ht="15" hidden="false" customHeight="false" outlineLevel="0" collapsed="false">
      <c r="A8" s="13" t="s">
        <v>1471</v>
      </c>
      <c r="B8" s="14" t="n">
        <v>40</v>
      </c>
      <c r="C8" s="15"/>
      <c r="D8" s="16" t="s">
        <v>226</v>
      </c>
      <c r="E8" s="17"/>
      <c r="F8" s="17"/>
      <c r="G8" s="17"/>
      <c r="H8" s="17"/>
      <c r="I8" s="19"/>
    </row>
    <row r="9" customFormat="false" ht="15" hidden="false" customHeight="false" outlineLevel="0" collapsed="false">
      <c r="A9" s="13" t="s">
        <v>1472</v>
      </c>
      <c r="B9" s="14" t="n">
        <v>4</v>
      </c>
      <c r="C9" s="15"/>
      <c r="D9" s="16" t="s">
        <v>226</v>
      </c>
      <c r="E9" s="17"/>
      <c r="F9" s="17"/>
      <c r="G9" s="17"/>
      <c r="H9" s="17"/>
      <c r="I9" s="19"/>
    </row>
    <row r="10" customFormat="false" ht="15" hidden="false" customHeight="false" outlineLevel="0" collapsed="false">
      <c r="A10" s="13" t="s">
        <v>1473</v>
      </c>
      <c r="B10" s="14" t="n">
        <v>256</v>
      </c>
      <c r="C10" s="15" t="s">
        <v>1474</v>
      </c>
      <c r="D10" s="16" t="s">
        <v>226</v>
      </c>
      <c r="E10" s="17"/>
      <c r="F10" s="17"/>
      <c r="G10" s="17"/>
      <c r="H10" s="17"/>
      <c r="I10" s="19"/>
    </row>
    <row r="11" customFormat="false" ht="15" hidden="false" customHeight="false" outlineLevel="0" collapsed="false">
      <c r="A11" s="13" t="s">
        <v>1475</v>
      </c>
      <c r="B11" s="29" t="n">
        <f aca="false">$B$8+$B$9</f>
        <v>44</v>
      </c>
      <c r="C11" s="15"/>
      <c r="D11" s="21"/>
      <c r="E11" s="15" t="n">
        <v>44</v>
      </c>
      <c r="F11" s="22" t="str">
        <f aca="false">IF(ABS(B11-E11)&lt;=H11,"OK","CHECK")</f>
        <v>OK</v>
      </c>
      <c r="G11" s="17"/>
      <c r="H11" s="24" t="n">
        <v>1E-009</v>
      </c>
      <c r="I11" s="19"/>
    </row>
    <row r="12" customFormat="false" ht="15" hidden="false" customHeight="false" outlineLevel="0" collapsed="false">
      <c r="A12" s="13" t="s">
        <v>1476</v>
      </c>
      <c r="B12" s="29" t="n">
        <f aca="false">$B$10/4</f>
        <v>64</v>
      </c>
      <c r="C12" s="15"/>
      <c r="D12" s="21" t="s">
        <v>1477</v>
      </c>
      <c r="E12" s="15" t="n">
        <v>64</v>
      </c>
      <c r="F12" s="22" t="str">
        <f aca="false">IF(ABS(B12-E12)&lt;=H12,"OK","CHECK")</f>
        <v>OK</v>
      </c>
      <c r="G12" s="17"/>
      <c r="H12" s="24" t="n">
        <v>1E-009</v>
      </c>
      <c r="I12" s="19"/>
    </row>
    <row r="13" customFormat="false" ht="15" hidden="false" customHeight="false" outlineLevel="0" collapsed="false">
      <c r="A13" s="2"/>
      <c r="B13" s="2"/>
      <c r="C13" s="2"/>
      <c r="D13" s="2"/>
      <c r="E13" s="2"/>
      <c r="F13" s="2"/>
      <c r="G13" s="2"/>
      <c r="H13" s="2"/>
      <c r="I13" s="2"/>
    </row>
    <row r="14" customFormat="false" ht="15" hidden="false" customHeight="false" outlineLevel="0" collapsed="false">
      <c r="A14" s="10" t="s">
        <v>1478</v>
      </c>
      <c r="B14" s="11"/>
      <c r="C14" s="11"/>
      <c r="D14" s="11"/>
      <c r="E14" s="11"/>
      <c r="F14" s="11"/>
      <c r="G14" s="11"/>
      <c r="H14" s="11"/>
      <c r="I14" s="11"/>
    </row>
    <row r="15" customFormat="false" ht="15" hidden="false" customHeight="true" outlineLevel="0" collapsed="false">
      <c r="A15" s="12" t="s">
        <v>1479</v>
      </c>
      <c r="B15" s="12"/>
      <c r="C15" s="12"/>
      <c r="D15" s="12"/>
      <c r="E15" s="12"/>
      <c r="F15" s="12"/>
      <c r="G15" s="12"/>
      <c r="H15" s="12"/>
      <c r="I15" s="12"/>
    </row>
    <row r="16" customFormat="false" ht="15" hidden="false" customHeight="false" outlineLevel="0" collapsed="false">
      <c r="A16" s="13" t="s">
        <v>1480</v>
      </c>
      <c r="B16" s="14" t="n">
        <v>650000</v>
      </c>
      <c r="C16" s="15" t="s">
        <v>1093</v>
      </c>
      <c r="D16" s="16" t="s">
        <v>226</v>
      </c>
      <c r="E16" s="17"/>
      <c r="F16" s="17"/>
      <c r="G16" s="17"/>
      <c r="H16" s="17"/>
      <c r="I16" s="19"/>
    </row>
    <row r="17" customFormat="false" ht="15" hidden="false" customHeight="false" outlineLevel="0" collapsed="false">
      <c r="A17" s="13" t="s">
        <v>1481</v>
      </c>
      <c r="B17" s="47" t="n">
        <f aca="false">1200/3937</f>
        <v>0.304800609601219</v>
      </c>
      <c r="C17" s="15" t="s">
        <v>230</v>
      </c>
      <c r="D17" s="21" t="s">
        <v>1482</v>
      </c>
      <c r="E17" s="15" t="n">
        <v>0.3048006096</v>
      </c>
      <c r="F17" s="22" t="str">
        <f aca="false">IF(ABS(B17-E17)&lt;=H17,"OK","CHECK")</f>
        <v>OK</v>
      </c>
      <c r="G17" s="23" t="n">
        <f aca="false">B17/0.3048</f>
        <v>1.000002000004</v>
      </c>
      <c r="H17" s="24" t="n">
        <v>1E-010</v>
      </c>
      <c r="I17" s="19"/>
    </row>
    <row r="18" customFormat="false" ht="15" hidden="false" customHeight="false" outlineLevel="0" collapsed="false">
      <c r="A18" s="13" t="s">
        <v>1483</v>
      </c>
      <c r="B18" s="48" t="n">
        <f aca="false">$B$16*$B$17</f>
        <v>198120.396240792</v>
      </c>
      <c r="C18" s="15" t="s">
        <v>230</v>
      </c>
      <c r="D18" s="21"/>
      <c r="E18" s="15" t="n">
        <v>198120.396</v>
      </c>
      <c r="F18" s="22" t="str">
        <f aca="false">IF(ABS(B18-E18)&lt;=H18,"OK","CHECK")</f>
        <v>OK</v>
      </c>
      <c r="G18" s="23" t="n">
        <f aca="false">B18/0.3048</f>
        <v>650001.3000026</v>
      </c>
      <c r="H18" s="24" t="n">
        <v>0.0005</v>
      </c>
      <c r="I18" s="19"/>
    </row>
    <row r="19" customFormat="false" ht="15" hidden="false" customHeight="false" outlineLevel="0" collapsed="false">
      <c r="A19" s="13" t="s">
        <v>1484</v>
      </c>
      <c r="B19" s="48" t="n">
        <f aca="false">$B$16*0.3048</f>
        <v>198120</v>
      </c>
      <c r="C19" s="15" t="s">
        <v>230</v>
      </c>
      <c r="D19" s="21"/>
      <c r="E19" s="15" t="n">
        <v>198120</v>
      </c>
      <c r="F19" s="22" t="str">
        <f aca="false">IF(ABS(B19-E19)&lt;=H19,"OK","CHECK")</f>
        <v>OK</v>
      </c>
      <c r="G19" s="23" t="n">
        <f aca="false">B19/0.3048</f>
        <v>650000</v>
      </c>
      <c r="H19" s="24" t="n">
        <v>0.0005</v>
      </c>
      <c r="I19" s="19"/>
    </row>
    <row r="20" customFormat="false" ht="15" hidden="false" customHeight="false" outlineLevel="0" collapsed="false">
      <c r="A20" s="13" t="s">
        <v>1485</v>
      </c>
      <c r="B20" s="20" t="n">
        <f aca="false">$B$18-$B$19</f>
        <v>0.396240792470053</v>
      </c>
      <c r="C20" s="15" t="s">
        <v>230</v>
      </c>
      <c r="D20" s="21"/>
      <c r="E20" s="15" t="n">
        <v>0.396</v>
      </c>
      <c r="F20" s="22" t="str">
        <f aca="false">IF(ABS(B20-E20)&lt;=H20,"OK","CHECK")</f>
        <v>OK</v>
      </c>
      <c r="G20" s="23" t="n">
        <f aca="false">B20/0.3048</f>
        <v>1.30000259996736</v>
      </c>
      <c r="H20" s="24" t="n">
        <v>0.0005</v>
      </c>
      <c r="I20" s="19"/>
    </row>
    <row r="21" customFormat="false" ht="15" hidden="false" customHeight="false" outlineLevel="0" collapsed="false">
      <c r="A21" s="13" t="s">
        <v>1486</v>
      </c>
      <c r="B21" s="28" t="n">
        <f aca="false">$B$20/0.3048</f>
        <v>1.30000259996736</v>
      </c>
      <c r="C21" s="15" t="s">
        <v>1093</v>
      </c>
      <c r="D21" s="21"/>
      <c r="E21" s="15" t="n">
        <v>1.3</v>
      </c>
      <c r="F21" s="22" t="str">
        <f aca="false">IF(ABS(B21-E21)&lt;=H21,"OK","CHECK")</f>
        <v>OK</v>
      </c>
      <c r="G21" s="17"/>
      <c r="H21" s="24" t="n">
        <v>0.005</v>
      </c>
      <c r="I21" s="19"/>
    </row>
  </sheetData>
  <mergeCells count="2">
    <mergeCell ref="A7:I7"/>
    <mergeCell ref="A15:I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1487</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1488</v>
      </c>
      <c r="B6" s="11"/>
      <c r="C6" s="11"/>
      <c r="D6" s="11"/>
      <c r="E6" s="11"/>
      <c r="F6" s="11"/>
      <c r="G6" s="11"/>
      <c r="H6" s="11"/>
      <c r="I6" s="11"/>
    </row>
    <row r="7" customFormat="false" ht="15" hidden="false" customHeight="true" outlineLevel="0" collapsed="false">
      <c r="A7" s="12" t="s">
        <v>1489</v>
      </c>
      <c r="B7" s="12"/>
      <c r="C7" s="12"/>
      <c r="D7" s="12"/>
      <c r="E7" s="12"/>
      <c r="F7" s="12"/>
      <c r="G7" s="12"/>
      <c r="H7" s="12"/>
      <c r="I7" s="12"/>
    </row>
    <row r="8" customFormat="false" ht="15" hidden="false" customHeight="false" outlineLevel="0" collapsed="false">
      <c r="A8" s="13" t="s">
        <v>1490</v>
      </c>
      <c r="B8" s="14" t="n">
        <v>4.3</v>
      </c>
      <c r="C8" s="15" t="s">
        <v>1491</v>
      </c>
      <c r="D8" s="16" t="s">
        <v>226</v>
      </c>
      <c r="E8" s="17"/>
      <c r="F8" s="17"/>
      <c r="G8" s="17"/>
      <c r="H8" s="17"/>
      <c r="I8" s="19"/>
    </row>
    <row r="9" customFormat="false" ht="15" hidden="false" customHeight="false" outlineLevel="0" collapsed="false">
      <c r="A9" s="13" t="s">
        <v>1492</v>
      </c>
      <c r="B9" s="14" t="n">
        <v>6.8</v>
      </c>
      <c r="C9" s="15" t="s">
        <v>1491</v>
      </c>
      <c r="D9" s="16" t="s">
        <v>226</v>
      </c>
      <c r="E9" s="17"/>
      <c r="F9" s="17"/>
      <c r="G9" s="17"/>
      <c r="H9" s="17"/>
      <c r="I9" s="19"/>
    </row>
    <row r="10" customFormat="false" ht="15" hidden="false" customHeight="false" outlineLevel="0" collapsed="false">
      <c r="A10" s="13" t="s">
        <v>1493</v>
      </c>
      <c r="B10" s="14" t="n">
        <v>55</v>
      </c>
      <c r="C10" s="15" t="s">
        <v>1494</v>
      </c>
      <c r="D10" s="16" t="s">
        <v>226</v>
      </c>
      <c r="E10" s="17"/>
      <c r="F10" s="17"/>
      <c r="G10" s="17"/>
      <c r="H10" s="17"/>
      <c r="I10" s="19"/>
    </row>
    <row r="11" customFormat="false" ht="15" hidden="false" customHeight="false" outlineLevel="0" collapsed="false">
      <c r="A11" s="13" t="s">
        <v>1495</v>
      </c>
      <c r="B11" s="14" t="n">
        <v>500</v>
      </c>
      <c r="C11" s="15" t="s">
        <v>1093</v>
      </c>
      <c r="D11" s="16" t="s">
        <v>226</v>
      </c>
      <c r="E11" s="17"/>
      <c r="F11" s="17"/>
      <c r="G11" s="17"/>
      <c r="H11" s="17"/>
      <c r="I11" s="19"/>
    </row>
    <row r="12" customFormat="false" ht="15" hidden="false" customHeight="false" outlineLevel="0" collapsed="false">
      <c r="A12" s="13" t="s">
        <v>1496</v>
      </c>
      <c r="B12" s="14" t="n">
        <v>400</v>
      </c>
      <c r="C12" s="15" t="s">
        <v>1093</v>
      </c>
      <c r="D12" s="16" t="s">
        <v>226</v>
      </c>
      <c r="E12" s="17"/>
      <c r="F12" s="17"/>
      <c r="G12" s="17"/>
      <c r="H12" s="17"/>
      <c r="I12" s="19"/>
    </row>
    <row r="13" customFormat="false" ht="15" hidden="false" customHeight="false" outlineLevel="0" collapsed="false">
      <c r="A13" s="13" t="s">
        <v>1416</v>
      </c>
      <c r="B13" s="14" t="n">
        <v>37.5</v>
      </c>
      <c r="C13" s="15" t="s">
        <v>238</v>
      </c>
      <c r="D13" s="16" t="s">
        <v>226</v>
      </c>
      <c r="E13" s="17"/>
      <c r="F13" s="17"/>
      <c r="G13" s="17"/>
      <c r="H13" s="17"/>
      <c r="I13" s="19"/>
    </row>
    <row r="14" customFormat="false" ht="15" hidden="false" customHeight="false" outlineLevel="0" collapsed="false">
      <c r="A14" s="13" t="s">
        <v>1417</v>
      </c>
      <c r="B14" s="14" t="n">
        <v>2000000</v>
      </c>
      <c r="C14" s="15" t="s">
        <v>424</v>
      </c>
      <c r="D14" s="16" t="s">
        <v>226</v>
      </c>
      <c r="E14" s="17"/>
      <c r="F14" s="17"/>
      <c r="G14" s="17"/>
      <c r="H14" s="17"/>
      <c r="I14" s="19"/>
    </row>
    <row r="15" customFormat="false" ht="15" hidden="false" customHeight="false" outlineLevel="0" collapsed="false">
      <c r="A15" s="13" t="s">
        <v>1420</v>
      </c>
      <c r="B15" s="14" t="n">
        <v>10</v>
      </c>
      <c r="C15" s="15" t="s">
        <v>225</v>
      </c>
      <c r="D15" s="16" t="s">
        <v>226</v>
      </c>
      <c r="E15" s="17"/>
      <c r="F15" s="17"/>
      <c r="G15" s="18" t="n">
        <f aca="false">B15/0.3048</f>
        <v>32.8083989501312</v>
      </c>
      <c r="H15" s="17"/>
      <c r="I15" s="19"/>
    </row>
    <row r="16" customFormat="false" ht="15" hidden="false" customHeight="false" outlineLevel="0" collapsed="false">
      <c r="A16" s="13" t="s">
        <v>1497</v>
      </c>
      <c r="B16" s="32" t="n">
        <f aca="false">$B$8*2.20462</f>
        <v>9.479866</v>
      </c>
      <c r="C16" s="15" t="s">
        <v>1494</v>
      </c>
      <c r="D16" s="21"/>
      <c r="E16" s="15" t="n">
        <v>9.5</v>
      </c>
      <c r="F16" s="22" t="str">
        <f aca="false">IF(ABS(B16-E16)&lt;=H16,"OK","CHECK")</f>
        <v>OK</v>
      </c>
      <c r="G16" s="17"/>
      <c r="H16" s="24" t="n">
        <v>0.05</v>
      </c>
      <c r="I16" s="19"/>
    </row>
    <row r="17" customFormat="false" ht="15" hidden="false" customHeight="false" outlineLevel="0" collapsed="false">
      <c r="A17" s="13" t="s">
        <v>1498</v>
      </c>
      <c r="B17" s="32" t="n">
        <f aca="false">$B$9*2.20462</f>
        <v>14.991416</v>
      </c>
      <c r="C17" s="15" t="s">
        <v>1494</v>
      </c>
      <c r="D17" s="21"/>
      <c r="E17" s="15" t="n">
        <v>15</v>
      </c>
      <c r="F17" s="22" t="str">
        <f aca="false">IF(ABS(B17-E17)&lt;=H17,"OK","CHECK")</f>
        <v>OK</v>
      </c>
      <c r="G17" s="17"/>
      <c r="H17" s="24" t="n">
        <v>0.05</v>
      </c>
      <c r="I17" s="19"/>
    </row>
    <row r="18" customFormat="false" ht="15" hidden="false" customHeight="false" outlineLevel="0" collapsed="false">
      <c r="A18" s="13" t="s">
        <v>1499</v>
      </c>
      <c r="B18" s="29" t="n">
        <f aca="false">IF($B$11&gt;$B$12,1,0)</f>
        <v>1</v>
      </c>
      <c r="C18" s="15"/>
      <c r="D18" s="21"/>
      <c r="E18" s="15" t="n">
        <v>1</v>
      </c>
      <c r="F18" s="22" t="str">
        <f aca="false">IF(ABS(B18-E18)&lt;=H18,"OK","CHECK")</f>
        <v>OK</v>
      </c>
      <c r="G18" s="17"/>
      <c r="H18" s="24" t="n">
        <v>1E-009</v>
      </c>
      <c r="I18" s="19"/>
    </row>
    <row r="19" customFormat="false" ht="15" hidden="false" customHeight="false" outlineLevel="0" collapsed="false">
      <c r="A19" s="13" t="s">
        <v>1500</v>
      </c>
      <c r="B19" s="32" t="n">
        <f aca="false">$B$12*0.3048</f>
        <v>121.92</v>
      </c>
      <c r="C19" s="15" t="s">
        <v>230</v>
      </c>
      <c r="D19" s="21"/>
      <c r="E19" s="15" t="n">
        <v>121.9</v>
      </c>
      <c r="F19" s="22" t="str">
        <f aca="false">IF(ABS(B19-E19)&lt;=H19,"OK","CHECK")</f>
        <v>OK</v>
      </c>
      <c r="G19" s="23" t="n">
        <f aca="false">B19/0.3048</f>
        <v>400</v>
      </c>
      <c r="H19" s="24" t="n">
        <v>0.05</v>
      </c>
      <c r="I19" s="19"/>
    </row>
    <row r="20" customFormat="false" ht="15" hidden="false" customHeight="false" outlineLevel="0" collapsed="false">
      <c r="A20" s="13" t="s">
        <v>1501</v>
      </c>
      <c r="B20" s="49" t="n">
        <f aca="false">1-$B$12/$B$11</f>
        <v>0.2</v>
      </c>
      <c r="C20" s="15"/>
      <c r="D20" s="21"/>
      <c r="E20" s="15" t="n">
        <v>0.2</v>
      </c>
      <c r="F20" s="22" t="str">
        <f aca="false">IF(ABS(B20-E20)&lt;=H20,"OK","CHECK")</f>
        <v>OK</v>
      </c>
      <c r="G20" s="17"/>
      <c r="H20" s="24" t="n">
        <v>1E-006</v>
      </c>
      <c r="I20" s="19"/>
    </row>
    <row r="21" customFormat="false" ht="15" hidden="false" customHeight="false" outlineLevel="0" collapsed="false">
      <c r="A21" s="13" t="s">
        <v>1421</v>
      </c>
      <c r="B21" s="29" t="n">
        <f aca="false">2*$B$19*TAN(RADIANS($B$13))</f>
        <v>187.10501274879</v>
      </c>
      <c r="C21" s="15" t="s">
        <v>230</v>
      </c>
      <c r="D21" s="21"/>
      <c r="E21" s="15" t="n">
        <v>187</v>
      </c>
      <c r="F21" s="22" t="str">
        <f aca="false">IF(ABS(B21-E21)&lt;=H21,"OK","CHECK")</f>
        <v>OK</v>
      </c>
      <c r="G21" s="23" t="n">
        <f aca="false">B21/0.3048</f>
        <v>613.861590383168</v>
      </c>
      <c r="H21" s="24" t="n">
        <v>0.5</v>
      </c>
      <c r="I21" s="19"/>
    </row>
    <row r="22" customFormat="false" ht="15" hidden="false" customHeight="false" outlineLevel="0" collapsed="false">
      <c r="A22" s="13" t="s">
        <v>1502</v>
      </c>
      <c r="B22" s="30" t="n">
        <f aca="false">$B$14/($B$21*$B$15)</f>
        <v>1068.91844885269</v>
      </c>
      <c r="C22" s="15" t="s">
        <v>1425</v>
      </c>
      <c r="D22" s="21"/>
      <c r="E22" s="15" t="n">
        <v>1070</v>
      </c>
      <c r="F22" s="22" t="str">
        <f aca="false">IF(ABS(B22-E22)&lt;=H22,"OK","CHECK")</f>
        <v>OK</v>
      </c>
      <c r="G22" s="46" t="n">
        <f aca="false">B22*0.09290304</f>
        <v>99.3057734104999</v>
      </c>
      <c r="H22" s="24" t="n">
        <v>3</v>
      </c>
      <c r="I22" s="19"/>
    </row>
  </sheetData>
  <mergeCells count="1">
    <mergeCell ref="A7:I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3"/>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40"/>
  </cols>
  <sheetData>
    <row r="1" customFormat="false" ht="17.35" hidden="false" customHeight="false" outlineLevel="0" collapsed="false">
      <c r="A1" s="8" t="s">
        <v>1503</v>
      </c>
      <c r="B1" s="2"/>
      <c r="C1" s="2"/>
      <c r="D1" s="2"/>
      <c r="E1" s="2"/>
      <c r="F1" s="2"/>
      <c r="G1" s="2"/>
      <c r="H1" s="2"/>
      <c r="I1" s="2"/>
    </row>
    <row r="2" customFormat="false" ht="15" hidden="false" customHeight="false" outlineLevel="0" collapsed="false">
      <c r="A2" s="3" t="s">
        <v>212</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26.85" hidden="false" customHeight="false" outlineLevel="0" collapsed="false">
      <c r="A4" s="9" t="s">
        <v>213</v>
      </c>
      <c r="B4" s="9" t="s">
        <v>214</v>
      </c>
      <c r="C4" s="9" t="s">
        <v>215</v>
      </c>
      <c r="D4" s="9" t="s">
        <v>216</v>
      </c>
      <c r="E4" s="9" t="s">
        <v>217</v>
      </c>
      <c r="F4" s="9" t="s">
        <v>218</v>
      </c>
      <c r="G4" s="9" t="s">
        <v>219</v>
      </c>
      <c r="H4" s="9" t="s">
        <v>220</v>
      </c>
      <c r="I4" s="9" t="s">
        <v>221</v>
      </c>
    </row>
    <row r="5" customFormat="false" ht="15" hidden="false" customHeight="false" outlineLevel="0" collapsed="false">
      <c r="A5" s="2"/>
      <c r="B5" s="2"/>
      <c r="C5" s="2"/>
      <c r="D5" s="2"/>
      <c r="E5" s="2"/>
      <c r="F5" s="2"/>
      <c r="G5" s="2"/>
      <c r="H5" s="2"/>
      <c r="I5" s="2"/>
    </row>
    <row r="6" customFormat="false" ht="15" hidden="false" customHeight="false" outlineLevel="0" collapsed="false">
      <c r="A6" s="10" t="s">
        <v>1504</v>
      </c>
      <c r="B6" s="11"/>
      <c r="C6" s="11"/>
      <c r="D6" s="11"/>
      <c r="E6" s="11"/>
      <c r="F6" s="11"/>
      <c r="G6" s="11"/>
      <c r="H6" s="11"/>
      <c r="I6" s="11"/>
    </row>
    <row r="7" customFormat="false" ht="15" hidden="false" customHeight="true" outlineLevel="0" collapsed="false">
      <c r="A7" s="12" t="s">
        <v>1505</v>
      </c>
      <c r="B7" s="12"/>
      <c r="C7" s="12"/>
      <c r="D7" s="12"/>
      <c r="E7" s="12"/>
      <c r="F7" s="12"/>
      <c r="G7" s="12"/>
      <c r="H7" s="12"/>
      <c r="I7" s="12"/>
    </row>
    <row r="8" customFormat="false" ht="15" hidden="false" customHeight="false" outlineLevel="0" collapsed="false">
      <c r="A8" s="13" t="s">
        <v>1222</v>
      </c>
      <c r="B8" s="14" t="n">
        <v>0.25</v>
      </c>
      <c r="C8" s="15" t="s">
        <v>230</v>
      </c>
      <c r="D8" s="16" t="s">
        <v>226</v>
      </c>
      <c r="E8" s="17"/>
      <c r="F8" s="17"/>
      <c r="G8" s="23" t="n">
        <f aca="false">B8/0.3048</f>
        <v>0.820209973753281</v>
      </c>
      <c r="H8" s="17"/>
      <c r="I8" s="19"/>
    </row>
    <row r="9" customFormat="false" ht="15" hidden="false" customHeight="false" outlineLevel="0" collapsed="false">
      <c r="A9" s="13" t="s">
        <v>413</v>
      </c>
      <c r="B9" s="14" t="n">
        <v>20</v>
      </c>
      <c r="C9" s="15" t="s">
        <v>334</v>
      </c>
      <c r="D9" s="16" t="s">
        <v>226</v>
      </c>
      <c r="E9" s="17"/>
      <c r="F9" s="17"/>
      <c r="G9" s="17"/>
      <c r="H9" s="17"/>
      <c r="I9" s="19"/>
    </row>
    <row r="10" customFormat="false" ht="15" hidden="false" customHeight="false" outlineLevel="0" collapsed="false">
      <c r="A10" s="13" t="s">
        <v>1506</v>
      </c>
      <c r="B10" s="14" t="n">
        <v>4</v>
      </c>
      <c r="C10" s="15"/>
      <c r="D10" s="16" t="s">
        <v>226</v>
      </c>
      <c r="E10" s="17"/>
      <c r="F10" s="17"/>
      <c r="G10" s="17"/>
      <c r="H10" s="17"/>
      <c r="I10" s="19"/>
    </row>
    <row r="11" customFormat="false" ht="15" hidden="false" customHeight="false" outlineLevel="0" collapsed="false">
      <c r="A11" s="13" t="s">
        <v>1507</v>
      </c>
      <c r="B11" s="14" t="n">
        <v>13</v>
      </c>
      <c r="C11" s="15" t="s">
        <v>225</v>
      </c>
      <c r="D11" s="16" t="s">
        <v>226</v>
      </c>
      <c r="E11" s="17"/>
      <c r="F11" s="17"/>
      <c r="G11" s="18" t="n">
        <f aca="false">B11/0.3048</f>
        <v>42.6509186351706</v>
      </c>
      <c r="H11" s="17"/>
      <c r="I11" s="19"/>
    </row>
    <row r="12" customFormat="false" ht="15" hidden="false" customHeight="false" outlineLevel="0" collapsed="false">
      <c r="A12" s="13" t="s">
        <v>1508</v>
      </c>
      <c r="B12" s="32" t="n">
        <f aca="false">$B$8*$B$9*$B$10</f>
        <v>20</v>
      </c>
      <c r="C12" s="15" t="s">
        <v>225</v>
      </c>
      <c r="D12" s="21" t="s">
        <v>1509</v>
      </c>
      <c r="E12" s="15" t="n">
        <v>20</v>
      </c>
      <c r="F12" s="22" t="str">
        <f aca="false">IF(ABS(B12-E12)&lt;=H12,"OK","CHECK")</f>
        <v>OK</v>
      </c>
      <c r="G12" s="18" t="n">
        <f aca="false">B12/0.3048</f>
        <v>65.6167979002625</v>
      </c>
      <c r="H12" s="24" t="n">
        <v>1E-009</v>
      </c>
      <c r="I12" s="19"/>
    </row>
    <row r="13" customFormat="false" ht="15" hidden="false" customHeight="false" outlineLevel="0" collapsed="false">
      <c r="A13" s="13" t="s">
        <v>1510</v>
      </c>
      <c r="B13" s="20" t="n">
        <f aca="false">$B$11/($B$9*$B$10)</f>
        <v>0.1625</v>
      </c>
      <c r="C13" s="15" t="s">
        <v>230</v>
      </c>
      <c r="D13" s="21"/>
      <c r="E13" s="15" t="n">
        <v>0.16</v>
      </c>
      <c r="F13" s="22" t="str">
        <f aca="false">IF(ABS(B13-E13)&lt;=H13,"OK","CHECK")</f>
        <v>OK</v>
      </c>
      <c r="G13" s="23" t="n">
        <f aca="false">B13/0.3048</f>
        <v>0.533136482939633</v>
      </c>
      <c r="H13" s="24" t="n">
        <v>0.005</v>
      </c>
      <c r="I13" s="19"/>
    </row>
    <row r="14" customFormat="false" ht="15" hidden="false" customHeight="false" outlineLevel="0" collapsed="false">
      <c r="A14" s="13" t="s">
        <v>1511</v>
      </c>
      <c r="B14" s="32" t="n">
        <f aca="false">$B$11*2.23694</f>
        <v>29.08022</v>
      </c>
      <c r="C14" s="15" t="s">
        <v>1512</v>
      </c>
      <c r="D14" s="21"/>
      <c r="E14" s="15" t="n">
        <v>30</v>
      </c>
      <c r="F14" s="22" t="str">
        <f aca="false">IF(ABS(B14-E14)&lt;=H14,"OK","CHECK")</f>
        <v>OK</v>
      </c>
      <c r="G14" s="17"/>
      <c r="H14" s="24" t="n">
        <v>1</v>
      </c>
      <c r="I14" s="19"/>
    </row>
    <row r="15" customFormat="false" ht="15" hidden="false" customHeight="false" outlineLevel="0" collapsed="false">
      <c r="A15" s="2"/>
      <c r="B15" s="2"/>
      <c r="C15" s="2"/>
      <c r="D15" s="2"/>
      <c r="E15" s="2"/>
      <c r="F15" s="2"/>
      <c r="G15" s="2"/>
      <c r="H15" s="2"/>
      <c r="I15" s="2"/>
    </row>
    <row r="16" customFormat="false" ht="15" hidden="false" customHeight="false" outlineLevel="0" collapsed="false">
      <c r="A16" s="10" t="s">
        <v>1513</v>
      </c>
      <c r="B16" s="11"/>
      <c r="C16" s="11"/>
      <c r="D16" s="11"/>
      <c r="E16" s="11"/>
      <c r="F16" s="11"/>
      <c r="G16" s="11"/>
      <c r="H16" s="11"/>
      <c r="I16" s="11"/>
    </row>
    <row r="17" customFormat="false" ht="15" hidden="false" customHeight="true" outlineLevel="0" collapsed="false">
      <c r="A17" s="12" t="s">
        <v>1514</v>
      </c>
      <c r="B17" s="12"/>
      <c r="C17" s="12"/>
      <c r="D17" s="12"/>
      <c r="E17" s="12"/>
      <c r="F17" s="12"/>
      <c r="G17" s="12"/>
      <c r="H17" s="12"/>
      <c r="I17" s="12"/>
    </row>
    <row r="18" customFormat="false" ht="15" hidden="false" customHeight="false" outlineLevel="0" collapsed="false">
      <c r="A18" s="13" t="s">
        <v>1515</v>
      </c>
      <c r="B18" s="14" t="n">
        <v>300</v>
      </c>
      <c r="C18" s="15" t="s">
        <v>230</v>
      </c>
      <c r="D18" s="16" t="s">
        <v>226</v>
      </c>
      <c r="E18" s="17"/>
      <c r="F18" s="17"/>
      <c r="G18" s="23" t="n">
        <f aca="false">B18/0.3048</f>
        <v>984.251968503937</v>
      </c>
      <c r="H18" s="17"/>
      <c r="I18" s="19"/>
    </row>
    <row r="19" customFormat="false" ht="15" hidden="false" customHeight="false" outlineLevel="0" collapsed="false">
      <c r="A19" s="13" t="s">
        <v>414</v>
      </c>
      <c r="B19" s="14" t="n">
        <v>13</v>
      </c>
      <c r="C19" s="15" t="s">
        <v>225</v>
      </c>
      <c r="D19" s="16" t="s">
        <v>226</v>
      </c>
      <c r="E19" s="17"/>
      <c r="F19" s="17"/>
      <c r="G19" s="18" t="n">
        <f aca="false">B19/0.3048</f>
        <v>42.6509186351706</v>
      </c>
      <c r="H19" s="17"/>
      <c r="I19" s="19"/>
    </row>
    <row r="20" customFormat="false" ht="15" hidden="false" customHeight="false" outlineLevel="0" collapsed="false">
      <c r="A20" s="13" t="s">
        <v>496</v>
      </c>
      <c r="B20" s="14" t="n">
        <v>0.0049</v>
      </c>
      <c r="C20" s="15" t="s">
        <v>480</v>
      </c>
      <c r="D20" s="16" t="s">
        <v>226</v>
      </c>
      <c r="E20" s="17"/>
      <c r="F20" s="17"/>
      <c r="G20" s="17"/>
      <c r="H20" s="17"/>
      <c r="I20" s="19"/>
    </row>
    <row r="21" customFormat="false" ht="15" hidden="false" customHeight="false" outlineLevel="0" collapsed="false">
      <c r="A21" s="13" t="s">
        <v>494</v>
      </c>
      <c r="B21" s="14" t="n">
        <v>1</v>
      </c>
      <c r="C21" s="15" t="s">
        <v>1329</v>
      </c>
      <c r="D21" s="16" t="s">
        <v>226</v>
      </c>
      <c r="E21" s="17"/>
      <c r="F21" s="17"/>
      <c r="G21" s="17"/>
      <c r="H21" s="17"/>
      <c r="I21" s="19"/>
    </row>
    <row r="22" customFormat="false" ht="15" hidden="false" customHeight="false" outlineLevel="0" collapsed="false">
      <c r="A22" s="13" t="s">
        <v>1516</v>
      </c>
      <c r="B22" s="32" t="n">
        <f aca="false">$B$18/$B$19</f>
        <v>23.0769230769231</v>
      </c>
      <c r="C22" s="15" t="s">
        <v>228</v>
      </c>
      <c r="D22" s="21"/>
      <c r="E22" s="15" t="n">
        <v>23.1</v>
      </c>
      <c r="F22" s="22" t="str">
        <f aca="false">IF(ABS(B22-E22)&lt;=H22,"OK","CHECK")</f>
        <v>OK</v>
      </c>
      <c r="G22" s="17"/>
      <c r="H22" s="24" t="n">
        <v>0.05</v>
      </c>
      <c r="I22" s="19"/>
    </row>
    <row r="23" customFormat="false" ht="26.85" hidden="false" customHeight="false" outlineLevel="0" collapsed="false">
      <c r="A23" s="13" t="s">
        <v>1517</v>
      </c>
      <c r="B23" s="28" t="n">
        <f aca="false">0.5*$B$20*$B$22^2</f>
        <v>1.30473372781065</v>
      </c>
      <c r="C23" s="15" t="s">
        <v>230</v>
      </c>
      <c r="D23" s="21" t="s">
        <v>1518</v>
      </c>
      <c r="E23" s="15" t="n">
        <v>1.31</v>
      </c>
      <c r="F23" s="22" t="str">
        <f aca="false">IF(ABS(B23-E23)&lt;=H23,"OK","CHECK")</f>
        <v>OK</v>
      </c>
      <c r="G23" s="23" t="n">
        <f aca="false">B23/0.3048</f>
        <v>4.28062246657038</v>
      </c>
      <c r="H23" s="24" t="n">
        <v>0.006</v>
      </c>
      <c r="I23" s="16" t="s">
        <v>1519</v>
      </c>
    </row>
    <row r="24" customFormat="false" ht="15" hidden="false" customHeight="false" outlineLevel="0" collapsed="false">
      <c r="A24" s="13" t="s">
        <v>1520</v>
      </c>
      <c r="B24" s="20" t="n">
        <f aca="false">0.5*$B$19*RADIANS($B$21/3600)*$B$22^2</f>
        <v>0.016782012038407</v>
      </c>
      <c r="C24" s="15" t="s">
        <v>230</v>
      </c>
      <c r="D24" s="21" t="s">
        <v>1521</v>
      </c>
      <c r="E24" s="15" t="n">
        <v>0.017</v>
      </c>
      <c r="F24" s="22" t="str">
        <f aca="false">IF(ABS(B24-E24)&lt;=H24,"OK","CHECK")</f>
        <v>OK</v>
      </c>
      <c r="G24" s="23" t="n">
        <f aca="false">B24/0.3048</f>
        <v>0.0550590946141962</v>
      </c>
      <c r="H24" s="24" t="n">
        <v>0.0005</v>
      </c>
      <c r="I24" s="19"/>
    </row>
    <row r="25" customFormat="false" ht="15" hidden="false" customHeight="false" outlineLevel="0" collapsed="false">
      <c r="A25" s="2"/>
      <c r="B25" s="2"/>
      <c r="C25" s="2"/>
      <c r="D25" s="2"/>
      <c r="E25" s="2"/>
      <c r="F25" s="2"/>
      <c r="G25" s="2"/>
      <c r="H25" s="2"/>
      <c r="I25" s="2"/>
    </row>
    <row r="26" customFormat="false" ht="15" hidden="false" customHeight="false" outlineLevel="0" collapsed="false">
      <c r="A26" s="10" t="s">
        <v>1522</v>
      </c>
      <c r="B26" s="11"/>
      <c r="C26" s="11"/>
      <c r="D26" s="11"/>
      <c r="E26" s="11"/>
      <c r="F26" s="11"/>
      <c r="G26" s="11"/>
      <c r="H26" s="11"/>
      <c r="I26" s="11"/>
    </row>
    <row r="27" customFormat="false" ht="15" hidden="false" customHeight="true" outlineLevel="0" collapsed="false">
      <c r="A27" s="12" t="s">
        <v>1523</v>
      </c>
      <c r="B27" s="12"/>
      <c r="C27" s="12"/>
      <c r="D27" s="12"/>
      <c r="E27" s="12"/>
      <c r="F27" s="12"/>
      <c r="G27" s="12"/>
      <c r="H27" s="12"/>
      <c r="I27" s="12"/>
    </row>
    <row r="28" customFormat="false" ht="15" hidden="false" customHeight="false" outlineLevel="0" collapsed="false">
      <c r="A28" s="13" t="s">
        <v>1045</v>
      </c>
      <c r="B28" s="14" t="n">
        <v>0.0001</v>
      </c>
      <c r="C28" s="15" t="s">
        <v>228</v>
      </c>
      <c r="D28" s="16" t="s">
        <v>226</v>
      </c>
      <c r="E28" s="17"/>
      <c r="F28" s="17"/>
      <c r="G28" s="17"/>
      <c r="H28" s="17"/>
      <c r="I28" s="19"/>
    </row>
    <row r="29" customFormat="false" ht="15" hidden="false" customHeight="false" outlineLevel="0" collapsed="false">
      <c r="A29" s="13" t="s">
        <v>414</v>
      </c>
      <c r="B29" s="14" t="n">
        <v>13</v>
      </c>
      <c r="C29" s="15" t="s">
        <v>225</v>
      </c>
      <c r="D29" s="16" t="s">
        <v>226</v>
      </c>
      <c r="E29" s="17"/>
      <c r="F29" s="17"/>
      <c r="G29" s="18" t="n">
        <f aca="false">B29/0.3048</f>
        <v>42.6509186351706</v>
      </c>
      <c r="H29" s="17"/>
      <c r="I29" s="19"/>
    </row>
    <row r="30" customFormat="false" ht="15" hidden="false" customHeight="false" outlineLevel="0" collapsed="false">
      <c r="A30" s="13" t="s">
        <v>561</v>
      </c>
      <c r="B30" s="14" t="n">
        <v>0.02</v>
      </c>
      <c r="C30" s="15" t="s">
        <v>238</v>
      </c>
      <c r="D30" s="16" t="s">
        <v>226</v>
      </c>
      <c r="E30" s="17"/>
      <c r="F30" s="17"/>
      <c r="G30" s="17"/>
      <c r="H30" s="17"/>
      <c r="I30" s="19"/>
    </row>
    <row r="31" customFormat="false" ht="15" hidden="false" customHeight="false" outlineLevel="0" collapsed="false">
      <c r="A31" s="13" t="s">
        <v>1524</v>
      </c>
      <c r="B31" s="14" t="n">
        <v>30</v>
      </c>
      <c r="C31" s="15" t="s">
        <v>230</v>
      </c>
      <c r="D31" s="16" t="s">
        <v>226</v>
      </c>
      <c r="E31" s="17"/>
      <c r="F31" s="17"/>
      <c r="G31" s="23" t="n">
        <f aca="false">B31/0.3048</f>
        <v>98.4251968503937</v>
      </c>
      <c r="H31" s="17"/>
      <c r="I31" s="19"/>
    </row>
    <row r="32" customFormat="false" ht="15" hidden="false" customHeight="false" outlineLevel="0" collapsed="false">
      <c r="A32" s="13" t="s">
        <v>874</v>
      </c>
      <c r="B32" s="32" t="n">
        <f aca="false">$B$29*$B$28*1000</f>
        <v>1.3</v>
      </c>
      <c r="C32" s="15" t="s">
        <v>946</v>
      </c>
      <c r="D32" s="21"/>
      <c r="E32" s="15" t="n">
        <v>1.3</v>
      </c>
      <c r="F32" s="22" t="str">
        <f aca="false">IF(ABS(B32-E32)&lt;=H32,"OK","CHECK")</f>
        <v>OK</v>
      </c>
      <c r="G32" s="23" t="n">
        <f aca="false">B32/304.8</f>
        <v>0.00426509186351706</v>
      </c>
      <c r="H32" s="24" t="n">
        <v>0.005</v>
      </c>
      <c r="I32" s="19"/>
    </row>
    <row r="33" customFormat="false" ht="15" hidden="false" customHeight="false" outlineLevel="0" collapsed="false">
      <c r="A33" s="13" t="s">
        <v>873</v>
      </c>
      <c r="B33" s="32" t="n">
        <f aca="false">$B$31*RADIANS($B$30)*100</f>
        <v>1.0471975511966</v>
      </c>
      <c r="C33" s="15" t="s">
        <v>300</v>
      </c>
      <c r="D33" s="21"/>
      <c r="E33" s="15" t="n">
        <v>1</v>
      </c>
      <c r="F33" s="22" t="str">
        <f aca="false">IF(ABS(B33-E33)&lt;=H33,"OK","CHECK")</f>
        <v>OK</v>
      </c>
      <c r="G33" s="23" t="n">
        <f aca="false">B33/30.48</f>
        <v>0.0343568750392585</v>
      </c>
      <c r="H33" s="24" t="n">
        <v>0.05</v>
      </c>
      <c r="I33" s="19"/>
    </row>
    <row r="34" customFormat="false" ht="15" hidden="false" customHeight="false" outlineLevel="0" collapsed="false">
      <c r="A34" s="2"/>
      <c r="B34" s="2"/>
      <c r="C34" s="2"/>
      <c r="D34" s="2"/>
      <c r="E34" s="2"/>
      <c r="F34" s="2"/>
      <c r="G34" s="2"/>
      <c r="H34" s="2"/>
      <c r="I34" s="2"/>
    </row>
    <row r="35" customFormat="false" ht="15" hidden="false" customHeight="false" outlineLevel="0" collapsed="false">
      <c r="A35" s="10" t="s">
        <v>1525</v>
      </c>
      <c r="B35" s="11"/>
      <c r="C35" s="11"/>
      <c r="D35" s="11"/>
      <c r="E35" s="11"/>
      <c r="F35" s="11"/>
      <c r="G35" s="11"/>
      <c r="H35" s="11"/>
      <c r="I35" s="11"/>
    </row>
    <row r="36" customFormat="false" ht="15" hidden="false" customHeight="true" outlineLevel="0" collapsed="false">
      <c r="A36" s="12" t="s">
        <v>1526</v>
      </c>
      <c r="B36" s="12"/>
      <c r="C36" s="12"/>
      <c r="D36" s="12"/>
      <c r="E36" s="12"/>
      <c r="F36" s="12"/>
      <c r="G36" s="12"/>
      <c r="H36" s="12"/>
      <c r="I36" s="12"/>
    </row>
    <row r="37" customFormat="false" ht="15" hidden="false" customHeight="false" outlineLevel="0" collapsed="false">
      <c r="A37" s="13" t="s">
        <v>1136</v>
      </c>
      <c r="B37" s="14" t="n">
        <v>0.8</v>
      </c>
      <c r="C37" s="15" t="s">
        <v>300</v>
      </c>
      <c r="D37" s="16" t="s">
        <v>226</v>
      </c>
      <c r="E37" s="17"/>
      <c r="F37" s="17"/>
      <c r="G37" s="23" t="n">
        <f aca="false">B37/30.48</f>
        <v>0.026246719160105</v>
      </c>
      <c r="H37" s="17"/>
      <c r="I37" s="19"/>
    </row>
    <row r="38" customFormat="false" ht="15" hidden="false" customHeight="false" outlineLevel="0" collapsed="false">
      <c r="A38" s="13" t="s">
        <v>1137</v>
      </c>
      <c r="B38" s="14" t="n">
        <v>1</v>
      </c>
      <c r="C38" s="15" t="s">
        <v>300</v>
      </c>
      <c r="D38" s="16" t="s">
        <v>226</v>
      </c>
      <c r="E38" s="17"/>
      <c r="F38" s="17"/>
      <c r="G38" s="23" t="n">
        <f aca="false">B38/30.48</f>
        <v>0.0328083989501312</v>
      </c>
      <c r="H38" s="17"/>
      <c r="I38" s="19"/>
    </row>
    <row r="39" customFormat="false" ht="15" hidden="false" customHeight="false" outlineLevel="0" collapsed="false">
      <c r="A39" s="13" t="s">
        <v>1138</v>
      </c>
      <c r="B39" s="14" t="n">
        <v>0.3</v>
      </c>
      <c r="C39" s="15" t="s">
        <v>300</v>
      </c>
      <c r="D39" s="16" t="s">
        <v>226</v>
      </c>
      <c r="E39" s="17"/>
      <c r="F39" s="17"/>
      <c r="G39" s="23" t="n">
        <f aca="false">B39/30.48</f>
        <v>0.00984251968503937</v>
      </c>
      <c r="H39" s="17"/>
      <c r="I39" s="19"/>
    </row>
    <row r="40" customFormat="false" ht="15" hidden="false" customHeight="false" outlineLevel="0" collapsed="false">
      <c r="A40" s="13" t="s">
        <v>1139</v>
      </c>
      <c r="B40" s="14" t="n">
        <v>1.8</v>
      </c>
      <c r="C40" s="15" t="s">
        <v>300</v>
      </c>
      <c r="D40" s="16" t="s">
        <v>226</v>
      </c>
      <c r="E40" s="17"/>
      <c r="F40" s="17"/>
      <c r="G40" s="23" t="n">
        <f aca="false">B40/30.48</f>
        <v>0.0590551181102362</v>
      </c>
      <c r="H40" s="17"/>
      <c r="I40" s="19"/>
    </row>
    <row r="41" customFormat="false" ht="15" hidden="false" customHeight="false" outlineLevel="0" collapsed="false">
      <c r="A41" s="13" t="s">
        <v>1140</v>
      </c>
      <c r="B41" s="14" t="n">
        <v>1</v>
      </c>
      <c r="C41" s="15" t="s">
        <v>300</v>
      </c>
      <c r="D41" s="16" t="s">
        <v>226</v>
      </c>
      <c r="E41" s="17"/>
      <c r="F41" s="17"/>
      <c r="G41" s="23" t="n">
        <f aca="false">B41/30.48</f>
        <v>0.0328083989501312</v>
      </c>
      <c r="H41" s="17"/>
      <c r="I41" s="19"/>
    </row>
    <row r="42" customFormat="false" ht="15" hidden="false" customHeight="false" outlineLevel="0" collapsed="false">
      <c r="A42" s="13" t="s">
        <v>1045</v>
      </c>
      <c r="B42" s="14" t="n">
        <v>0.1</v>
      </c>
      <c r="C42" s="15" t="s">
        <v>300</v>
      </c>
      <c r="D42" s="16" t="s">
        <v>226</v>
      </c>
      <c r="E42" s="17"/>
      <c r="F42" s="17"/>
      <c r="G42" s="23" t="n">
        <f aca="false">B42/30.48</f>
        <v>0.00328083989501312</v>
      </c>
      <c r="H42" s="17"/>
      <c r="I42" s="19"/>
    </row>
    <row r="43" customFormat="false" ht="15" hidden="false" customHeight="false" outlineLevel="0" collapsed="false">
      <c r="A43" s="13" t="s">
        <v>1141</v>
      </c>
      <c r="B43" s="14" t="n">
        <v>2.5</v>
      </c>
      <c r="C43" s="15" t="s">
        <v>300</v>
      </c>
      <c r="D43" s="16" t="s">
        <v>226</v>
      </c>
      <c r="E43" s="17"/>
      <c r="F43" s="17"/>
      <c r="G43" s="23" t="n">
        <f aca="false">B43/30.48</f>
        <v>0.0820209973753281</v>
      </c>
      <c r="H43" s="17"/>
      <c r="I43" s="19"/>
    </row>
    <row r="44" customFormat="false" ht="15" hidden="false" customHeight="false" outlineLevel="0" collapsed="false">
      <c r="A44" s="13" t="s">
        <v>1142</v>
      </c>
      <c r="B44" s="14" t="n">
        <v>1.5</v>
      </c>
      <c r="C44" s="15" t="s">
        <v>300</v>
      </c>
      <c r="D44" s="16" t="s">
        <v>226</v>
      </c>
      <c r="E44" s="17"/>
      <c r="F44" s="17"/>
      <c r="G44" s="23" t="n">
        <f aca="false">B44/30.48</f>
        <v>0.0492125984251968</v>
      </c>
      <c r="H44" s="17"/>
      <c r="I44" s="19"/>
    </row>
    <row r="45" customFormat="false" ht="15" hidden="false" customHeight="false" outlineLevel="0" collapsed="false">
      <c r="A45" s="13" t="s">
        <v>1144</v>
      </c>
      <c r="B45" s="28" t="n">
        <f aca="false">SQRT(SUMSQ($B$37:$B$42))</f>
        <v>2.4454038521275</v>
      </c>
      <c r="C45" s="15" t="s">
        <v>300</v>
      </c>
      <c r="D45" s="21"/>
      <c r="E45" s="15" t="n">
        <v>2.45</v>
      </c>
      <c r="F45" s="22" t="str">
        <f aca="false">IF(ABS(B45-E45)&lt;=H45,"OK","CHECK")</f>
        <v>OK</v>
      </c>
      <c r="G45" s="23" t="n">
        <f aca="false">B45/30.48</f>
        <v>0.0802297851747866</v>
      </c>
      <c r="H45" s="24" t="n">
        <v>0.005</v>
      </c>
      <c r="I45" s="19"/>
    </row>
    <row r="46" customFormat="false" ht="15" hidden="false" customHeight="false" outlineLevel="0" collapsed="false">
      <c r="A46" s="13" t="s">
        <v>1145</v>
      </c>
      <c r="B46" s="28" t="n">
        <f aca="false">SQRT(SUMSQ($B$37:$B$42)-$B$40^2+$B$43^2)</f>
        <v>2.99833287011299</v>
      </c>
      <c r="C46" s="15" t="s">
        <v>300</v>
      </c>
      <c r="D46" s="21"/>
      <c r="E46" s="15" t="n">
        <v>3</v>
      </c>
      <c r="F46" s="22" t="str">
        <f aca="false">IF(ABS(B46-E46)&lt;=H46,"OK","CHECK")</f>
        <v>OK</v>
      </c>
      <c r="G46" s="23" t="n">
        <f aca="false">B46/30.48</f>
        <v>0.098370500987959</v>
      </c>
      <c r="H46" s="24" t="n">
        <v>0.005</v>
      </c>
      <c r="I46" s="19"/>
    </row>
    <row r="47" customFormat="false" ht="15" hidden="false" customHeight="false" outlineLevel="0" collapsed="false">
      <c r="A47" s="13" t="s">
        <v>1146</v>
      </c>
      <c r="B47" s="28" t="n">
        <f aca="false">SQRT(SUMSQ($B$37:$B$42)-$B$40^2+$B$44^2)</f>
        <v>2.23383079036887</v>
      </c>
      <c r="C47" s="15" t="s">
        <v>300</v>
      </c>
      <c r="D47" s="21"/>
      <c r="E47" s="15" t="n">
        <v>2.23</v>
      </c>
      <c r="F47" s="22" t="str">
        <f aca="false">IF(ABS(B47-E47)&lt;=H47,"OK","CHECK")</f>
        <v>OK</v>
      </c>
      <c r="G47" s="23" t="n">
        <f aca="false">B47/30.48</f>
        <v>0.0732884117575088</v>
      </c>
      <c r="H47" s="24" t="n">
        <v>0.005</v>
      </c>
      <c r="I47" s="19"/>
    </row>
    <row r="48" customFormat="false" ht="15" hidden="false" customHeight="false" outlineLevel="0" collapsed="false">
      <c r="A48" s="2"/>
      <c r="B48" s="2"/>
      <c r="C48" s="2"/>
      <c r="D48" s="2"/>
      <c r="E48" s="2"/>
      <c r="F48" s="2"/>
      <c r="G48" s="2"/>
      <c r="H48" s="2"/>
      <c r="I48" s="2"/>
    </row>
    <row r="49" customFormat="false" ht="15" hidden="false" customHeight="false" outlineLevel="0" collapsed="false">
      <c r="A49" s="10" t="s">
        <v>1527</v>
      </c>
      <c r="B49" s="11"/>
      <c r="C49" s="11"/>
      <c r="D49" s="11"/>
      <c r="E49" s="11"/>
      <c r="F49" s="11"/>
      <c r="G49" s="11"/>
      <c r="H49" s="11"/>
      <c r="I49" s="11"/>
    </row>
    <row r="50" customFormat="false" ht="15" hidden="false" customHeight="true" outlineLevel="0" collapsed="false">
      <c r="A50" s="12" t="s">
        <v>1528</v>
      </c>
      <c r="B50" s="12"/>
      <c r="C50" s="12"/>
      <c r="D50" s="12"/>
      <c r="E50" s="12"/>
      <c r="F50" s="12"/>
      <c r="G50" s="12"/>
      <c r="H50" s="12"/>
      <c r="I50" s="12"/>
    </row>
    <row r="51" customFormat="false" ht="15" hidden="false" customHeight="false" outlineLevel="0" collapsed="false">
      <c r="A51" s="13" t="s">
        <v>1529</v>
      </c>
      <c r="B51" s="14" t="n">
        <v>30</v>
      </c>
      <c r="C51" s="15"/>
      <c r="D51" s="16" t="s">
        <v>226</v>
      </c>
      <c r="E51" s="17"/>
      <c r="F51" s="17"/>
      <c r="G51" s="17"/>
      <c r="H51" s="17"/>
      <c r="I51" s="19"/>
    </row>
    <row r="52" customFormat="false" ht="15" hidden="false" customHeight="false" outlineLevel="0" collapsed="false">
      <c r="A52" s="13" t="s">
        <v>1530</v>
      </c>
      <c r="B52" s="14" t="n">
        <v>2000</v>
      </c>
      <c r="C52" s="15" t="s">
        <v>230</v>
      </c>
      <c r="D52" s="16" t="s">
        <v>226</v>
      </c>
      <c r="E52" s="17"/>
      <c r="F52" s="17"/>
      <c r="G52" s="23" t="n">
        <f aca="false">B52/0.3048</f>
        <v>6561.67979002625</v>
      </c>
      <c r="H52" s="17"/>
      <c r="I52" s="19"/>
    </row>
    <row r="53" customFormat="false" ht="15" hidden="false" customHeight="false" outlineLevel="0" collapsed="false">
      <c r="A53" s="13" t="s">
        <v>1531</v>
      </c>
      <c r="B53" s="14" t="n">
        <v>3</v>
      </c>
      <c r="C53" s="15" t="s">
        <v>300</v>
      </c>
      <c r="D53" s="16" t="s">
        <v>226</v>
      </c>
      <c r="E53" s="17"/>
      <c r="F53" s="17"/>
      <c r="G53" s="23" t="n">
        <f aca="false">B53/30.48</f>
        <v>0.0984251968503937</v>
      </c>
      <c r="H53" s="17"/>
      <c r="I53" s="19"/>
    </row>
    <row r="54" customFormat="false" ht="15" hidden="false" customHeight="false" outlineLevel="0" collapsed="false">
      <c r="A54" s="13" t="s">
        <v>1532</v>
      </c>
      <c r="B54" s="14" t="n">
        <v>1.5</v>
      </c>
      <c r="C54" s="15" t="s">
        <v>300</v>
      </c>
      <c r="D54" s="16" t="s">
        <v>226</v>
      </c>
      <c r="E54" s="17"/>
      <c r="F54" s="17"/>
      <c r="G54" s="23" t="n">
        <f aca="false">B54/30.48</f>
        <v>0.0492125984251968</v>
      </c>
      <c r="H54" s="17"/>
      <c r="I54" s="19"/>
    </row>
    <row r="55" customFormat="false" ht="15" hidden="false" customHeight="false" outlineLevel="0" collapsed="false">
      <c r="A55" s="13" t="s">
        <v>1533</v>
      </c>
      <c r="B55" s="29" t="n">
        <f aca="false">$B$52/$B$51</f>
        <v>66.6666666666667</v>
      </c>
      <c r="C55" s="15" t="s">
        <v>230</v>
      </c>
      <c r="D55" s="21"/>
      <c r="E55" s="15" t="n">
        <v>67</v>
      </c>
      <c r="F55" s="22" t="str">
        <f aca="false">IF(ABS(B55-E55)&lt;=H55,"OK","CHECK")</f>
        <v>OK</v>
      </c>
      <c r="G55" s="23" t="n">
        <f aca="false">B55/0.3048</f>
        <v>218.722659667542</v>
      </c>
      <c r="H55" s="24" t="n">
        <v>0.5</v>
      </c>
      <c r="I55" s="19"/>
    </row>
    <row r="56" customFormat="false" ht="15" hidden="false" customHeight="false" outlineLevel="0" collapsed="false">
      <c r="A56" s="13" t="s">
        <v>1534</v>
      </c>
      <c r="B56" s="32" t="n">
        <f aca="false">$B$53/$B$54</f>
        <v>2</v>
      </c>
      <c r="C56" s="15" t="s">
        <v>380</v>
      </c>
      <c r="D56" s="21" t="s">
        <v>1535</v>
      </c>
      <c r="E56" s="15" t="n">
        <v>2</v>
      </c>
      <c r="F56" s="22" t="str">
        <f aca="false">IF(ABS(B56-E56)&lt;=H56,"OK","CHECK")</f>
        <v>OK</v>
      </c>
      <c r="G56" s="17"/>
      <c r="H56" s="24" t="n">
        <v>1E-009</v>
      </c>
      <c r="I56" s="19"/>
    </row>
    <row r="57" customFormat="false" ht="15" hidden="false" customHeight="false" outlineLevel="0" collapsed="false">
      <c r="A57" s="2"/>
      <c r="B57" s="2"/>
      <c r="C57" s="2"/>
      <c r="D57" s="2"/>
      <c r="E57" s="2"/>
      <c r="F57" s="2"/>
      <c r="G57" s="2"/>
      <c r="H57" s="2"/>
      <c r="I57" s="2"/>
    </row>
    <row r="58" customFormat="false" ht="15" hidden="false" customHeight="false" outlineLevel="0" collapsed="false">
      <c r="A58" s="10" t="s">
        <v>1536</v>
      </c>
      <c r="B58" s="11"/>
      <c r="C58" s="11"/>
      <c r="D58" s="11"/>
      <c r="E58" s="11"/>
      <c r="F58" s="11"/>
      <c r="G58" s="11"/>
      <c r="H58" s="11"/>
      <c r="I58" s="11"/>
    </row>
    <row r="59" customFormat="false" ht="15" hidden="false" customHeight="true" outlineLevel="0" collapsed="false">
      <c r="A59" s="12" t="s">
        <v>1537</v>
      </c>
      <c r="B59" s="12"/>
      <c r="C59" s="12"/>
      <c r="D59" s="12"/>
      <c r="E59" s="12"/>
      <c r="F59" s="12"/>
      <c r="G59" s="12"/>
      <c r="H59" s="12"/>
      <c r="I59" s="12"/>
    </row>
    <row r="60" customFormat="false" ht="15" hidden="false" customHeight="false" outlineLevel="0" collapsed="false">
      <c r="A60" s="13" t="s">
        <v>1538</v>
      </c>
      <c r="B60" s="14" t="n">
        <v>1.9</v>
      </c>
      <c r="C60" s="15" t="s">
        <v>300</v>
      </c>
      <c r="D60" s="16" t="s">
        <v>226</v>
      </c>
      <c r="E60" s="17"/>
      <c r="F60" s="17"/>
      <c r="G60" s="23" t="n">
        <f aca="false">B60/30.48</f>
        <v>0.0623359580052493</v>
      </c>
      <c r="H60" s="17"/>
      <c r="I60" s="19"/>
    </row>
    <row r="61" customFormat="false" ht="15" hidden="false" customHeight="false" outlineLevel="0" collapsed="false">
      <c r="A61" s="13" t="s">
        <v>903</v>
      </c>
      <c r="B61" s="14" t="n">
        <v>2</v>
      </c>
      <c r="C61" s="15" t="s">
        <v>300</v>
      </c>
      <c r="D61" s="16" t="s">
        <v>226</v>
      </c>
      <c r="E61" s="17"/>
      <c r="F61" s="17"/>
      <c r="G61" s="23" t="n">
        <f aca="false">B61/30.48</f>
        <v>0.0656167979002625</v>
      </c>
      <c r="H61" s="17"/>
      <c r="I61" s="19"/>
    </row>
    <row r="62" customFormat="false" ht="15" hidden="false" customHeight="false" outlineLevel="0" collapsed="false">
      <c r="A62" s="13" t="s">
        <v>904</v>
      </c>
      <c r="B62" s="14" t="n">
        <v>1.7</v>
      </c>
      <c r="C62" s="15" t="s">
        <v>300</v>
      </c>
      <c r="D62" s="16" t="s">
        <v>226</v>
      </c>
      <c r="E62" s="17"/>
      <c r="F62" s="17"/>
      <c r="G62" s="23" t="n">
        <f aca="false">B62/30.48</f>
        <v>0.0557742782152231</v>
      </c>
      <c r="H62" s="17"/>
      <c r="I62" s="19"/>
    </row>
    <row r="63" customFormat="false" ht="15" hidden="false" customHeight="false" outlineLevel="0" collapsed="false">
      <c r="A63" s="13" t="s">
        <v>1539</v>
      </c>
      <c r="B63" s="14" t="n">
        <v>0.8</v>
      </c>
      <c r="C63" s="15" t="s">
        <v>300</v>
      </c>
      <c r="D63" s="16" t="s">
        <v>226</v>
      </c>
      <c r="E63" s="17"/>
      <c r="F63" s="17"/>
      <c r="G63" s="23" t="n">
        <f aca="false">B63/30.48</f>
        <v>0.026246719160105</v>
      </c>
      <c r="H63" s="17"/>
      <c r="I63" s="19"/>
    </row>
    <row r="64" customFormat="false" ht="15" hidden="false" customHeight="false" outlineLevel="0" collapsed="false">
      <c r="A64" s="13" t="s">
        <v>1540</v>
      </c>
      <c r="B64" s="14" t="n">
        <v>1</v>
      </c>
      <c r="C64" s="15" t="s">
        <v>300</v>
      </c>
      <c r="D64" s="16" t="s">
        <v>226</v>
      </c>
      <c r="E64" s="17"/>
      <c r="F64" s="17"/>
      <c r="G64" s="23" t="n">
        <f aca="false">B64/30.48</f>
        <v>0.0328083989501312</v>
      </c>
      <c r="H64" s="17"/>
      <c r="I64" s="19"/>
    </row>
    <row r="65" customFormat="false" ht="15" hidden="false" customHeight="false" outlineLevel="0" collapsed="false">
      <c r="A65" s="13" t="s">
        <v>1541</v>
      </c>
      <c r="B65" s="28" t="n">
        <f aca="false">SQRT($B$60^2+$B$63^2)</f>
        <v>2.06155281280883</v>
      </c>
      <c r="C65" s="15" t="s">
        <v>300</v>
      </c>
      <c r="D65" s="21"/>
      <c r="E65" s="15" t="n">
        <v>2.06</v>
      </c>
      <c r="F65" s="22" t="str">
        <f aca="false">IF(ABS(B65-E65)&lt;=H65,"OK","CHECK")</f>
        <v>OK</v>
      </c>
      <c r="G65" s="23" t="n">
        <f aca="false">B65/30.48</f>
        <v>0.0676362471393973</v>
      </c>
      <c r="H65" s="24" t="n">
        <v>0.005</v>
      </c>
      <c r="I65" s="19"/>
    </row>
    <row r="66" customFormat="false" ht="15" hidden="false" customHeight="false" outlineLevel="0" collapsed="false">
      <c r="A66" s="13" t="s">
        <v>1542</v>
      </c>
      <c r="B66" s="28" t="n">
        <f aca="false">SQRT($B$61^2+$B$62^2)</f>
        <v>2.62488094968134</v>
      </c>
      <c r="C66" s="15" t="s">
        <v>300</v>
      </c>
      <c r="D66" s="21"/>
      <c r="E66" s="15" t="n">
        <v>2.62</v>
      </c>
      <c r="F66" s="22" t="str">
        <f aca="false">IF(ABS(B66-E66)&lt;=H66,"OK","CHECK")</f>
        <v>OK</v>
      </c>
      <c r="G66" s="23" t="n">
        <f aca="false">B66/30.48</f>
        <v>0.0861181413937447</v>
      </c>
      <c r="H66" s="24" t="n">
        <v>0.005</v>
      </c>
      <c r="I66" s="19"/>
    </row>
    <row r="67" customFormat="false" ht="15" hidden="false" customHeight="false" outlineLevel="0" collapsed="false">
      <c r="A67" s="13" t="s">
        <v>1543</v>
      </c>
      <c r="B67" s="28" t="n">
        <f aca="false">SQRT($B$66^2+$B$64^2)</f>
        <v>2.80891438103763</v>
      </c>
      <c r="C67" s="15" t="s">
        <v>300</v>
      </c>
      <c r="D67" s="21"/>
      <c r="E67" s="15" t="n">
        <v>2.81</v>
      </c>
      <c r="F67" s="22" t="str">
        <f aca="false">IF(ABS(B67-E67)&lt;=H67,"OK","CHECK")</f>
        <v>OK</v>
      </c>
      <c r="G67" s="23" t="n">
        <f aca="false">B67/30.48</f>
        <v>0.0921559836298434</v>
      </c>
      <c r="H67" s="24" t="n">
        <v>0.005</v>
      </c>
      <c r="I67" s="19"/>
    </row>
  </sheetData>
  <mergeCells count="6">
    <mergeCell ref="A7:I7"/>
    <mergeCell ref="A17:I17"/>
    <mergeCell ref="A27:I27"/>
    <mergeCell ref="A36:I36"/>
    <mergeCell ref="A50:I50"/>
    <mergeCell ref="A59:I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6" min="2" style="0" width="12"/>
  </cols>
  <sheetData>
    <row r="1" customFormat="false" ht="17.35" hidden="false" customHeight="false" outlineLevel="0" collapsed="false">
      <c r="A1" s="8" t="s">
        <v>1544</v>
      </c>
      <c r="B1" s="2"/>
      <c r="C1" s="2"/>
      <c r="D1" s="2"/>
      <c r="E1" s="2"/>
      <c r="F1" s="2"/>
      <c r="G1" s="2"/>
      <c r="H1" s="2"/>
      <c r="I1" s="2"/>
      <c r="J1" s="2"/>
      <c r="K1" s="2"/>
      <c r="L1" s="2"/>
      <c r="M1" s="2"/>
      <c r="N1" s="2"/>
      <c r="O1" s="2"/>
    </row>
    <row r="2" customFormat="false" ht="15" hidden="false" customHeight="false" outlineLevel="0" collapsed="false">
      <c r="A2" s="3" t="s">
        <v>1545</v>
      </c>
      <c r="B2" s="2"/>
      <c r="C2" s="2"/>
      <c r="D2" s="2"/>
      <c r="E2" s="2"/>
      <c r="F2" s="2"/>
      <c r="G2" s="2"/>
      <c r="H2" s="2"/>
      <c r="I2" s="2"/>
      <c r="J2" s="2"/>
      <c r="K2" s="2"/>
      <c r="L2" s="2"/>
      <c r="M2" s="2"/>
      <c r="N2" s="2"/>
      <c r="O2" s="2"/>
    </row>
    <row r="3" customFormat="false" ht="15" hidden="false" customHeight="false" outlineLevel="0" collapsed="false">
      <c r="A3" s="2"/>
      <c r="B3" s="2"/>
      <c r="C3" s="2"/>
      <c r="D3" s="2"/>
      <c r="E3" s="2"/>
      <c r="F3" s="2"/>
      <c r="G3" s="2"/>
      <c r="H3" s="2"/>
      <c r="I3" s="2"/>
      <c r="J3" s="2"/>
      <c r="K3" s="2"/>
      <c r="L3" s="2"/>
      <c r="M3" s="2"/>
      <c r="N3" s="2"/>
      <c r="O3" s="2"/>
    </row>
    <row r="4" customFormat="false" ht="15" hidden="false" customHeight="false" outlineLevel="0" collapsed="false">
      <c r="A4" s="2" t="s">
        <v>1546</v>
      </c>
      <c r="B4" s="50" t="n">
        <f aca="false">STDEV(I9:I2008)</f>
        <v>3.11601958297387</v>
      </c>
      <c r="C4" s="2"/>
      <c r="D4" s="2"/>
      <c r="E4" s="2"/>
      <c r="F4" s="2"/>
      <c r="G4" s="2"/>
      <c r="H4" s="2"/>
      <c r="I4" s="2"/>
      <c r="J4" s="2"/>
      <c r="K4" s="2"/>
      <c r="L4" s="2"/>
      <c r="M4" s="2"/>
      <c r="N4" s="2"/>
      <c r="O4" s="2"/>
    </row>
    <row r="5" customFormat="false" ht="15" hidden="false" customHeight="false" outlineLevel="0" collapsed="false">
      <c r="A5" s="2" t="s">
        <v>1547</v>
      </c>
      <c r="B5" s="50" t="n">
        <f aca="false">STDEV(O9:O2008)</f>
        <v>2.21217634426867</v>
      </c>
      <c r="C5" s="2"/>
      <c r="D5" s="2"/>
      <c r="E5" s="2"/>
      <c r="F5" s="2"/>
      <c r="G5" s="2"/>
      <c r="H5" s="2"/>
      <c r="I5" s="2"/>
      <c r="J5" s="2"/>
      <c r="K5" s="2"/>
      <c r="L5" s="2"/>
      <c r="M5" s="2"/>
      <c r="N5" s="2"/>
      <c r="O5" s="2"/>
    </row>
    <row r="6" customFormat="false" ht="15" hidden="false" customHeight="false" outlineLevel="0" collapsed="false">
      <c r="A6" s="2"/>
      <c r="B6" s="2"/>
      <c r="C6" s="2"/>
      <c r="D6" s="2"/>
      <c r="E6" s="2"/>
      <c r="F6" s="2"/>
      <c r="G6" s="2"/>
      <c r="H6" s="2"/>
      <c r="I6" s="2"/>
      <c r="J6" s="2"/>
      <c r="K6" s="2"/>
      <c r="L6" s="2"/>
      <c r="M6" s="2"/>
      <c r="N6" s="2"/>
      <c r="O6" s="2"/>
    </row>
    <row r="7" customFormat="false" ht="15" hidden="false" customHeight="false" outlineLevel="0" collapsed="false">
      <c r="A7" s="5" t="s">
        <v>1548</v>
      </c>
      <c r="B7" s="51" t="n">
        <v>1.5</v>
      </c>
      <c r="C7" s="51" t="n">
        <v>1.5</v>
      </c>
      <c r="D7" s="52" t="n">
        <f aca="false">20*RADIANS(0.05)*100</f>
        <v>1.74532925199433</v>
      </c>
      <c r="E7" s="52" t="n">
        <f aca="false">20*RADIANS(0.01)*100</f>
        <v>0.349065850398866</v>
      </c>
      <c r="F7" s="52" t="n">
        <f aca="false">0.2*SQRT(2)</f>
        <v>0.282842712474619</v>
      </c>
      <c r="G7" s="52" t="n">
        <f aca="false">SQRT(1.25^2+0.4^2)</f>
        <v>1.31244047484067</v>
      </c>
      <c r="H7" s="52" t="n">
        <f aca="false">20*RADIANS(0.01)*100</f>
        <v>0.349065850398866</v>
      </c>
      <c r="I7" s="2"/>
      <c r="J7" s="51" t="n">
        <v>2</v>
      </c>
      <c r="K7" s="52" t="n">
        <f aca="false">20*RADIANS(0.02)*100</f>
        <v>0.698131700797732</v>
      </c>
      <c r="L7" s="52" t="n">
        <f aca="false">20*RADIANS(0.01)*100</f>
        <v>0.349065850398866</v>
      </c>
      <c r="M7" s="51" t="n">
        <v>0.2</v>
      </c>
      <c r="N7" s="52" t="n">
        <f aca="false">20*RADIANS(0.01)*100</f>
        <v>0.349065850398866</v>
      </c>
      <c r="O7" s="2"/>
    </row>
    <row r="8" customFormat="false" ht="26.85" hidden="false" customHeight="false" outlineLevel="0" collapsed="false">
      <c r="A8" s="6" t="s">
        <v>1549</v>
      </c>
      <c r="B8" s="6" t="s">
        <v>1550</v>
      </c>
      <c r="C8" s="6" t="s">
        <v>1551</v>
      </c>
      <c r="D8" s="6" t="s">
        <v>1552</v>
      </c>
      <c r="E8" s="6" t="s">
        <v>1553</v>
      </c>
      <c r="F8" s="6" t="s">
        <v>1554</v>
      </c>
      <c r="G8" s="6" t="s">
        <v>329</v>
      </c>
      <c r="H8" s="6" t="s">
        <v>1555</v>
      </c>
      <c r="I8" s="6" t="s">
        <v>1556</v>
      </c>
      <c r="J8" s="6" t="s">
        <v>1557</v>
      </c>
      <c r="K8" s="6" t="s">
        <v>1558</v>
      </c>
      <c r="L8" s="6" t="s">
        <v>1559</v>
      </c>
      <c r="M8" s="6" t="s">
        <v>1560</v>
      </c>
      <c r="N8" s="6" t="s">
        <v>1561</v>
      </c>
      <c r="O8" s="6" t="s">
        <v>1562</v>
      </c>
    </row>
    <row r="9" customFormat="false" ht="15" hidden="false" customHeight="false" outlineLevel="0" collapsed="false">
      <c r="A9" s="2" t="n">
        <v>1</v>
      </c>
      <c r="B9" s="53" t="n">
        <f aca="true">NORMINV(RAND(),0,B$7)</f>
        <v>0.461002238875211</v>
      </c>
      <c r="C9" s="53" t="n">
        <f aca="true">NORMINV(RAND(),0,C$7)</f>
        <v>1.20525848738545</v>
      </c>
      <c r="D9" s="53" t="n">
        <f aca="true">NORMINV(RAND(),0,D$7)</f>
        <v>-0.977030498033288</v>
      </c>
      <c r="E9" s="53" t="n">
        <f aca="true">NORMINV(RAND(),0,E$7)</f>
        <v>0.391877703104964</v>
      </c>
      <c r="F9" s="53" t="n">
        <f aca="true">NORMINV(RAND(),0,F$7)</f>
        <v>0.0253693142914412</v>
      </c>
      <c r="G9" s="53" t="n">
        <f aca="true">NORMINV(RAND(),0,G$7)</f>
        <v>0.329016771786011</v>
      </c>
      <c r="H9" s="53" t="n">
        <f aca="true">NORMINV(RAND(),0,H$7)</f>
        <v>0.589357657207212</v>
      </c>
      <c r="I9" s="53" t="n">
        <f aca="false">SUM(B9:H9)</f>
        <v>2.024851674617</v>
      </c>
      <c r="J9" s="53" t="n">
        <f aca="true">NORMINV(RAND(),0,J$7)</f>
        <v>-1.82370412549055</v>
      </c>
      <c r="K9" s="53" t="n">
        <f aca="true">NORMINV(RAND(),0,K$7)</f>
        <v>-0.941768368149519</v>
      </c>
      <c r="L9" s="53" t="n">
        <f aca="true">NORMINV(RAND(),0,L$7)</f>
        <v>0.0553371803364077</v>
      </c>
      <c r="M9" s="53" t="n">
        <f aca="true">NORMINV(RAND(),0,M$7)</f>
        <v>0.107091881468236</v>
      </c>
      <c r="N9" s="53" t="n">
        <f aca="true">NORMINV(RAND(),0,N$7)</f>
        <v>-0.454645131543615</v>
      </c>
      <c r="O9" s="53" t="n">
        <f aca="false">SUM(J9:N9)</f>
        <v>-3.05768856337904</v>
      </c>
    </row>
    <row r="10" customFormat="false" ht="15" hidden="false" customHeight="false" outlineLevel="0" collapsed="false">
      <c r="A10" s="2" t="n">
        <v>2</v>
      </c>
      <c r="B10" s="53" t="n">
        <f aca="true">NORMINV(RAND(),0,B$7)</f>
        <v>0.786452432447728</v>
      </c>
      <c r="C10" s="53" t="n">
        <f aca="true">NORMINV(RAND(),0,C$7)</f>
        <v>-0.635151906370227</v>
      </c>
      <c r="D10" s="53" t="n">
        <f aca="true">NORMINV(RAND(),0,D$7)</f>
        <v>2.0109844593104</v>
      </c>
      <c r="E10" s="53" t="n">
        <f aca="true">NORMINV(RAND(),0,E$7)</f>
        <v>-0.487725831110215</v>
      </c>
      <c r="F10" s="53" t="n">
        <f aca="true">NORMINV(RAND(),0,F$7)</f>
        <v>0.0769120497172265</v>
      </c>
      <c r="G10" s="53" t="n">
        <f aca="true">NORMINV(RAND(),0,G$7)</f>
        <v>1.06798141387452</v>
      </c>
      <c r="H10" s="53" t="n">
        <f aca="true">NORMINV(RAND(),0,H$7)</f>
        <v>-0.243003492632184</v>
      </c>
      <c r="I10" s="53" t="n">
        <f aca="false">SUM(B10:H10)</f>
        <v>2.57644912523724</v>
      </c>
      <c r="J10" s="53" t="n">
        <f aca="true">NORMINV(RAND(),0,J$7)</f>
        <v>-1.33351819496585</v>
      </c>
      <c r="K10" s="53" t="n">
        <f aca="true">NORMINV(RAND(),0,K$7)</f>
        <v>-0.301604119216349</v>
      </c>
      <c r="L10" s="53" t="n">
        <f aca="true">NORMINV(RAND(),0,L$7)</f>
        <v>0.0223172523697033</v>
      </c>
      <c r="M10" s="53" t="n">
        <f aca="true">NORMINV(RAND(),0,M$7)</f>
        <v>0.165739501112326</v>
      </c>
      <c r="N10" s="53" t="n">
        <f aca="true">NORMINV(RAND(),0,N$7)</f>
        <v>-0.045290024495089</v>
      </c>
      <c r="O10" s="53" t="n">
        <f aca="false">SUM(J10:N10)</f>
        <v>-1.49235558519526</v>
      </c>
    </row>
    <row r="11" customFormat="false" ht="15" hidden="false" customHeight="false" outlineLevel="0" collapsed="false">
      <c r="A11" s="2" t="n">
        <v>3</v>
      </c>
      <c r="B11" s="53" t="n">
        <f aca="true">NORMINV(RAND(),0,B$7)</f>
        <v>-1.58164695511774</v>
      </c>
      <c r="C11" s="53" t="n">
        <f aca="true">NORMINV(RAND(),0,C$7)</f>
        <v>-1.23568835329489</v>
      </c>
      <c r="D11" s="53" t="n">
        <f aca="true">NORMINV(RAND(),0,D$7)</f>
        <v>2.50777381334489</v>
      </c>
      <c r="E11" s="53" t="n">
        <f aca="true">NORMINV(RAND(),0,E$7)</f>
        <v>0.152839001197718</v>
      </c>
      <c r="F11" s="53" t="n">
        <f aca="true">NORMINV(RAND(),0,F$7)</f>
        <v>-0.151337507591953</v>
      </c>
      <c r="G11" s="53" t="n">
        <f aca="true">NORMINV(RAND(),0,G$7)</f>
        <v>0.358230410976872</v>
      </c>
      <c r="H11" s="53" t="n">
        <f aca="true">NORMINV(RAND(),0,H$7)</f>
        <v>-0.181132442602498</v>
      </c>
      <c r="I11" s="53" t="n">
        <f aca="false">SUM(B11:H11)</f>
        <v>-0.130962033087604</v>
      </c>
      <c r="J11" s="53" t="n">
        <f aca="true">NORMINV(RAND(),0,J$7)</f>
        <v>0.820516693048962</v>
      </c>
      <c r="K11" s="53" t="n">
        <f aca="true">NORMINV(RAND(),0,K$7)</f>
        <v>0.435663686432786</v>
      </c>
      <c r="L11" s="53" t="n">
        <f aca="true">NORMINV(RAND(),0,L$7)</f>
        <v>-0.148566185515633</v>
      </c>
      <c r="M11" s="53" t="n">
        <f aca="true">NORMINV(RAND(),0,M$7)</f>
        <v>-0.128935716715336</v>
      </c>
      <c r="N11" s="53" t="n">
        <f aca="true">NORMINV(RAND(),0,N$7)</f>
        <v>-0.0475948858728437</v>
      </c>
      <c r="O11" s="53" t="n">
        <f aca="false">SUM(J11:N11)</f>
        <v>0.931083591377935</v>
      </c>
    </row>
    <row r="12" customFormat="false" ht="15" hidden="false" customHeight="false" outlineLevel="0" collapsed="false">
      <c r="A12" s="2" t="n">
        <v>4</v>
      </c>
      <c r="B12" s="53" t="n">
        <f aca="true">NORMINV(RAND(),0,B$7)</f>
        <v>-1.20361432964281</v>
      </c>
      <c r="C12" s="53" t="n">
        <f aca="true">NORMINV(RAND(),0,C$7)</f>
        <v>2.3766259132275</v>
      </c>
      <c r="D12" s="53" t="n">
        <f aca="true">NORMINV(RAND(),0,D$7)</f>
        <v>-1.60900681907536</v>
      </c>
      <c r="E12" s="53" t="n">
        <f aca="true">NORMINV(RAND(),0,E$7)</f>
        <v>0.221912193139416</v>
      </c>
      <c r="F12" s="53" t="n">
        <f aca="true">NORMINV(RAND(),0,F$7)</f>
        <v>0.238019575298639</v>
      </c>
      <c r="G12" s="53" t="n">
        <f aca="true">NORMINV(RAND(),0,G$7)</f>
        <v>1.60596964481646</v>
      </c>
      <c r="H12" s="53" t="n">
        <f aca="true">NORMINV(RAND(),0,H$7)</f>
        <v>-0.010966173884538</v>
      </c>
      <c r="I12" s="53" t="n">
        <f aca="false">SUM(B12:H12)</f>
        <v>1.61894000387931</v>
      </c>
      <c r="J12" s="53" t="n">
        <f aca="true">NORMINV(RAND(),0,J$7)</f>
        <v>-1.33035953292657</v>
      </c>
      <c r="K12" s="53" t="n">
        <f aca="true">NORMINV(RAND(),0,K$7)</f>
        <v>0.865183820109418</v>
      </c>
      <c r="L12" s="53" t="n">
        <f aca="true">NORMINV(RAND(),0,L$7)</f>
        <v>0.0664827077935471</v>
      </c>
      <c r="M12" s="53" t="n">
        <f aca="true">NORMINV(RAND(),0,M$7)</f>
        <v>-0.0243974950556959</v>
      </c>
      <c r="N12" s="53" t="n">
        <f aca="true">NORMINV(RAND(),0,N$7)</f>
        <v>-0.147633457370786</v>
      </c>
      <c r="O12" s="53" t="n">
        <f aca="false">SUM(J12:N12)</f>
        <v>-0.570723957450088</v>
      </c>
    </row>
    <row r="13" customFormat="false" ht="15" hidden="false" customHeight="false" outlineLevel="0" collapsed="false">
      <c r="A13" s="2" t="n">
        <v>5</v>
      </c>
      <c r="B13" s="53" t="n">
        <f aca="true">NORMINV(RAND(),0,B$7)</f>
        <v>0.618453745463057</v>
      </c>
      <c r="C13" s="53" t="n">
        <f aca="true">NORMINV(RAND(),0,C$7)</f>
        <v>-1.57042873328668</v>
      </c>
      <c r="D13" s="53" t="n">
        <f aca="true">NORMINV(RAND(),0,D$7)</f>
        <v>0.454766929303236</v>
      </c>
      <c r="E13" s="53" t="n">
        <f aca="true">NORMINV(RAND(),0,E$7)</f>
        <v>0.280713225622251</v>
      </c>
      <c r="F13" s="53" t="n">
        <f aca="true">NORMINV(RAND(),0,F$7)</f>
        <v>-0.223544547742944</v>
      </c>
      <c r="G13" s="53" t="n">
        <f aca="true">NORMINV(RAND(),0,G$7)</f>
        <v>-1.60617484911841</v>
      </c>
      <c r="H13" s="53" t="n">
        <f aca="true">NORMINV(RAND(),0,H$7)</f>
        <v>0.058466109667901</v>
      </c>
      <c r="I13" s="53" t="n">
        <f aca="false">SUM(B13:H13)</f>
        <v>-1.98774812009159</v>
      </c>
      <c r="J13" s="53" t="n">
        <f aca="true">NORMINV(RAND(),0,J$7)</f>
        <v>2.55429041829899</v>
      </c>
      <c r="K13" s="53" t="n">
        <f aca="true">NORMINV(RAND(),0,K$7)</f>
        <v>0.242270571213284</v>
      </c>
      <c r="L13" s="53" t="n">
        <f aca="true">NORMINV(RAND(),0,L$7)</f>
        <v>0.155779565217759</v>
      </c>
      <c r="M13" s="53" t="n">
        <f aca="true">NORMINV(RAND(),0,M$7)</f>
        <v>-0.167195624031544</v>
      </c>
      <c r="N13" s="53" t="n">
        <f aca="true">NORMINV(RAND(),0,N$7)</f>
        <v>-0.521441917489042</v>
      </c>
      <c r="O13" s="53" t="n">
        <f aca="false">SUM(J13:N13)</f>
        <v>2.26370301320944</v>
      </c>
    </row>
    <row r="14" customFormat="false" ht="15" hidden="false" customHeight="false" outlineLevel="0" collapsed="false">
      <c r="A14" s="2" t="n">
        <v>6</v>
      </c>
      <c r="B14" s="53" t="n">
        <f aca="true">NORMINV(RAND(),0,B$7)</f>
        <v>-4.25005080875205</v>
      </c>
      <c r="C14" s="53" t="n">
        <f aca="true">NORMINV(RAND(),0,C$7)</f>
        <v>0.720780995483547</v>
      </c>
      <c r="D14" s="53" t="n">
        <f aca="true">NORMINV(RAND(),0,D$7)</f>
        <v>-0.403683978259551</v>
      </c>
      <c r="E14" s="53" t="n">
        <f aca="true">NORMINV(RAND(),0,E$7)</f>
        <v>0.0501629143972375</v>
      </c>
      <c r="F14" s="53" t="n">
        <f aca="true">NORMINV(RAND(),0,F$7)</f>
        <v>0.161313704993831</v>
      </c>
      <c r="G14" s="53" t="n">
        <f aca="true">NORMINV(RAND(),0,G$7)</f>
        <v>1.39408179493672</v>
      </c>
      <c r="H14" s="53" t="n">
        <f aca="true">NORMINV(RAND(),0,H$7)</f>
        <v>0.455203201815515</v>
      </c>
      <c r="I14" s="53" t="n">
        <f aca="false">SUM(B14:H14)</f>
        <v>-1.87219217538475</v>
      </c>
      <c r="J14" s="53" t="n">
        <f aca="true">NORMINV(RAND(),0,J$7)</f>
        <v>1.05348499908752</v>
      </c>
      <c r="K14" s="53" t="n">
        <f aca="true">NORMINV(RAND(),0,K$7)</f>
        <v>-0.579970719612807</v>
      </c>
      <c r="L14" s="53" t="n">
        <f aca="true">NORMINV(RAND(),0,L$7)</f>
        <v>0.646844906753988</v>
      </c>
      <c r="M14" s="53" t="n">
        <f aca="true">NORMINV(RAND(),0,M$7)</f>
        <v>-0.0330197052723948</v>
      </c>
      <c r="N14" s="53" t="n">
        <f aca="true">NORMINV(RAND(),0,N$7)</f>
        <v>-0.178837930715598</v>
      </c>
      <c r="O14" s="53" t="n">
        <f aca="false">SUM(J14:N14)</f>
        <v>0.908501550240713</v>
      </c>
    </row>
    <row r="15" customFormat="false" ht="15" hidden="false" customHeight="false" outlineLevel="0" collapsed="false">
      <c r="A15" s="2" t="n">
        <v>7</v>
      </c>
      <c r="B15" s="53" t="n">
        <f aca="true">NORMINV(RAND(),0,B$7)</f>
        <v>0.563087336676386</v>
      </c>
      <c r="C15" s="53" t="n">
        <f aca="true">NORMINV(RAND(),0,C$7)</f>
        <v>-0.618906135225954</v>
      </c>
      <c r="D15" s="53" t="n">
        <f aca="true">NORMINV(RAND(),0,D$7)</f>
        <v>-1.47394461797646</v>
      </c>
      <c r="E15" s="53" t="n">
        <f aca="true">NORMINV(RAND(),0,E$7)</f>
        <v>0.0359562724582404</v>
      </c>
      <c r="F15" s="53" t="n">
        <f aca="true">NORMINV(RAND(),0,F$7)</f>
        <v>0.337021837891987</v>
      </c>
      <c r="G15" s="53" t="n">
        <f aca="true">NORMINV(RAND(),0,G$7)</f>
        <v>0.328779976117093</v>
      </c>
      <c r="H15" s="53" t="n">
        <f aca="true">NORMINV(RAND(),0,H$7)</f>
        <v>-0.232217372177462</v>
      </c>
      <c r="I15" s="53" t="n">
        <f aca="false">SUM(B15:H15)</f>
        <v>-1.06022270223617</v>
      </c>
      <c r="J15" s="53" t="n">
        <f aca="true">NORMINV(RAND(),0,J$7)</f>
        <v>-1.29073301012212</v>
      </c>
      <c r="K15" s="53" t="n">
        <f aca="true">NORMINV(RAND(),0,K$7)</f>
        <v>-0.547420816062603</v>
      </c>
      <c r="L15" s="53" t="n">
        <f aca="true">NORMINV(RAND(),0,L$7)</f>
        <v>0.733886786126656</v>
      </c>
      <c r="M15" s="53" t="n">
        <f aca="true">NORMINV(RAND(),0,M$7)</f>
        <v>-0.302697514296419</v>
      </c>
      <c r="N15" s="53" t="n">
        <f aca="true">NORMINV(RAND(),0,N$7)</f>
        <v>0.386866833513953</v>
      </c>
      <c r="O15" s="53" t="n">
        <f aca="false">SUM(J15:N15)</f>
        <v>-1.02009772084053</v>
      </c>
    </row>
    <row r="16" customFormat="false" ht="15" hidden="false" customHeight="false" outlineLevel="0" collapsed="false">
      <c r="A16" s="2" t="n">
        <v>8</v>
      </c>
      <c r="B16" s="53" t="n">
        <f aca="true">NORMINV(RAND(),0,B$7)</f>
        <v>0.103622530273258</v>
      </c>
      <c r="C16" s="53" t="n">
        <f aca="true">NORMINV(RAND(),0,C$7)</f>
        <v>1.60916741392128</v>
      </c>
      <c r="D16" s="53" t="n">
        <f aca="true">NORMINV(RAND(),0,D$7)</f>
        <v>-0.588254966705001</v>
      </c>
      <c r="E16" s="53" t="n">
        <f aca="true">NORMINV(RAND(),0,E$7)</f>
        <v>-0.248996651446885</v>
      </c>
      <c r="F16" s="53" t="n">
        <f aca="true">NORMINV(RAND(),0,F$7)</f>
        <v>0.927660189478725</v>
      </c>
      <c r="G16" s="53" t="n">
        <f aca="true">NORMINV(RAND(),0,G$7)</f>
        <v>1.8954792734324</v>
      </c>
      <c r="H16" s="53" t="n">
        <f aca="true">NORMINV(RAND(),0,H$7)</f>
        <v>0.282077944886481</v>
      </c>
      <c r="I16" s="53" t="n">
        <f aca="false">SUM(B16:H16)</f>
        <v>3.98075573384026</v>
      </c>
      <c r="J16" s="53" t="n">
        <f aca="true">NORMINV(RAND(),0,J$7)</f>
        <v>0.474871629546795</v>
      </c>
      <c r="K16" s="53" t="n">
        <f aca="true">NORMINV(RAND(),0,K$7)</f>
        <v>-0.555277202936579</v>
      </c>
      <c r="L16" s="53" t="n">
        <f aca="true">NORMINV(RAND(),0,L$7)</f>
        <v>0.20897215587998</v>
      </c>
      <c r="M16" s="53" t="n">
        <f aca="true">NORMINV(RAND(),0,M$7)</f>
        <v>-0.0594410351183202</v>
      </c>
      <c r="N16" s="53" t="n">
        <f aca="true">NORMINV(RAND(),0,N$7)</f>
        <v>-0.274238559341258</v>
      </c>
      <c r="O16" s="53" t="n">
        <f aca="false">SUM(J16:N16)</f>
        <v>-0.205113011969382</v>
      </c>
    </row>
    <row r="17" customFormat="false" ht="15" hidden="false" customHeight="false" outlineLevel="0" collapsed="false">
      <c r="A17" s="2" t="n">
        <v>9</v>
      </c>
      <c r="B17" s="53" t="n">
        <f aca="true">NORMINV(RAND(),0,B$7)</f>
        <v>-2.17485059987706</v>
      </c>
      <c r="C17" s="53" t="n">
        <f aca="true">NORMINV(RAND(),0,C$7)</f>
        <v>-1.30597874776486</v>
      </c>
      <c r="D17" s="53" t="n">
        <f aca="true">NORMINV(RAND(),0,D$7)</f>
        <v>-1.71788420497896</v>
      </c>
      <c r="E17" s="53" t="n">
        <f aca="true">NORMINV(RAND(),0,E$7)</f>
        <v>-0.256933969908942</v>
      </c>
      <c r="F17" s="53" t="n">
        <f aca="true">NORMINV(RAND(),0,F$7)</f>
        <v>0.0873620405000381</v>
      </c>
      <c r="G17" s="53" t="n">
        <f aca="true">NORMINV(RAND(),0,G$7)</f>
        <v>-0.506382546575348</v>
      </c>
      <c r="H17" s="53" t="n">
        <f aca="true">NORMINV(RAND(),0,H$7)</f>
        <v>-0.0277643400337598</v>
      </c>
      <c r="I17" s="53" t="n">
        <f aca="false">SUM(B17:H17)</f>
        <v>-5.9024323686389</v>
      </c>
      <c r="J17" s="53" t="n">
        <f aca="true">NORMINV(RAND(),0,J$7)</f>
        <v>-0.740673309482155</v>
      </c>
      <c r="K17" s="53" t="n">
        <f aca="true">NORMINV(RAND(),0,K$7)</f>
        <v>-0.156649254820467</v>
      </c>
      <c r="L17" s="53" t="n">
        <f aca="true">NORMINV(RAND(),0,L$7)</f>
        <v>-0.231014139807645</v>
      </c>
      <c r="M17" s="53" t="n">
        <f aca="true">NORMINV(RAND(),0,M$7)</f>
        <v>-0.00577651509267248</v>
      </c>
      <c r="N17" s="53" t="n">
        <f aca="true">NORMINV(RAND(),0,N$7)</f>
        <v>-0.0095270123149583</v>
      </c>
      <c r="O17" s="53" t="n">
        <f aca="false">SUM(J17:N17)</f>
        <v>-1.1436402315179</v>
      </c>
    </row>
    <row r="18" customFormat="false" ht="15" hidden="false" customHeight="false" outlineLevel="0" collapsed="false">
      <c r="A18" s="2" t="n">
        <v>10</v>
      </c>
      <c r="B18" s="53" t="n">
        <f aca="true">NORMINV(RAND(),0,B$7)</f>
        <v>-0.336644693501547</v>
      </c>
      <c r="C18" s="53" t="n">
        <f aca="true">NORMINV(RAND(),0,C$7)</f>
        <v>0.617039681525361</v>
      </c>
      <c r="D18" s="53" t="n">
        <f aca="true">NORMINV(RAND(),0,D$7)</f>
        <v>-0.183141143955806</v>
      </c>
      <c r="E18" s="53" t="n">
        <f aca="true">NORMINV(RAND(),0,E$7)</f>
        <v>0.272017504598162</v>
      </c>
      <c r="F18" s="53" t="n">
        <f aca="true">NORMINV(RAND(),0,F$7)</f>
        <v>0.1188908048498</v>
      </c>
      <c r="G18" s="53" t="n">
        <f aca="true">NORMINV(RAND(),0,G$7)</f>
        <v>-0.806580957599234</v>
      </c>
      <c r="H18" s="53" t="n">
        <f aca="true">NORMINV(RAND(),0,H$7)</f>
        <v>0.325771556128267</v>
      </c>
      <c r="I18" s="53" t="n">
        <f aca="false">SUM(B18:H18)</f>
        <v>0.0073527520450028</v>
      </c>
      <c r="J18" s="53" t="n">
        <f aca="true">NORMINV(RAND(),0,J$7)</f>
        <v>-0.668074543293654</v>
      </c>
      <c r="K18" s="53" t="n">
        <f aca="true">NORMINV(RAND(),0,K$7)</f>
        <v>0.971128882972032</v>
      </c>
      <c r="L18" s="53" t="n">
        <f aca="true">NORMINV(RAND(),0,L$7)</f>
        <v>0.398731904509093</v>
      </c>
      <c r="M18" s="53" t="n">
        <f aca="true">NORMINV(RAND(),0,M$7)</f>
        <v>-0.0614230915074142</v>
      </c>
      <c r="N18" s="53" t="n">
        <f aca="true">NORMINV(RAND(),0,N$7)</f>
        <v>-0.462871558272103</v>
      </c>
      <c r="O18" s="53" t="n">
        <f aca="false">SUM(J18:N18)</f>
        <v>0.177491594407954</v>
      </c>
    </row>
    <row r="19" customFormat="false" ht="15" hidden="false" customHeight="false" outlineLevel="0" collapsed="false">
      <c r="A19" s="2" t="n">
        <v>11</v>
      </c>
      <c r="B19" s="53" t="n">
        <f aca="true">NORMINV(RAND(),0,B$7)</f>
        <v>0.234525967540355</v>
      </c>
      <c r="C19" s="53" t="n">
        <f aca="true">NORMINV(RAND(),0,C$7)</f>
        <v>-2.10180477913878</v>
      </c>
      <c r="D19" s="53" t="n">
        <f aca="true">NORMINV(RAND(),0,D$7)</f>
        <v>0.279342638728616</v>
      </c>
      <c r="E19" s="53" t="n">
        <f aca="true">NORMINV(RAND(),0,E$7)</f>
        <v>0.187042154157945</v>
      </c>
      <c r="F19" s="53" t="n">
        <f aca="true">NORMINV(RAND(),0,F$7)</f>
        <v>0.173430206190193</v>
      </c>
      <c r="G19" s="53" t="n">
        <f aca="true">NORMINV(RAND(),0,G$7)</f>
        <v>-0.567094394180372</v>
      </c>
      <c r="H19" s="53" t="n">
        <f aca="true">NORMINV(RAND(),0,H$7)</f>
        <v>0.252053378815618</v>
      </c>
      <c r="I19" s="53" t="n">
        <f aca="false">SUM(B19:H19)</f>
        <v>-1.54250482788643</v>
      </c>
      <c r="J19" s="53" t="n">
        <f aca="true">NORMINV(RAND(),0,J$7)</f>
        <v>0.324555847604165</v>
      </c>
      <c r="K19" s="53" t="n">
        <f aca="true">NORMINV(RAND(),0,K$7)</f>
        <v>-0.172127661526318</v>
      </c>
      <c r="L19" s="53" t="n">
        <f aca="true">NORMINV(RAND(),0,L$7)</f>
        <v>-0.174643792710779</v>
      </c>
      <c r="M19" s="53" t="n">
        <f aca="true">NORMINV(RAND(),0,M$7)</f>
        <v>0.127057325808169</v>
      </c>
      <c r="N19" s="53" t="n">
        <f aca="true">NORMINV(RAND(),0,N$7)</f>
        <v>0.232051122577288</v>
      </c>
      <c r="O19" s="53" t="n">
        <f aca="false">SUM(J19:N19)</f>
        <v>0.336892841752525</v>
      </c>
    </row>
    <row r="20" customFormat="false" ht="15" hidden="false" customHeight="false" outlineLevel="0" collapsed="false">
      <c r="A20" s="2" t="n">
        <v>12</v>
      </c>
      <c r="B20" s="53" t="n">
        <f aca="true">NORMINV(RAND(),0,B$7)</f>
        <v>-1.54625198141737</v>
      </c>
      <c r="C20" s="53" t="n">
        <f aca="true">NORMINV(RAND(),0,C$7)</f>
        <v>1.8032496082566</v>
      </c>
      <c r="D20" s="53" t="n">
        <f aca="true">NORMINV(RAND(),0,D$7)</f>
        <v>-1.03292667824599</v>
      </c>
      <c r="E20" s="53" t="n">
        <f aca="true">NORMINV(RAND(),0,E$7)</f>
        <v>-0.57781833995706</v>
      </c>
      <c r="F20" s="53" t="n">
        <f aca="true">NORMINV(RAND(),0,F$7)</f>
        <v>-0.26294483161696</v>
      </c>
      <c r="G20" s="53" t="n">
        <f aca="true">NORMINV(RAND(),0,G$7)</f>
        <v>0.601489306092637</v>
      </c>
      <c r="H20" s="53" t="n">
        <f aca="true">NORMINV(RAND(),0,H$7)</f>
        <v>-0.657257235973212</v>
      </c>
      <c r="I20" s="53" t="n">
        <f aca="false">SUM(B20:H20)</f>
        <v>-1.67246015286136</v>
      </c>
      <c r="J20" s="53" t="n">
        <f aca="true">NORMINV(RAND(),0,J$7)</f>
        <v>2.19290938793017</v>
      </c>
      <c r="K20" s="53" t="n">
        <f aca="true">NORMINV(RAND(),0,K$7)</f>
        <v>0.0131466722892959</v>
      </c>
      <c r="L20" s="53" t="n">
        <f aca="true">NORMINV(RAND(),0,L$7)</f>
        <v>0.427281636083107</v>
      </c>
      <c r="M20" s="53" t="n">
        <f aca="true">NORMINV(RAND(),0,M$7)</f>
        <v>-0.021794733717561</v>
      </c>
      <c r="N20" s="53" t="n">
        <f aca="true">NORMINV(RAND(),0,N$7)</f>
        <v>-0.519137693981552</v>
      </c>
      <c r="O20" s="53" t="n">
        <f aca="false">SUM(J20:N20)</f>
        <v>2.09240526860346</v>
      </c>
    </row>
    <row r="21" customFormat="false" ht="15" hidden="false" customHeight="false" outlineLevel="0" collapsed="false">
      <c r="A21" s="2" t="n">
        <v>13</v>
      </c>
      <c r="B21" s="53" t="n">
        <f aca="true">NORMINV(RAND(),0,B$7)</f>
        <v>1.81896946770984</v>
      </c>
      <c r="C21" s="53" t="n">
        <f aca="true">NORMINV(RAND(),0,C$7)</f>
        <v>1.15920312234495</v>
      </c>
      <c r="D21" s="53" t="n">
        <f aca="true">NORMINV(RAND(),0,D$7)</f>
        <v>-0.50207536294214</v>
      </c>
      <c r="E21" s="53" t="n">
        <f aca="true">NORMINV(RAND(),0,E$7)</f>
        <v>0.10194608989331</v>
      </c>
      <c r="F21" s="53" t="n">
        <f aca="true">NORMINV(RAND(),0,F$7)</f>
        <v>0.171078310470535</v>
      </c>
      <c r="G21" s="53" t="n">
        <f aca="true">NORMINV(RAND(),0,G$7)</f>
        <v>1.47743500056665</v>
      </c>
      <c r="H21" s="53" t="n">
        <f aca="true">NORMINV(RAND(),0,H$7)</f>
        <v>0.0457348218365968</v>
      </c>
      <c r="I21" s="53" t="n">
        <f aca="false">SUM(B21:H21)</f>
        <v>4.27229144987975</v>
      </c>
      <c r="J21" s="53" t="n">
        <f aca="true">NORMINV(RAND(),0,J$7)</f>
        <v>-1.68360230873199</v>
      </c>
      <c r="K21" s="53" t="n">
        <f aca="true">NORMINV(RAND(),0,K$7)</f>
        <v>-1.18366493912032</v>
      </c>
      <c r="L21" s="53" t="n">
        <f aca="true">NORMINV(RAND(),0,L$7)</f>
        <v>-0.241681883731949</v>
      </c>
      <c r="M21" s="53" t="n">
        <f aca="true">NORMINV(RAND(),0,M$7)</f>
        <v>0.0957246917045755</v>
      </c>
      <c r="N21" s="53" t="n">
        <f aca="true">NORMINV(RAND(),0,N$7)</f>
        <v>0.00862580465872919</v>
      </c>
      <c r="O21" s="53" t="n">
        <f aca="false">SUM(J21:N21)</f>
        <v>-3.00459863522095</v>
      </c>
    </row>
    <row r="22" customFormat="false" ht="15" hidden="false" customHeight="false" outlineLevel="0" collapsed="false">
      <c r="A22" s="2" t="n">
        <v>14</v>
      </c>
      <c r="B22" s="53" t="n">
        <f aca="true">NORMINV(RAND(),0,B$7)</f>
        <v>0.8092623503058</v>
      </c>
      <c r="C22" s="53" t="n">
        <f aca="true">NORMINV(RAND(),0,C$7)</f>
        <v>-2.60547793820083</v>
      </c>
      <c r="D22" s="53" t="n">
        <f aca="true">NORMINV(RAND(),0,D$7)</f>
        <v>3.13801119269471</v>
      </c>
      <c r="E22" s="53" t="n">
        <f aca="true">NORMINV(RAND(),0,E$7)</f>
        <v>0.543753716510471</v>
      </c>
      <c r="F22" s="53" t="n">
        <f aca="true">NORMINV(RAND(),0,F$7)</f>
        <v>-0.233994179925482</v>
      </c>
      <c r="G22" s="53" t="n">
        <f aca="true">NORMINV(RAND(),0,G$7)</f>
        <v>-1.34583815522004</v>
      </c>
      <c r="H22" s="53" t="n">
        <f aca="true">NORMINV(RAND(),0,H$7)</f>
        <v>0.479527754457266</v>
      </c>
      <c r="I22" s="53" t="n">
        <f aca="false">SUM(B22:H22)</f>
        <v>0.785244740621892</v>
      </c>
      <c r="J22" s="53" t="n">
        <f aca="true">NORMINV(RAND(),0,J$7)</f>
        <v>0.637889372836552</v>
      </c>
      <c r="K22" s="53" t="n">
        <f aca="true">NORMINV(RAND(),0,K$7)</f>
        <v>0.113773142869296</v>
      </c>
      <c r="L22" s="53" t="n">
        <f aca="true">NORMINV(RAND(),0,L$7)</f>
        <v>-0.568183703742051</v>
      </c>
      <c r="M22" s="53" t="n">
        <f aca="true">NORMINV(RAND(),0,M$7)</f>
        <v>0.0471985646113018</v>
      </c>
      <c r="N22" s="53" t="n">
        <f aca="true">NORMINV(RAND(),0,N$7)</f>
        <v>-0.00900898310667077</v>
      </c>
      <c r="O22" s="53" t="n">
        <f aca="false">SUM(J22:N22)</f>
        <v>0.221668393468428</v>
      </c>
    </row>
    <row r="23" customFormat="false" ht="15" hidden="false" customHeight="false" outlineLevel="0" collapsed="false">
      <c r="A23" s="2" t="n">
        <v>15</v>
      </c>
      <c r="B23" s="53" t="n">
        <f aca="true">NORMINV(RAND(),0,B$7)</f>
        <v>3.0134786523026</v>
      </c>
      <c r="C23" s="53" t="n">
        <f aca="true">NORMINV(RAND(),0,C$7)</f>
        <v>0.259516691027542</v>
      </c>
      <c r="D23" s="53" t="n">
        <f aca="true">NORMINV(RAND(),0,D$7)</f>
        <v>0.0700780452770651</v>
      </c>
      <c r="E23" s="53" t="n">
        <f aca="true">NORMINV(RAND(),0,E$7)</f>
        <v>-0.625652123512694</v>
      </c>
      <c r="F23" s="53" t="n">
        <f aca="true">NORMINV(RAND(),0,F$7)</f>
        <v>-0.0822839743210299</v>
      </c>
      <c r="G23" s="53" t="n">
        <f aca="true">NORMINV(RAND(),0,G$7)</f>
        <v>0.183056835054436</v>
      </c>
      <c r="H23" s="53" t="n">
        <f aca="true">NORMINV(RAND(),0,H$7)</f>
        <v>0.266018832722235</v>
      </c>
      <c r="I23" s="53" t="n">
        <f aca="false">SUM(B23:H23)</f>
        <v>3.08421295855016</v>
      </c>
      <c r="J23" s="53" t="n">
        <f aca="true">NORMINV(RAND(),0,J$7)</f>
        <v>2.17939005680644</v>
      </c>
      <c r="K23" s="53" t="n">
        <f aca="true">NORMINV(RAND(),0,K$7)</f>
        <v>-0.870476000628577</v>
      </c>
      <c r="L23" s="53" t="n">
        <f aca="true">NORMINV(RAND(),0,L$7)</f>
        <v>-0.679489961343121</v>
      </c>
      <c r="M23" s="53" t="n">
        <f aca="true">NORMINV(RAND(),0,M$7)</f>
        <v>0.0141516242637379</v>
      </c>
      <c r="N23" s="53" t="n">
        <f aca="true">NORMINV(RAND(),0,N$7)</f>
        <v>0.670877442479505</v>
      </c>
      <c r="O23" s="53" t="n">
        <f aca="false">SUM(J23:N23)</f>
        <v>1.31445316157799</v>
      </c>
    </row>
    <row r="24" customFormat="false" ht="15" hidden="false" customHeight="false" outlineLevel="0" collapsed="false">
      <c r="A24" s="2" t="n">
        <v>16</v>
      </c>
      <c r="B24" s="53" t="n">
        <f aca="true">NORMINV(RAND(),0,B$7)</f>
        <v>-0.165299331992049</v>
      </c>
      <c r="C24" s="53" t="n">
        <f aca="true">NORMINV(RAND(),0,C$7)</f>
        <v>0.413325198481509</v>
      </c>
      <c r="D24" s="53" t="n">
        <f aca="true">NORMINV(RAND(),0,D$7)</f>
        <v>0.688739524759984</v>
      </c>
      <c r="E24" s="53" t="n">
        <f aca="true">NORMINV(RAND(),0,E$7)</f>
        <v>0.0731868630595235</v>
      </c>
      <c r="F24" s="53" t="n">
        <f aca="true">NORMINV(RAND(),0,F$7)</f>
        <v>-0.188992121994705</v>
      </c>
      <c r="G24" s="53" t="n">
        <f aca="true">NORMINV(RAND(),0,G$7)</f>
        <v>-0.430911320866784</v>
      </c>
      <c r="H24" s="53" t="n">
        <f aca="true">NORMINV(RAND(),0,H$7)</f>
        <v>0.359021607465581</v>
      </c>
      <c r="I24" s="53" t="n">
        <f aca="false">SUM(B24:H24)</f>
        <v>0.74907041891306</v>
      </c>
      <c r="J24" s="53" t="n">
        <f aca="true">NORMINV(RAND(),0,J$7)</f>
        <v>1.75970989393981</v>
      </c>
      <c r="K24" s="53" t="n">
        <f aca="true">NORMINV(RAND(),0,K$7)</f>
        <v>0.196983046685792</v>
      </c>
      <c r="L24" s="53" t="n">
        <f aca="true">NORMINV(RAND(),0,L$7)</f>
        <v>0.188836681493682</v>
      </c>
      <c r="M24" s="53" t="n">
        <f aca="true">NORMINV(RAND(),0,M$7)</f>
        <v>-0.138460175596963</v>
      </c>
      <c r="N24" s="53" t="n">
        <f aca="true">NORMINV(RAND(),0,N$7)</f>
        <v>-0.0295376368328163</v>
      </c>
      <c r="O24" s="53" t="n">
        <f aca="false">SUM(J24:N24)</f>
        <v>1.9775318096895</v>
      </c>
    </row>
    <row r="25" customFormat="false" ht="15" hidden="false" customHeight="false" outlineLevel="0" collapsed="false">
      <c r="A25" s="2" t="n">
        <v>17</v>
      </c>
      <c r="B25" s="53" t="n">
        <f aca="true">NORMINV(RAND(),0,B$7)</f>
        <v>-2.03677526919001</v>
      </c>
      <c r="C25" s="53" t="n">
        <f aca="true">NORMINV(RAND(),0,C$7)</f>
        <v>-0.796298932914775</v>
      </c>
      <c r="D25" s="53" t="n">
        <f aca="true">NORMINV(RAND(),0,D$7)</f>
        <v>1.12199367485466</v>
      </c>
      <c r="E25" s="53" t="n">
        <f aca="true">NORMINV(RAND(),0,E$7)</f>
        <v>0.307611735599589</v>
      </c>
      <c r="F25" s="53" t="n">
        <f aca="true">NORMINV(RAND(),0,F$7)</f>
        <v>-0.15807251157714</v>
      </c>
      <c r="G25" s="53" t="n">
        <f aca="true">NORMINV(RAND(),0,G$7)</f>
        <v>1.39002718005794</v>
      </c>
      <c r="H25" s="53" t="n">
        <f aca="true">NORMINV(RAND(),0,H$7)</f>
        <v>-0.0669654736083405</v>
      </c>
      <c r="I25" s="53" t="n">
        <f aca="false">SUM(B25:H25)</f>
        <v>-0.238479596778084</v>
      </c>
      <c r="J25" s="53" t="n">
        <f aca="true">NORMINV(RAND(),0,J$7)</f>
        <v>0.183517685721735</v>
      </c>
      <c r="K25" s="53" t="n">
        <f aca="true">NORMINV(RAND(),0,K$7)</f>
        <v>0.207212479479609</v>
      </c>
      <c r="L25" s="53" t="n">
        <f aca="true">NORMINV(RAND(),0,L$7)</f>
        <v>-0.320679030018754</v>
      </c>
      <c r="M25" s="53" t="n">
        <f aca="true">NORMINV(RAND(),0,M$7)</f>
        <v>-0.0292642138437724</v>
      </c>
      <c r="N25" s="53" t="n">
        <f aca="true">NORMINV(RAND(),0,N$7)</f>
        <v>-0.331784708054198</v>
      </c>
      <c r="O25" s="53" t="n">
        <f aca="false">SUM(J25:N25)</f>
        <v>-0.290997786715381</v>
      </c>
    </row>
    <row r="26" customFormat="false" ht="15" hidden="false" customHeight="false" outlineLevel="0" collapsed="false">
      <c r="A26" s="2" t="n">
        <v>18</v>
      </c>
      <c r="B26" s="53" t="n">
        <f aca="true">NORMINV(RAND(),0,B$7)</f>
        <v>1.57353970229958</v>
      </c>
      <c r="C26" s="53" t="n">
        <f aca="true">NORMINV(RAND(),0,C$7)</f>
        <v>-0.549615366029875</v>
      </c>
      <c r="D26" s="53" t="n">
        <f aca="true">NORMINV(RAND(),0,D$7)</f>
        <v>-0.645207516124353</v>
      </c>
      <c r="E26" s="53" t="n">
        <f aca="true">NORMINV(RAND(),0,E$7)</f>
        <v>0.12407378614889</v>
      </c>
      <c r="F26" s="53" t="n">
        <f aca="true">NORMINV(RAND(),0,F$7)</f>
        <v>-0.160376269571258</v>
      </c>
      <c r="G26" s="53" t="n">
        <f aca="true">NORMINV(RAND(),0,G$7)</f>
        <v>1.47456099381986</v>
      </c>
      <c r="H26" s="53" t="n">
        <f aca="true">NORMINV(RAND(),0,H$7)</f>
        <v>0.300619226962759</v>
      </c>
      <c r="I26" s="53" t="n">
        <f aca="false">SUM(B26:H26)</f>
        <v>2.11759455750561</v>
      </c>
      <c r="J26" s="53" t="n">
        <f aca="true">NORMINV(RAND(),0,J$7)</f>
        <v>-2.53451640472087</v>
      </c>
      <c r="K26" s="53" t="n">
        <f aca="true">NORMINV(RAND(),0,K$7)</f>
        <v>-0.452478560304668</v>
      </c>
      <c r="L26" s="53" t="n">
        <f aca="true">NORMINV(RAND(),0,L$7)</f>
        <v>0.454553629938299</v>
      </c>
      <c r="M26" s="53" t="n">
        <f aca="true">NORMINV(RAND(),0,M$7)</f>
        <v>0.0846594899135271</v>
      </c>
      <c r="N26" s="53" t="n">
        <f aca="true">NORMINV(RAND(),0,N$7)</f>
        <v>-0.0639253790529468</v>
      </c>
      <c r="O26" s="53" t="n">
        <f aca="false">SUM(J26:N26)</f>
        <v>-2.51170722422666</v>
      </c>
    </row>
    <row r="27" customFormat="false" ht="15" hidden="false" customHeight="false" outlineLevel="0" collapsed="false">
      <c r="A27" s="2" t="n">
        <v>19</v>
      </c>
      <c r="B27" s="53" t="n">
        <f aca="true">NORMINV(RAND(),0,B$7)</f>
        <v>0.00761868917367603</v>
      </c>
      <c r="C27" s="53" t="n">
        <f aca="true">NORMINV(RAND(),0,C$7)</f>
        <v>1.49365143105527</v>
      </c>
      <c r="D27" s="53" t="n">
        <f aca="true">NORMINV(RAND(),0,D$7)</f>
        <v>-2.32913062979175</v>
      </c>
      <c r="E27" s="53" t="n">
        <f aca="true">NORMINV(RAND(),0,E$7)</f>
        <v>0.588921064284789</v>
      </c>
      <c r="F27" s="53" t="n">
        <f aca="true">NORMINV(RAND(),0,F$7)</f>
        <v>-0.0909744428374584</v>
      </c>
      <c r="G27" s="53" t="n">
        <f aca="true">NORMINV(RAND(),0,G$7)</f>
        <v>0.351957755659822</v>
      </c>
      <c r="H27" s="53" t="n">
        <f aca="true">NORMINV(RAND(),0,H$7)</f>
        <v>0.618405295890178</v>
      </c>
      <c r="I27" s="53" t="n">
        <f aca="false">SUM(B27:H27)</f>
        <v>0.640449163434526</v>
      </c>
      <c r="J27" s="53" t="n">
        <f aca="true">NORMINV(RAND(),0,J$7)</f>
        <v>1.8934634881123</v>
      </c>
      <c r="K27" s="53" t="n">
        <f aca="true">NORMINV(RAND(),0,K$7)</f>
        <v>0.106162724152371</v>
      </c>
      <c r="L27" s="53" t="n">
        <f aca="true">NORMINV(RAND(),0,L$7)</f>
        <v>-0.303879008001812</v>
      </c>
      <c r="M27" s="53" t="n">
        <f aca="true">NORMINV(RAND(),0,M$7)</f>
        <v>0.0995200075016015</v>
      </c>
      <c r="N27" s="53" t="n">
        <f aca="true">NORMINV(RAND(),0,N$7)</f>
        <v>-0.0345259245600061</v>
      </c>
      <c r="O27" s="53" t="n">
        <f aca="false">SUM(J27:N27)</f>
        <v>1.76074128720446</v>
      </c>
    </row>
    <row r="28" customFormat="false" ht="15" hidden="false" customHeight="false" outlineLevel="0" collapsed="false">
      <c r="A28" s="2" t="n">
        <v>20</v>
      </c>
      <c r="B28" s="53" t="n">
        <f aca="true">NORMINV(RAND(),0,B$7)</f>
        <v>0.241581893132222</v>
      </c>
      <c r="C28" s="53" t="n">
        <f aca="true">NORMINV(RAND(),0,C$7)</f>
        <v>-1.40153391033106</v>
      </c>
      <c r="D28" s="53" t="n">
        <f aca="true">NORMINV(RAND(),0,D$7)</f>
        <v>-1.4724622848132</v>
      </c>
      <c r="E28" s="53" t="n">
        <f aca="true">NORMINV(RAND(),0,E$7)</f>
        <v>0.10587371090283</v>
      </c>
      <c r="F28" s="53" t="n">
        <f aca="true">NORMINV(RAND(),0,F$7)</f>
        <v>0.084068197964595</v>
      </c>
      <c r="G28" s="53" t="n">
        <f aca="true">NORMINV(RAND(),0,G$7)</f>
        <v>-2.03324433679395</v>
      </c>
      <c r="H28" s="53" t="n">
        <f aca="true">NORMINV(RAND(),0,H$7)</f>
        <v>0.494255278935512</v>
      </c>
      <c r="I28" s="53" t="n">
        <f aca="false">SUM(B28:H28)</f>
        <v>-3.98146145100305</v>
      </c>
      <c r="J28" s="53" t="n">
        <f aca="true">NORMINV(RAND(),0,J$7)</f>
        <v>0.374786563201643</v>
      </c>
      <c r="K28" s="53" t="n">
        <f aca="true">NORMINV(RAND(),0,K$7)</f>
        <v>0.435870244442664</v>
      </c>
      <c r="L28" s="53" t="n">
        <f aca="true">NORMINV(RAND(),0,L$7)</f>
        <v>0.704393447708722</v>
      </c>
      <c r="M28" s="53" t="n">
        <f aca="true">NORMINV(RAND(),0,M$7)</f>
        <v>0.0842685734980719</v>
      </c>
      <c r="N28" s="53" t="n">
        <f aca="true">NORMINV(RAND(),0,N$7)</f>
        <v>0.644829076284991</v>
      </c>
      <c r="O28" s="53" t="n">
        <f aca="false">SUM(J28:N28)</f>
        <v>2.24414790513609</v>
      </c>
    </row>
    <row r="29" customFormat="false" ht="15" hidden="false" customHeight="false" outlineLevel="0" collapsed="false">
      <c r="A29" s="2" t="n">
        <v>21</v>
      </c>
      <c r="B29" s="53" t="n">
        <f aca="true">NORMINV(RAND(),0,B$7)</f>
        <v>-2.53547238626799</v>
      </c>
      <c r="C29" s="53" t="n">
        <f aca="true">NORMINV(RAND(),0,C$7)</f>
        <v>-2.34995242035149</v>
      </c>
      <c r="D29" s="53" t="n">
        <f aca="true">NORMINV(RAND(),0,D$7)</f>
        <v>2.30205936080182</v>
      </c>
      <c r="E29" s="53" t="n">
        <f aca="true">NORMINV(RAND(),0,E$7)</f>
        <v>1.02742357560614</v>
      </c>
      <c r="F29" s="53" t="n">
        <f aca="true">NORMINV(RAND(),0,F$7)</f>
        <v>-0.238810263471762</v>
      </c>
      <c r="G29" s="53" t="n">
        <f aca="true">NORMINV(RAND(),0,G$7)</f>
        <v>-0.168892646903621</v>
      </c>
      <c r="H29" s="53" t="n">
        <f aca="true">NORMINV(RAND(),0,H$7)</f>
        <v>-0.641101969298565</v>
      </c>
      <c r="I29" s="53" t="n">
        <f aca="false">SUM(B29:H29)</f>
        <v>-2.60474674988546</v>
      </c>
      <c r="J29" s="53" t="n">
        <f aca="true">NORMINV(RAND(),0,J$7)</f>
        <v>-1.58980841784871</v>
      </c>
      <c r="K29" s="53" t="n">
        <f aca="true">NORMINV(RAND(),0,K$7)</f>
        <v>-0.782398059759016</v>
      </c>
      <c r="L29" s="53" t="n">
        <f aca="true">NORMINV(RAND(),0,L$7)</f>
        <v>0.12716533115443</v>
      </c>
      <c r="M29" s="53" t="n">
        <f aca="true">NORMINV(RAND(),0,M$7)</f>
        <v>0.0160267396445087</v>
      </c>
      <c r="N29" s="53" t="n">
        <f aca="true">NORMINV(RAND(),0,N$7)</f>
        <v>0.115497415652294</v>
      </c>
      <c r="O29" s="53" t="n">
        <f aca="false">SUM(J29:N29)</f>
        <v>-2.11351699115649</v>
      </c>
    </row>
    <row r="30" customFormat="false" ht="15" hidden="false" customHeight="false" outlineLevel="0" collapsed="false">
      <c r="A30" s="2" t="n">
        <v>22</v>
      </c>
      <c r="B30" s="53" t="n">
        <f aca="true">NORMINV(RAND(),0,B$7)</f>
        <v>0.510954341554524</v>
      </c>
      <c r="C30" s="53" t="n">
        <f aca="true">NORMINV(RAND(),0,C$7)</f>
        <v>1.40233360452525</v>
      </c>
      <c r="D30" s="53" t="n">
        <f aca="true">NORMINV(RAND(),0,D$7)</f>
        <v>2.6585829847168</v>
      </c>
      <c r="E30" s="53" t="n">
        <f aca="true">NORMINV(RAND(),0,E$7)</f>
        <v>0.0174940957764937</v>
      </c>
      <c r="F30" s="53" t="n">
        <f aca="true">NORMINV(RAND(),0,F$7)</f>
        <v>-0.403565873015703</v>
      </c>
      <c r="G30" s="53" t="n">
        <f aca="true">NORMINV(RAND(),0,G$7)</f>
        <v>-0.23858367467378</v>
      </c>
      <c r="H30" s="53" t="n">
        <f aca="true">NORMINV(RAND(),0,H$7)</f>
        <v>0.331228651479881</v>
      </c>
      <c r="I30" s="53" t="n">
        <f aca="false">SUM(B30:H30)</f>
        <v>4.27844413036347</v>
      </c>
      <c r="J30" s="53" t="n">
        <f aca="true">NORMINV(RAND(),0,J$7)</f>
        <v>-0.894177572498867</v>
      </c>
      <c r="K30" s="53" t="n">
        <f aca="true">NORMINV(RAND(),0,K$7)</f>
        <v>0.621312576739645</v>
      </c>
      <c r="L30" s="53" t="n">
        <f aca="true">NORMINV(RAND(),0,L$7)</f>
        <v>-0.161892321593995</v>
      </c>
      <c r="M30" s="53" t="n">
        <f aca="true">NORMINV(RAND(),0,M$7)</f>
        <v>-0.153119465057306</v>
      </c>
      <c r="N30" s="53" t="n">
        <f aca="true">NORMINV(RAND(),0,N$7)</f>
        <v>-0.0365019214538129</v>
      </c>
      <c r="O30" s="53" t="n">
        <f aca="false">SUM(J30:N30)</f>
        <v>-0.624378703864336</v>
      </c>
    </row>
    <row r="31" customFormat="false" ht="15" hidden="false" customHeight="false" outlineLevel="0" collapsed="false">
      <c r="A31" s="2" t="n">
        <v>23</v>
      </c>
      <c r="B31" s="53" t="n">
        <f aca="true">NORMINV(RAND(),0,B$7)</f>
        <v>-1.82625800959067</v>
      </c>
      <c r="C31" s="53" t="n">
        <f aca="true">NORMINV(RAND(),0,C$7)</f>
        <v>-1.63641682844408</v>
      </c>
      <c r="D31" s="53" t="n">
        <f aca="true">NORMINV(RAND(),0,D$7)</f>
        <v>0.842208288145229</v>
      </c>
      <c r="E31" s="53" t="n">
        <f aca="true">NORMINV(RAND(),0,E$7)</f>
        <v>0.431335267847038</v>
      </c>
      <c r="F31" s="53" t="n">
        <f aca="true">NORMINV(RAND(),0,F$7)</f>
        <v>0.156585755934088</v>
      </c>
      <c r="G31" s="53" t="n">
        <f aca="true">NORMINV(RAND(),0,G$7)</f>
        <v>-0.217798976991576</v>
      </c>
      <c r="H31" s="53" t="n">
        <f aca="true">NORMINV(RAND(),0,H$7)</f>
        <v>-0.0347483410829483</v>
      </c>
      <c r="I31" s="53" t="n">
        <f aca="false">SUM(B31:H31)</f>
        <v>-2.28509284418292</v>
      </c>
      <c r="J31" s="53" t="n">
        <f aca="true">NORMINV(RAND(),0,J$7)</f>
        <v>1.11715886025461</v>
      </c>
      <c r="K31" s="53" t="n">
        <f aca="true">NORMINV(RAND(),0,K$7)</f>
        <v>1.11829969447503</v>
      </c>
      <c r="L31" s="53" t="n">
        <f aca="true">NORMINV(RAND(),0,L$7)</f>
        <v>-0.249059991666197</v>
      </c>
      <c r="M31" s="53" t="n">
        <f aca="true">NORMINV(RAND(),0,M$7)</f>
        <v>-0.0185407650026043</v>
      </c>
      <c r="N31" s="53" t="n">
        <f aca="true">NORMINV(RAND(),0,N$7)</f>
        <v>0.00593125617430966</v>
      </c>
      <c r="O31" s="53" t="n">
        <f aca="false">SUM(J31:N31)</f>
        <v>1.97378905423515</v>
      </c>
    </row>
    <row r="32" customFormat="false" ht="15" hidden="false" customHeight="false" outlineLevel="0" collapsed="false">
      <c r="A32" s="2" t="n">
        <v>24</v>
      </c>
      <c r="B32" s="53" t="n">
        <f aca="true">NORMINV(RAND(),0,B$7)</f>
        <v>-0.799226674939077</v>
      </c>
      <c r="C32" s="53" t="n">
        <f aca="true">NORMINV(RAND(),0,C$7)</f>
        <v>-0.944656456235353</v>
      </c>
      <c r="D32" s="53" t="n">
        <f aca="true">NORMINV(RAND(),0,D$7)</f>
        <v>-0.566524691113214</v>
      </c>
      <c r="E32" s="53" t="n">
        <f aca="true">NORMINV(RAND(),0,E$7)</f>
        <v>-0.171350780456423</v>
      </c>
      <c r="F32" s="53" t="n">
        <f aca="true">NORMINV(RAND(),0,F$7)</f>
        <v>0.0559569361145809</v>
      </c>
      <c r="G32" s="53" t="n">
        <f aca="true">NORMINV(RAND(),0,G$7)</f>
        <v>2.01983951353596</v>
      </c>
      <c r="H32" s="53" t="n">
        <f aca="true">NORMINV(RAND(),0,H$7)</f>
        <v>-0.778270812838126</v>
      </c>
      <c r="I32" s="53" t="n">
        <f aca="false">SUM(B32:H32)</f>
        <v>-1.18423296593166</v>
      </c>
      <c r="J32" s="53" t="n">
        <f aca="true">NORMINV(RAND(),0,J$7)</f>
        <v>-0.896728675118188</v>
      </c>
      <c r="K32" s="53" t="n">
        <f aca="true">NORMINV(RAND(),0,K$7)</f>
        <v>-0.567716201990461</v>
      </c>
      <c r="L32" s="53" t="n">
        <f aca="true">NORMINV(RAND(),0,L$7)</f>
        <v>-0.129793850573181</v>
      </c>
      <c r="M32" s="53" t="n">
        <f aca="true">NORMINV(RAND(),0,M$7)</f>
        <v>0.466471193599829</v>
      </c>
      <c r="N32" s="53" t="n">
        <f aca="true">NORMINV(RAND(),0,N$7)</f>
        <v>-0.251455780029155</v>
      </c>
      <c r="O32" s="53" t="n">
        <f aca="false">SUM(J32:N32)</f>
        <v>-1.37922331411116</v>
      </c>
    </row>
    <row r="33" customFormat="false" ht="15" hidden="false" customHeight="false" outlineLevel="0" collapsed="false">
      <c r="A33" s="2" t="n">
        <v>25</v>
      </c>
      <c r="B33" s="53" t="n">
        <f aca="true">NORMINV(RAND(),0,B$7)</f>
        <v>0.870236603133518</v>
      </c>
      <c r="C33" s="53" t="n">
        <f aca="true">NORMINV(RAND(),0,C$7)</f>
        <v>0.28947925945444</v>
      </c>
      <c r="D33" s="53" t="n">
        <f aca="true">NORMINV(RAND(),0,D$7)</f>
        <v>0.0988635745635519</v>
      </c>
      <c r="E33" s="53" t="n">
        <f aca="true">NORMINV(RAND(),0,E$7)</f>
        <v>0.36186184770347</v>
      </c>
      <c r="F33" s="53" t="n">
        <f aca="true">NORMINV(RAND(),0,F$7)</f>
        <v>-0.216091450820183</v>
      </c>
      <c r="G33" s="53" t="n">
        <f aca="true">NORMINV(RAND(),0,G$7)</f>
        <v>-0.782113503139326</v>
      </c>
      <c r="H33" s="53" t="n">
        <f aca="true">NORMINV(RAND(),0,H$7)</f>
        <v>0.720045958933333</v>
      </c>
      <c r="I33" s="53" t="n">
        <f aca="false">SUM(B33:H33)</f>
        <v>1.3422822898288</v>
      </c>
      <c r="J33" s="53" t="n">
        <f aca="true">NORMINV(RAND(),0,J$7)</f>
        <v>1.42701843125885</v>
      </c>
      <c r="K33" s="53" t="n">
        <f aca="true">NORMINV(RAND(),0,K$7)</f>
        <v>1.01211181091484</v>
      </c>
      <c r="L33" s="53" t="n">
        <f aca="true">NORMINV(RAND(),0,L$7)</f>
        <v>-0.287162015266235</v>
      </c>
      <c r="M33" s="53" t="n">
        <f aca="true">NORMINV(RAND(),0,M$7)</f>
        <v>0.0652480514836325</v>
      </c>
      <c r="N33" s="53" t="n">
        <f aca="true">NORMINV(RAND(),0,N$7)</f>
        <v>-0.688444090038811</v>
      </c>
      <c r="O33" s="53" t="n">
        <f aca="false">SUM(J33:N33)</f>
        <v>1.52877218835228</v>
      </c>
    </row>
    <row r="34" customFormat="false" ht="15" hidden="false" customHeight="false" outlineLevel="0" collapsed="false">
      <c r="A34" s="2" t="n">
        <v>26</v>
      </c>
      <c r="B34" s="53" t="n">
        <f aca="true">NORMINV(RAND(),0,B$7)</f>
        <v>1.37254365060649</v>
      </c>
      <c r="C34" s="53" t="n">
        <f aca="true">NORMINV(RAND(),0,C$7)</f>
        <v>0.991666141675218</v>
      </c>
      <c r="D34" s="53" t="n">
        <f aca="true">NORMINV(RAND(),0,D$7)</f>
        <v>-0.483007164988268</v>
      </c>
      <c r="E34" s="53" t="n">
        <f aca="true">NORMINV(RAND(),0,E$7)</f>
        <v>0.113604338219354</v>
      </c>
      <c r="F34" s="53" t="n">
        <f aca="true">NORMINV(RAND(),0,F$7)</f>
        <v>0.11642878327773</v>
      </c>
      <c r="G34" s="53" t="n">
        <f aca="true">NORMINV(RAND(),0,G$7)</f>
        <v>-1.46016137685651</v>
      </c>
      <c r="H34" s="53" t="n">
        <f aca="true">NORMINV(RAND(),0,H$7)</f>
        <v>0.564111056828634</v>
      </c>
      <c r="I34" s="53" t="n">
        <f aca="false">SUM(B34:H34)</f>
        <v>1.21518542876265</v>
      </c>
      <c r="J34" s="53" t="n">
        <f aca="true">NORMINV(RAND(),0,J$7)</f>
        <v>0.970728227503578</v>
      </c>
      <c r="K34" s="53" t="n">
        <f aca="true">NORMINV(RAND(),0,K$7)</f>
        <v>0.0303771355450545</v>
      </c>
      <c r="L34" s="53" t="n">
        <f aca="true">NORMINV(RAND(),0,L$7)</f>
        <v>0.0403599868405856</v>
      </c>
      <c r="M34" s="53" t="n">
        <f aca="true">NORMINV(RAND(),0,M$7)</f>
        <v>-0.289222940661008</v>
      </c>
      <c r="N34" s="53" t="n">
        <f aca="true">NORMINV(RAND(),0,N$7)</f>
        <v>-0.319941732098509</v>
      </c>
      <c r="O34" s="53" t="n">
        <f aca="false">SUM(J34:N34)</f>
        <v>0.432300677129702</v>
      </c>
    </row>
    <row r="35" customFormat="false" ht="15" hidden="false" customHeight="false" outlineLevel="0" collapsed="false">
      <c r="A35" s="2" t="n">
        <v>27</v>
      </c>
      <c r="B35" s="53" t="n">
        <f aca="true">NORMINV(RAND(),0,B$7)</f>
        <v>-0.635602572601172</v>
      </c>
      <c r="C35" s="53" t="n">
        <f aca="true">NORMINV(RAND(),0,C$7)</f>
        <v>-0.567127889971799</v>
      </c>
      <c r="D35" s="53" t="n">
        <f aca="true">NORMINV(RAND(),0,D$7)</f>
        <v>1.34155330622479</v>
      </c>
      <c r="E35" s="53" t="n">
        <f aca="true">NORMINV(RAND(),0,E$7)</f>
        <v>0.377662432775127</v>
      </c>
      <c r="F35" s="53" t="n">
        <f aca="true">NORMINV(RAND(),0,F$7)</f>
        <v>0.414358750665998</v>
      </c>
      <c r="G35" s="53" t="n">
        <f aca="true">NORMINV(RAND(),0,G$7)</f>
        <v>0.960295993471393</v>
      </c>
      <c r="H35" s="53" t="n">
        <f aca="true">NORMINV(RAND(),0,H$7)</f>
        <v>-0.0700368173616807</v>
      </c>
      <c r="I35" s="53" t="n">
        <f aca="false">SUM(B35:H35)</f>
        <v>1.82110320320266</v>
      </c>
      <c r="J35" s="53" t="n">
        <f aca="true">NORMINV(RAND(),0,J$7)</f>
        <v>-2.27609433410434</v>
      </c>
      <c r="K35" s="53" t="n">
        <f aca="true">NORMINV(RAND(),0,K$7)</f>
        <v>0.621830965394932</v>
      </c>
      <c r="L35" s="53" t="n">
        <f aca="true">NORMINV(RAND(),0,L$7)</f>
        <v>1.19868082101344</v>
      </c>
      <c r="M35" s="53" t="n">
        <f aca="true">NORMINV(RAND(),0,M$7)</f>
        <v>-0.184640278381182</v>
      </c>
      <c r="N35" s="53" t="n">
        <f aca="true">NORMINV(RAND(),0,N$7)</f>
        <v>-1.07571669044041</v>
      </c>
      <c r="O35" s="53" t="n">
        <f aca="false">SUM(J35:N35)</f>
        <v>-1.71593951651756</v>
      </c>
    </row>
    <row r="36" customFormat="false" ht="15" hidden="false" customHeight="false" outlineLevel="0" collapsed="false">
      <c r="A36" s="2" t="n">
        <v>28</v>
      </c>
      <c r="B36" s="53" t="n">
        <f aca="true">NORMINV(RAND(),0,B$7)</f>
        <v>-0.565039086207064</v>
      </c>
      <c r="C36" s="53" t="n">
        <f aca="true">NORMINV(RAND(),0,C$7)</f>
        <v>-0.634418723598088</v>
      </c>
      <c r="D36" s="53" t="n">
        <f aca="true">NORMINV(RAND(),0,D$7)</f>
        <v>1.83344148397649</v>
      </c>
      <c r="E36" s="53" t="n">
        <f aca="true">NORMINV(RAND(),0,E$7)</f>
        <v>0.719975766376725</v>
      </c>
      <c r="F36" s="53" t="n">
        <f aca="true">NORMINV(RAND(),0,F$7)</f>
        <v>0.301022316684927</v>
      </c>
      <c r="G36" s="53" t="n">
        <f aca="true">NORMINV(RAND(),0,G$7)</f>
        <v>-0.420511243042338</v>
      </c>
      <c r="H36" s="53" t="n">
        <f aca="true">NORMINV(RAND(),0,H$7)</f>
        <v>-0.364748764400564</v>
      </c>
      <c r="I36" s="53" t="n">
        <f aca="false">SUM(B36:H36)</f>
        <v>0.869721749790088</v>
      </c>
      <c r="J36" s="53" t="n">
        <f aca="true">NORMINV(RAND(),0,J$7)</f>
        <v>-0.10821981257048</v>
      </c>
      <c r="K36" s="53" t="n">
        <f aca="true">NORMINV(RAND(),0,K$7)</f>
        <v>0.709924413053527</v>
      </c>
      <c r="L36" s="53" t="n">
        <f aca="true">NORMINV(RAND(),0,L$7)</f>
        <v>-0.0899155460715974</v>
      </c>
      <c r="M36" s="53" t="n">
        <f aca="true">NORMINV(RAND(),0,M$7)</f>
        <v>0.0865502921652895</v>
      </c>
      <c r="N36" s="53" t="n">
        <f aca="true">NORMINV(RAND(),0,N$7)</f>
        <v>0.160615135663197</v>
      </c>
      <c r="O36" s="53" t="n">
        <f aca="false">SUM(J36:N36)</f>
        <v>0.758954482239936</v>
      </c>
    </row>
    <row r="37" customFormat="false" ht="15" hidden="false" customHeight="false" outlineLevel="0" collapsed="false">
      <c r="A37" s="2" t="n">
        <v>29</v>
      </c>
      <c r="B37" s="53" t="n">
        <f aca="true">NORMINV(RAND(),0,B$7)</f>
        <v>0.447195692868289</v>
      </c>
      <c r="C37" s="53" t="n">
        <f aca="true">NORMINV(RAND(),0,C$7)</f>
        <v>0.727000129053442</v>
      </c>
      <c r="D37" s="53" t="n">
        <f aca="true">NORMINV(RAND(),0,D$7)</f>
        <v>-1.29281949316541</v>
      </c>
      <c r="E37" s="53" t="n">
        <f aca="true">NORMINV(RAND(),0,E$7)</f>
        <v>0.352936959598234</v>
      </c>
      <c r="F37" s="53" t="n">
        <f aca="true">NORMINV(RAND(),0,F$7)</f>
        <v>0.0584352782037867</v>
      </c>
      <c r="G37" s="53" t="n">
        <f aca="true">NORMINV(RAND(),0,G$7)</f>
        <v>0.497788038933792</v>
      </c>
      <c r="H37" s="53" t="n">
        <f aca="true">NORMINV(RAND(),0,H$7)</f>
        <v>0.332099137568645</v>
      </c>
      <c r="I37" s="53" t="n">
        <f aca="false">SUM(B37:H37)</f>
        <v>1.12263574306078</v>
      </c>
      <c r="J37" s="53" t="n">
        <f aca="true">NORMINV(RAND(),0,J$7)</f>
        <v>3.50341610561738</v>
      </c>
      <c r="K37" s="53" t="n">
        <f aca="true">NORMINV(RAND(),0,K$7)</f>
        <v>0.437922112301943</v>
      </c>
      <c r="L37" s="53" t="n">
        <f aca="true">NORMINV(RAND(),0,L$7)</f>
        <v>0.0492750138882971</v>
      </c>
      <c r="M37" s="53" t="n">
        <f aca="true">NORMINV(RAND(),0,M$7)</f>
        <v>0.193875475287354</v>
      </c>
      <c r="N37" s="53" t="n">
        <f aca="true">NORMINV(RAND(),0,N$7)</f>
        <v>0.60117614720162</v>
      </c>
      <c r="O37" s="53" t="n">
        <f aca="false">SUM(J37:N37)</f>
        <v>4.78566485429659</v>
      </c>
    </row>
    <row r="38" customFormat="false" ht="15" hidden="false" customHeight="false" outlineLevel="0" collapsed="false">
      <c r="A38" s="2" t="n">
        <v>30</v>
      </c>
      <c r="B38" s="53" t="n">
        <f aca="true">NORMINV(RAND(),0,B$7)</f>
        <v>2.08252974906856</v>
      </c>
      <c r="C38" s="53" t="n">
        <f aca="true">NORMINV(RAND(),0,C$7)</f>
        <v>-0.920596412991347</v>
      </c>
      <c r="D38" s="53" t="n">
        <f aca="true">NORMINV(RAND(),0,D$7)</f>
        <v>2.66425672355126</v>
      </c>
      <c r="E38" s="53" t="n">
        <f aca="true">NORMINV(RAND(),0,E$7)</f>
        <v>-0.0366735719117121</v>
      </c>
      <c r="F38" s="53" t="n">
        <f aca="true">NORMINV(RAND(),0,F$7)</f>
        <v>0.292758064954695</v>
      </c>
      <c r="G38" s="53" t="n">
        <f aca="true">NORMINV(RAND(),0,G$7)</f>
        <v>0.179547757597305</v>
      </c>
      <c r="H38" s="53" t="n">
        <f aca="true">NORMINV(RAND(),0,H$7)</f>
        <v>0.183824028984511</v>
      </c>
      <c r="I38" s="53" t="n">
        <f aca="false">SUM(B38:H38)</f>
        <v>4.44564633925328</v>
      </c>
      <c r="J38" s="53" t="n">
        <f aca="true">NORMINV(RAND(),0,J$7)</f>
        <v>-2.67070294742417</v>
      </c>
      <c r="K38" s="53" t="n">
        <f aca="true">NORMINV(RAND(),0,K$7)</f>
        <v>0.397520981415265</v>
      </c>
      <c r="L38" s="53" t="n">
        <f aca="true">NORMINV(RAND(),0,L$7)</f>
        <v>-0.910626417889518</v>
      </c>
      <c r="M38" s="53" t="n">
        <f aca="true">NORMINV(RAND(),0,M$7)</f>
        <v>-0.424341595368471</v>
      </c>
      <c r="N38" s="53" t="n">
        <f aca="true">NORMINV(RAND(),0,N$7)</f>
        <v>0.328870729852586</v>
      </c>
      <c r="O38" s="53" t="n">
        <f aca="false">SUM(J38:N38)</f>
        <v>-3.2792792494143</v>
      </c>
    </row>
    <row r="39" customFormat="false" ht="15" hidden="false" customHeight="false" outlineLevel="0" collapsed="false">
      <c r="A39" s="2" t="n">
        <v>31</v>
      </c>
      <c r="B39" s="53" t="n">
        <f aca="true">NORMINV(RAND(),0,B$7)</f>
        <v>-1.38395077699288</v>
      </c>
      <c r="C39" s="53" t="n">
        <f aca="true">NORMINV(RAND(),0,C$7)</f>
        <v>0.966474696882891</v>
      </c>
      <c r="D39" s="53" t="n">
        <f aca="true">NORMINV(RAND(),0,D$7)</f>
        <v>-0.224457605018798</v>
      </c>
      <c r="E39" s="53" t="n">
        <f aca="true">NORMINV(RAND(),0,E$7)</f>
        <v>-0.44548680831675</v>
      </c>
      <c r="F39" s="53" t="n">
        <f aca="true">NORMINV(RAND(),0,F$7)</f>
        <v>-0.0791242377791159</v>
      </c>
      <c r="G39" s="53" t="n">
        <f aca="true">NORMINV(RAND(),0,G$7)</f>
        <v>-1.75902577803385</v>
      </c>
      <c r="H39" s="53" t="n">
        <f aca="true">NORMINV(RAND(),0,H$7)</f>
        <v>-0.290360724742917</v>
      </c>
      <c r="I39" s="53" t="n">
        <f aca="false">SUM(B39:H39)</f>
        <v>-3.21593123400142</v>
      </c>
      <c r="J39" s="53" t="n">
        <f aca="true">NORMINV(RAND(),0,J$7)</f>
        <v>-3.05976392380846</v>
      </c>
      <c r="K39" s="53" t="n">
        <f aca="true">NORMINV(RAND(),0,K$7)</f>
        <v>0.531778988271743</v>
      </c>
      <c r="L39" s="53" t="n">
        <f aca="true">NORMINV(RAND(),0,L$7)</f>
        <v>0.0406316497161039</v>
      </c>
      <c r="M39" s="53" t="n">
        <f aca="true">NORMINV(RAND(),0,M$7)</f>
        <v>0.380933435164954</v>
      </c>
      <c r="N39" s="53" t="n">
        <f aca="true">NORMINV(RAND(),0,N$7)</f>
        <v>-0.300276921889112</v>
      </c>
      <c r="O39" s="53" t="n">
        <f aca="false">SUM(J39:N39)</f>
        <v>-2.40669677254477</v>
      </c>
    </row>
    <row r="40" customFormat="false" ht="15" hidden="false" customHeight="false" outlineLevel="0" collapsed="false">
      <c r="A40" s="2" t="n">
        <v>32</v>
      </c>
      <c r="B40" s="53" t="n">
        <f aca="true">NORMINV(RAND(),0,B$7)</f>
        <v>-0.523239469633944</v>
      </c>
      <c r="C40" s="53" t="n">
        <f aca="true">NORMINV(RAND(),0,C$7)</f>
        <v>-1.35996194976731</v>
      </c>
      <c r="D40" s="53" t="n">
        <f aca="true">NORMINV(RAND(),0,D$7)</f>
        <v>2.8896946342827</v>
      </c>
      <c r="E40" s="53" t="n">
        <f aca="true">NORMINV(RAND(),0,E$7)</f>
        <v>0.214564683981804</v>
      </c>
      <c r="F40" s="53" t="n">
        <f aca="true">NORMINV(RAND(),0,F$7)</f>
        <v>-0.493433469245432</v>
      </c>
      <c r="G40" s="53" t="n">
        <f aca="true">NORMINV(RAND(),0,G$7)</f>
        <v>-3.72665633554965</v>
      </c>
      <c r="H40" s="53" t="n">
        <f aca="true">NORMINV(RAND(),0,H$7)</f>
        <v>0.0313246851596757</v>
      </c>
      <c r="I40" s="53" t="n">
        <f aca="false">SUM(B40:H40)</f>
        <v>-2.96770722077215</v>
      </c>
      <c r="J40" s="53" t="n">
        <f aca="true">NORMINV(RAND(),0,J$7)</f>
        <v>-0.182231177151981</v>
      </c>
      <c r="K40" s="53" t="n">
        <f aca="true">NORMINV(RAND(),0,K$7)</f>
        <v>-0.251661000513759</v>
      </c>
      <c r="L40" s="53" t="n">
        <f aca="true">NORMINV(RAND(),0,L$7)</f>
        <v>-0.447188778567554</v>
      </c>
      <c r="M40" s="53" t="n">
        <f aca="true">NORMINV(RAND(),0,M$7)</f>
        <v>-0.296058461206001</v>
      </c>
      <c r="N40" s="53" t="n">
        <f aca="true">NORMINV(RAND(),0,N$7)</f>
        <v>0.716517864083398</v>
      </c>
      <c r="O40" s="53" t="n">
        <f aca="false">SUM(J40:N40)</f>
        <v>-0.460621553355898</v>
      </c>
    </row>
    <row r="41" customFormat="false" ht="15" hidden="false" customHeight="false" outlineLevel="0" collapsed="false">
      <c r="A41" s="2" t="n">
        <v>33</v>
      </c>
      <c r="B41" s="53" t="n">
        <f aca="true">NORMINV(RAND(),0,B$7)</f>
        <v>-1.55538619973788</v>
      </c>
      <c r="C41" s="53" t="n">
        <f aca="true">NORMINV(RAND(),0,C$7)</f>
        <v>-0.171391813676952</v>
      </c>
      <c r="D41" s="53" t="n">
        <f aca="true">NORMINV(RAND(),0,D$7)</f>
        <v>1.93064616685736</v>
      </c>
      <c r="E41" s="53" t="n">
        <f aca="true">NORMINV(RAND(),0,E$7)</f>
        <v>0.32297179115842</v>
      </c>
      <c r="F41" s="53" t="n">
        <f aca="true">NORMINV(RAND(),0,F$7)</f>
        <v>0.354508089905016</v>
      </c>
      <c r="G41" s="53" t="n">
        <f aca="true">NORMINV(RAND(),0,G$7)</f>
        <v>-0.715880782212418</v>
      </c>
      <c r="H41" s="53" t="n">
        <f aca="true">NORMINV(RAND(),0,H$7)</f>
        <v>0.593762152476471</v>
      </c>
      <c r="I41" s="53" t="n">
        <f aca="false">SUM(B41:H41)</f>
        <v>0.759229404770021</v>
      </c>
      <c r="J41" s="53" t="n">
        <f aca="true">NORMINV(RAND(),0,J$7)</f>
        <v>0.668227548998123</v>
      </c>
      <c r="K41" s="53" t="n">
        <f aca="true">NORMINV(RAND(),0,K$7)</f>
        <v>0.311626503149838</v>
      </c>
      <c r="L41" s="53" t="n">
        <f aca="true">NORMINV(RAND(),0,L$7)</f>
        <v>-0.600469135984973</v>
      </c>
      <c r="M41" s="53" t="n">
        <f aca="true">NORMINV(RAND(),0,M$7)</f>
        <v>0.109660990480739</v>
      </c>
      <c r="N41" s="53" t="n">
        <f aca="true">NORMINV(RAND(),0,N$7)</f>
        <v>-0.582732970506452</v>
      </c>
      <c r="O41" s="53" t="n">
        <f aca="false">SUM(J41:N41)</f>
        <v>-0.0936870638627244</v>
      </c>
    </row>
    <row r="42" customFormat="false" ht="15" hidden="false" customHeight="false" outlineLevel="0" collapsed="false">
      <c r="A42" s="2" t="n">
        <v>34</v>
      </c>
      <c r="B42" s="53" t="n">
        <f aca="true">NORMINV(RAND(),0,B$7)</f>
        <v>0.708566786703473</v>
      </c>
      <c r="C42" s="53" t="n">
        <f aca="true">NORMINV(RAND(),0,C$7)</f>
        <v>-0.0402314512579113</v>
      </c>
      <c r="D42" s="53" t="n">
        <f aca="true">NORMINV(RAND(),0,D$7)</f>
        <v>-0.162418690280501</v>
      </c>
      <c r="E42" s="53" t="n">
        <f aca="true">NORMINV(RAND(),0,E$7)</f>
        <v>-0.172368278655096</v>
      </c>
      <c r="F42" s="53" t="n">
        <f aca="true">NORMINV(RAND(),0,F$7)</f>
        <v>-0.142748919085557</v>
      </c>
      <c r="G42" s="53" t="n">
        <f aca="true">NORMINV(RAND(),0,G$7)</f>
        <v>0.705205672090318</v>
      </c>
      <c r="H42" s="53" t="n">
        <f aca="true">NORMINV(RAND(),0,H$7)</f>
        <v>-0.17812538515858</v>
      </c>
      <c r="I42" s="53" t="n">
        <f aca="false">SUM(B42:H42)</f>
        <v>0.717879734356145</v>
      </c>
      <c r="J42" s="53" t="n">
        <f aca="true">NORMINV(RAND(),0,J$7)</f>
        <v>0.677213951195491</v>
      </c>
      <c r="K42" s="53" t="n">
        <f aca="true">NORMINV(RAND(),0,K$7)</f>
        <v>0.108210332304899</v>
      </c>
      <c r="L42" s="53" t="n">
        <f aca="true">NORMINV(RAND(),0,L$7)</f>
        <v>-0.120368560365819</v>
      </c>
      <c r="M42" s="53" t="n">
        <f aca="true">NORMINV(RAND(),0,M$7)</f>
        <v>-0.0192126342900366</v>
      </c>
      <c r="N42" s="53" t="n">
        <f aca="true">NORMINV(RAND(),0,N$7)</f>
        <v>0.222797232630879</v>
      </c>
      <c r="O42" s="53" t="n">
        <f aca="false">SUM(J42:N42)</f>
        <v>0.868640321475413</v>
      </c>
    </row>
    <row r="43" customFormat="false" ht="15" hidden="false" customHeight="false" outlineLevel="0" collapsed="false">
      <c r="A43" s="2" t="n">
        <v>35</v>
      </c>
      <c r="B43" s="53" t="n">
        <f aca="true">NORMINV(RAND(),0,B$7)</f>
        <v>-3.66015133292745</v>
      </c>
      <c r="C43" s="53" t="n">
        <f aca="true">NORMINV(RAND(),0,C$7)</f>
        <v>1.13000564557976</v>
      </c>
      <c r="D43" s="53" t="n">
        <f aca="true">NORMINV(RAND(),0,D$7)</f>
        <v>-1.3167375397761</v>
      </c>
      <c r="E43" s="53" t="n">
        <f aca="true">NORMINV(RAND(),0,E$7)</f>
        <v>-0.365070910062678</v>
      </c>
      <c r="F43" s="53" t="n">
        <f aca="true">NORMINV(RAND(),0,F$7)</f>
        <v>-0.366529652502505</v>
      </c>
      <c r="G43" s="53" t="n">
        <f aca="true">NORMINV(RAND(),0,G$7)</f>
        <v>0.4251977303992</v>
      </c>
      <c r="H43" s="53" t="n">
        <f aca="true">NORMINV(RAND(),0,H$7)</f>
        <v>0.333941049635731</v>
      </c>
      <c r="I43" s="53" t="n">
        <f aca="false">SUM(B43:H43)</f>
        <v>-3.81934500965405</v>
      </c>
      <c r="J43" s="53" t="n">
        <f aca="true">NORMINV(RAND(),0,J$7)</f>
        <v>0.433897847704633</v>
      </c>
      <c r="K43" s="53" t="n">
        <f aca="true">NORMINV(RAND(),0,K$7)</f>
        <v>0.334841280353501</v>
      </c>
      <c r="L43" s="53" t="n">
        <f aca="true">NORMINV(RAND(),0,L$7)</f>
        <v>0.522176034410209</v>
      </c>
      <c r="M43" s="53" t="n">
        <f aca="true">NORMINV(RAND(),0,M$7)</f>
        <v>0.0517580661923093</v>
      </c>
      <c r="N43" s="53" t="n">
        <f aca="true">NORMINV(RAND(),0,N$7)</f>
        <v>-0.539465293425713</v>
      </c>
      <c r="O43" s="53" t="n">
        <f aca="false">SUM(J43:N43)</f>
        <v>0.80320793523494</v>
      </c>
    </row>
    <row r="44" customFormat="false" ht="15" hidden="false" customHeight="false" outlineLevel="0" collapsed="false">
      <c r="A44" s="2" t="n">
        <v>36</v>
      </c>
      <c r="B44" s="53" t="n">
        <f aca="true">NORMINV(RAND(),0,B$7)</f>
        <v>0.729943075922828</v>
      </c>
      <c r="C44" s="53" t="n">
        <f aca="true">NORMINV(RAND(),0,C$7)</f>
        <v>0.83161740710853</v>
      </c>
      <c r="D44" s="53" t="n">
        <f aca="true">NORMINV(RAND(),0,D$7)</f>
        <v>-2.63041224579263</v>
      </c>
      <c r="E44" s="53" t="n">
        <f aca="true">NORMINV(RAND(),0,E$7)</f>
        <v>-0.549164615431813</v>
      </c>
      <c r="F44" s="53" t="n">
        <f aca="true">NORMINV(RAND(),0,F$7)</f>
        <v>0.0556578834115455</v>
      </c>
      <c r="G44" s="53" t="n">
        <f aca="true">NORMINV(RAND(),0,G$7)</f>
        <v>-1.08124894541051</v>
      </c>
      <c r="H44" s="53" t="n">
        <f aca="true">NORMINV(RAND(),0,H$7)</f>
        <v>0.113602617071071</v>
      </c>
      <c r="I44" s="53" t="n">
        <f aca="false">SUM(B44:H44)</f>
        <v>-2.53000482312097</v>
      </c>
      <c r="J44" s="53" t="n">
        <f aca="true">NORMINV(RAND(),0,J$7)</f>
        <v>-2.89976983615234</v>
      </c>
      <c r="K44" s="53" t="n">
        <f aca="true">NORMINV(RAND(),0,K$7)</f>
        <v>1.02341720815747</v>
      </c>
      <c r="L44" s="53" t="n">
        <f aca="true">NORMINV(RAND(),0,L$7)</f>
        <v>-0.376061205953816</v>
      </c>
      <c r="M44" s="53" t="n">
        <f aca="true">NORMINV(RAND(),0,M$7)</f>
        <v>-0.114029440647479</v>
      </c>
      <c r="N44" s="53" t="n">
        <f aca="true">NORMINV(RAND(),0,N$7)</f>
        <v>0.157028582557209</v>
      </c>
      <c r="O44" s="53" t="n">
        <f aca="false">SUM(J44:N44)</f>
        <v>-2.20941469203895</v>
      </c>
    </row>
    <row r="45" customFormat="false" ht="15" hidden="false" customHeight="false" outlineLevel="0" collapsed="false">
      <c r="A45" s="2" t="n">
        <v>37</v>
      </c>
      <c r="B45" s="53" t="n">
        <f aca="true">NORMINV(RAND(),0,B$7)</f>
        <v>-0.0648028703083721</v>
      </c>
      <c r="C45" s="53" t="n">
        <f aca="true">NORMINV(RAND(),0,C$7)</f>
        <v>-0.322323390024927</v>
      </c>
      <c r="D45" s="53" t="n">
        <f aca="true">NORMINV(RAND(),0,D$7)</f>
        <v>0.0381157116146466</v>
      </c>
      <c r="E45" s="53" t="n">
        <f aca="true">NORMINV(RAND(),0,E$7)</f>
        <v>-0.0439875560301313</v>
      </c>
      <c r="F45" s="53" t="n">
        <f aca="true">NORMINV(RAND(),0,F$7)</f>
        <v>-0.0215290820074934</v>
      </c>
      <c r="G45" s="53" t="n">
        <f aca="true">NORMINV(RAND(),0,G$7)</f>
        <v>-0.575754529693476</v>
      </c>
      <c r="H45" s="53" t="n">
        <f aca="true">NORMINV(RAND(),0,H$7)</f>
        <v>0.344842229832296</v>
      </c>
      <c r="I45" s="53" t="n">
        <f aca="false">SUM(B45:H45)</f>
        <v>-0.645439486617457</v>
      </c>
      <c r="J45" s="53" t="n">
        <f aca="true">NORMINV(RAND(),0,J$7)</f>
        <v>1.12570730962517</v>
      </c>
      <c r="K45" s="53" t="n">
        <f aca="true">NORMINV(RAND(),0,K$7)</f>
        <v>0.806169230195233</v>
      </c>
      <c r="L45" s="53" t="n">
        <f aca="true">NORMINV(RAND(),0,L$7)</f>
        <v>-0.222708321157914</v>
      </c>
      <c r="M45" s="53" t="n">
        <f aca="true">NORMINV(RAND(),0,M$7)</f>
        <v>0.119338120743059</v>
      </c>
      <c r="N45" s="53" t="n">
        <f aca="true">NORMINV(RAND(),0,N$7)</f>
        <v>0.171659129894993</v>
      </c>
      <c r="O45" s="53" t="n">
        <f aca="false">SUM(J45:N45)</f>
        <v>2.00016546930054</v>
      </c>
    </row>
    <row r="46" customFormat="false" ht="15" hidden="false" customHeight="false" outlineLevel="0" collapsed="false">
      <c r="A46" s="2" t="n">
        <v>38</v>
      </c>
      <c r="B46" s="53" t="n">
        <f aca="true">NORMINV(RAND(),0,B$7)</f>
        <v>-0.927169054081443</v>
      </c>
      <c r="C46" s="53" t="n">
        <f aca="true">NORMINV(RAND(),0,C$7)</f>
        <v>0.994890346289809</v>
      </c>
      <c r="D46" s="53" t="n">
        <f aca="true">NORMINV(RAND(),0,D$7)</f>
        <v>-0.553630333246099</v>
      </c>
      <c r="E46" s="53" t="n">
        <f aca="true">NORMINV(RAND(),0,E$7)</f>
        <v>-0.282675056060027</v>
      </c>
      <c r="F46" s="53" t="n">
        <f aca="true">NORMINV(RAND(),0,F$7)</f>
        <v>0.251959609159997</v>
      </c>
      <c r="G46" s="53" t="n">
        <f aca="true">NORMINV(RAND(),0,G$7)</f>
        <v>0.836595786029379</v>
      </c>
      <c r="H46" s="53" t="n">
        <f aca="true">NORMINV(RAND(),0,H$7)</f>
        <v>-0.300777178679669</v>
      </c>
      <c r="I46" s="53" t="n">
        <f aca="false">SUM(B46:H46)</f>
        <v>0.0191941194119475</v>
      </c>
      <c r="J46" s="53" t="n">
        <f aca="true">NORMINV(RAND(),0,J$7)</f>
        <v>-2.21321656358601</v>
      </c>
      <c r="K46" s="53" t="n">
        <f aca="true">NORMINV(RAND(),0,K$7)</f>
        <v>-0.584240621986548</v>
      </c>
      <c r="L46" s="53" t="n">
        <f aca="true">NORMINV(RAND(),0,L$7)</f>
        <v>-0.110177972841704</v>
      </c>
      <c r="M46" s="53" t="n">
        <f aca="true">NORMINV(RAND(),0,M$7)</f>
        <v>-0.0387863010281991</v>
      </c>
      <c r="N46" s="53" t="n">
        <f aca="true">NORMINV(RAND(),0,N$7)</f>
        <v>0.0340581157944614</v>
      </c>
      <c r="O46" s="53" t="n">
        <f aca="false">SUM(J46:N46)</f>
        <v>-2.912363343648</v>
      </c>
    </row>
    <row r="47" customFormat="false" ht="15" hidden="false" customHeight="false" outlineLevel="0" collapsed="false">
      <c r="A47" s="2" t="n">
        <v>39</v>
      </c>
      <c r="B47" s="53" t="n">
        <f aca="true">NORMINV(RAND(),0,B$7)</f>
        <v>0.454691445285292</v>
      </c>
      <c r="C47" s="53" t="n">
        <f aca="true">NORMINV(RAND(),0,C$7)</f>
        <v>0.56501836008227</v>
      </c>
      <c r="D47" s="53" t="n">
        <f aca="true">NORMINV(RAND(),0,D$7)</f>
        <v>3.17101937303719</v>
      </c>
      <c r="E47" s="53" t="n">
        <f aca="true">NORMINV(RAND(),0,E$7)</f>
        <v>-0.405544623666341</v>
      </c>
      <c r="F47" s="53" t="n">
        <f aca="true">NORMINV(RAND(),0,F$7)</f>
        <v>-0.66365792755344</v>
      </c>
      <c r="G47" s="53" t="n">
        <f aca="true">NORMINV(RAND(),0,G$7)</f>
        <v>1.34498582223972</v>
      </c>
      <c r="H47" s="53" t="n">
        <f aca="true">NORMINV(RAND(),0,H$7)</f>
        <v>0.0494249097724826</v>
      </c>
      <c r="I47" s="53" t="n">
        <f aca="false">SUM(B47:H47)</f>
        <v>4.51593735919717</v>
      </c>
      <c r="J47" s="53" t="n">
        <f aca="true">NORMINV(RAND(),0,J$7)</f>
        <v>-1.73265468131407</v>
      </c>
      <c r="K47" s="53" t="n">
        <f aca="true">NORMINV(RAND(),0,K$7)</f>
        <v>0.281220450294152</v>
      </c>
      <c r="L47" s="53" t="n">
        <f aca="true">NORMINV(RAND(),0,L$7)</f>
        <v>-0.206026785723475</v>
      </c>
      <c r="M47" s="53" t="n">
        <f aca="true">NORMINV(RAND(),0,M$7)</f>
        <v>0.13626352842409</v>
      </c>
      <c r="N47" s="53" t="n">
        <f aca="true">NORMINV(RAND(),0,N$7)</f>
        <v>0.387544449634428</v>
      </c>
      <c r="O47" s="53" t="n">
        <f aca="false">SUM(J47:N47)</f>
        <v>-1.13365303868487</v>
      </c>
    </row>
    <row r="48" customFormat="false" ht="15" hidden="false" customHeight="false" outlineLevel="0" collapsed="false">
      <c r="A48" s="2" t="n">
        <v>40</v>
      </c>
      <c r="B48" s="53" t="n">
        <f aca="true">NORMINV(RAND(),0,B$7)</f>
        <v>0.100697857961243</v>
      </c>
      <c r="C48" s="53" t="n">
        <f aca="true">NORMINV(RAND(),0,C$7)</f>
        <v>-3.67741180383963</v>
      </c>
      <c r="D48" s="53" t="n">
        <f aca="true">NORMINV(RAND(),0,D$7)</f>
        <v>2.10324200889867</v>
      </c>
      <c r="E48" s="53" t="n">
        <f aca="true">NORMINV(RAND(),0,E$7)</f>
        <v>-0.743334885728599</v>
      </c>
      <c r="F48" s="53" t="n">
        <f aca="true">NORMINV(RAND(),0,F$7)</f>
        <v>0.38651438958247</v>
      </c>
      <c r="G48" s="53" t="n">
        <f aca="true">NORMINV(RAND(),0,G$7)</f>
        <v>0.199690144942472</v>
      </c>
      <c r="H48" s="53" t="n">
        <f aca="true">NORMINV(RAND(),0,H$7)</f>
        <v>0.028717266470298</v>
      </c>
      <c r="I48" s="53" t="n">
        <f aca="false">SUM(B48:H48)</f>
        <v>-1.60188502171308</v>
      </c>
      <c r="J48" s="53" t="n">
        <f aca="true">NORMINV(RAND(),0,J$7)</f>
        <v>0.829547994191044</v>
      </c>
      <c r="K48" s="53" t="n">
        <f aca="true">NORMINV(RAND(),0,K$7)</f>
        <v>0.372149619588772</v>
      </c>
      <c r="L48" s="53" t="n">
        <f aca="true">NORMINV(RAND(),0,L$7)</f>
        <v>0.12845156229165</v>
      </c>
      <c r="M48" s="53" t="n">
        <f aca="true">NORMINV(RAND(),0,M$7)</f>
        <v>-0.148218922994164</v>
      </c>
      <c r="N48" s="53" t="n">
        <f aca="true">NORMINV(RAND(),0,N$7)</f>
        <v>0.594342228683019</v>
      </c>
      <c r="O48" s="53" t="n">
        <f aca="false">SUM(J48:N48)</f>
        <v>1.77627248176032</v>
      </c>
    </row>
    <row r="49" customFormat="false" ht="15" hidden="false" customHeight="false" outlineLevel="0" collapsed="false">
      <c r="A49" s="2" t="n">
        <v>41</v>
      </c>
      <c r="B49" s="53" t="n">
        <f aca="true">NORMINV(RAND(),0,B$7)</f>
        <v>1.45881347320853</v>
      </c>
      <c r="C49" s="53" t="n">
        <f aca="true">NORMINV(RAND(),0,C$7)</f>
        <v>1.46961628405132</v>
      </c>
      <c r="D49" s="53" t="n">
        <f aca="true">NORMINV(RAND(),0,D$7)</f>
        <v>1.08890475808349</v>
      </c>
      <c r="E49" s="53" t="n">
        <f aca="true">NORMINV(RAND(),0,E$7)</f>
        <v>-0.168041073283471</v>
      </c>
      <c r="F49" s="53" t="n">
        <f aca="true">NORMINV(RAND(),0,F$7)</f>
        <v>-0.103245256871731</v>
      </c>
      <c r="G49" s="53" t="n">
        <f aca="true">NORMINV(RAND(),0,G$7)</f>
        <v>-0.118807934166918</v>
      </c>
      <c r="H49" s="53" t="n">
        <f aca="true">NORMINV(RAND(),0,H$7)</f>
        <v>0.162560705527709</v>
      </c>
      <c r="I49" s="53" t="n">
        <f aca="false">SUM(B49:H49)</f>
        <v>3.78980095654894</v>
      </c>
      <c r="J49" s="53" t="n">
        <f aca="true">NORMINV(RAND(),0,J$7)</f>
        <v>0.206535145097587</v>
      </c>
      <c r="K49" s="53" t="n">
        <f aca="true">NORMINV(RAND(),0,K$7)</f>
        <v>1.38652774159435</v>
      </c>
      <c r="L49" s="53" t="n">
        <f aca="true">NORMINV(RAND(),0,L$7)</f>
        <v>0.513280841919078</v>
      </c>
      <c r="M49" s="53" t="n">
        <f aca="true">NORMINV(RAND(),0,M$7)</f>
        <v>0.16891508734986</v>
      </c>
      <c r="N49" s="53" t="n">
        <f aca="true">NORMINV(RAND(),0,N$7)</f>
        <v>-0.239871498024949</v>
      </c>
      <c r="O49" s="53" t="n">
        <f aca="false">SUM(J49:N49)</f>
        <v>2.03538731793593</v>
      </c>
    </row>
    <row r="50" customFormat="false" ht="15" hidden="false" customHeight="false" outlineLevel="0" collapsed="false">
      <c r="A50" s="2" t="n">
        <v>42</v>
      </c>
      <c r="B50" s="53" t="n">
        <f aca="true">NORMINV(RAND(),0,B$7)</f>
        <v>2.72062345015751</v>
      </c>
      <c r="C50" s="53" t="n">
        <f aca="true">NORMINV(RAND(),0,C$7)</f>
        <v>-0.0975358914234509</v>
      </c>
      <c r="D50" s="53" t="n">
        <f aca="true">NORMINV(RAND(),0,D$7)</f>
        <v>-1.42336190537755</v>
      </c>
      <c r="E50" s="53" t="n">
        <f aca="true">NORMINV(RAND(),0,E$7)</f>
        <v>-0.264482210277746</v>
      </c>
      <c r="F50" s="53" t="n">
        <f aca="true">NORMINV(RAND(),0,F$7)</f>
        <v>0.515660055213992</v>
      </c>
      <c r="G50" s="53" t="n">
        <f aca="true">NORMINV(RAND(),0,G$7)</f>
        <v>0.221217371278467</v>
      </c>
      <c r="H50" s="53" t="n">
        <f aca="true">NORMINV(RAND(),0,H$7)</f>
        <v>-0.147925676888615</v>
      </c>
      <c r="I50" s="53" t="n">
        <f aca="false">SUM(B50:H50)</f>
        <v>1.5241951926826</v>
      </c>
      <c r="J50" s="53" t="n">
        <f aca="true">NORMINV(RAND(),0,J$7)</f>
        <v>0.555792659509898</v>
      </c>
      <c r="K50" s="53" t="n">
        <f aca="true">NORMINV(RAND(),0,K$7)</f>
        <v>0.706662357853883</v>
      </c>
      <c r="L50" s="53" t="n">
        <f aca="true">NORMINV(RAND(),0,L$7)</f>
        <v>0.223909642189902</v>
      </c>
      <c r="M50" s="53" t="n">
        <f aca="true">NORMINV(RAND(),0,M$7)</f>
        <v>-0.253003319152206</v>
      </c>
      <c r="N50" s="53" t="n">
        <f aca="true">NORMINV(RAND(),0,N$7)</f>
        <v>-0.260719312285892</v>
      </c>
      <c r="O50" s="53" t="n">
        <f aca="false">SUM(J50:N50)</f>
        <v>0.972642028115586</v>
      </c>
    </row>
    <row r="51" customFormat="false" ht="15" hidden="false" customHeight="false" outlineLevel="0" collapsed="false">
      <c r="A51" s="2" t="n">
        <v>43</v>
      </c>
      <c r="B51" s="53" t="n">
        <f aca="true">NORMINV(RAND(),0,B$7)</f>
        <v>0.253953070872185</v>
      </c>
      <c r="C51" s="53" t="n">
        <f aca="true">NORMINV(RAND(),0,C$7)</f>
        <v>-2.12812203439567</v>
      </c>
      <c r="D51" s="53" t="n">
        <f aca="true">NORMINV(RAND(),0,D$7)</f>
        <v>-0.282479216291923</v>
      </c>
      <c r="E51" s="53" t="n">
        <f aca="true">NORMINV(RAND(),0,E$7)</f>
        <v>0.263054314592956</v>
      </c>
      <c r="F51" s="53" t="n">
        <f aca="true">NORMINV(RAND(),0,F$7)</f>
        <v>0.0172167954502924</v>
      </c>
      <c r="G51" s="53" t="n">
        <f aca="true">NORMINV(RAND(),0,G$7)</f>
        <v>-1.58306544499885</v>
      </c>
      <c r="H51" s="53" t="n">
        <f aca="true">NORMINV(RAND(),0,H$7)</f>
        <v>0.167593893297348</v>
      </c>
      <c r="I51" s="53" t="n">
        <f aca="false">SUM(B51:H51)</f>
        <v>-3.29184862147366</v>
      </c>
      <c r="J51" s="53" t="n">
        <f aca="true">NORMINV(RAND(),0,J$7)</f>
        <v>-0.460476790751965</v>
      </c>
      <c r="K51" s="53" t="n">
        <f aca="true">NORMINV(RAND(),0,K$7)</f>
        <v>-0.518193111761762</v>
      </c>
      <c r="L51" s="53" t="n">
        <f aca="true">NORMINV(RAND(),0,L$7)</f>
        <v>-0.168314428361869</v>
      </c>
      <c r="M51" s="53" t="n">
        <f aca="true">NORMINV(RAND(),0,M$7)</f>
        <v>0.106760322067249</v>
      </c>
      <c r="N51" s="53" t="n">
        <f aca="true">NORMINV(RAND(),0,N$7)</f>
        <v>-0.633269651575569</v>
      </c>
      <c r="O51" s="53" t="n">
        <f aca="false">SUM(J51:N51)</f>
        <v>-1.67349366038392</v>
      </c>
    </row>
    <row r="52" customFormat="false" ht="15" hidden="false" customHeight="false" outlineLevel="0" collapsed="false">
      <c r="A52" s="2" t="n">
        <v>44</v>
      </c>
      <c r="B52" s="53" t="n">
        <f aca="true">NORMINV(RAND(),0,B$7)</f>
        <v>2.05775513600276</v>
      </c>
      <c r="C52" s="53" t="n">
        <f aca="true">NORMINV(RAND(),0,C$7)</f>
        <v>-2.67749861731812</v>
      </c>
      <c r="D52" s="53" t="n">
        <f aca="true">NORMINV(RAND(),0,D$7)</f>
        <v>0.0050520478403722</v>
      </c>
      <c r="E52" s="53" t="n">
        <f aca="true">NORMINV(RAND(),0,E$7)</f>
        <v>0.0841134105713183</v>
      </c>
      <c r="F52" s="53" t="n">
        <f aca="true">NORMINV(RAND(),0,F$7)</f>
        <v>-0.182722369628516</v>
      </c>
      <c r="G52" s="53" t="n">
        <f aca="true">NORMINV(RAND(),0,G$7)</f>
        <v>-0.478773155290121</v>
      </c>
      <c r="H52" s="53" t="n">
        <f aca="true">NORMINV(RAND(),0,H$7)</f>
        <v>0.289873339055744</v>
      </c>
      <c r="I52" s="53" t="n">
        <f aca="false">SUM(B52:H52)</f>
        <v>-0.902200208766562</v>
      </c>
      <c r="J52" s="53" t="n">
        <f aca="true">NORMINV(RAND(),0,J$7)</f>
        <v>3.32810540232921</v>
      </c>
      <c r="K52" s="53" t="n">
        <f aca="true">NORMINV(RAND(),0,K$7)</f>
        <v>0.635977288897805</v>
      </c>
      <c r="L52" s="53" t="n">
        <f aca="true">NORMINV(RAND(),0,L$7)</f>
        <v>-0.200956791161512</v>
      </c>
      <c r="M52" s="53" t="n">
        <f aca="true">NORMINV(RAND(),0,M$7)</f>
        <v>0.272049513026888</v>
      </c>
      <c r="N52" s="53" t="n">
        <f aca="true">NORMINV(RAND(),0,N$7)</f>
        <v>0.0343794271847461</v>
      </c>
      <c r="O52" s="53" t="n">
        <f aca="false">SUM(J52:N52)</f>
        <v>4.06955484027714</v>
      </c>
    </row>
    <row r="53" customFormat="false" ht="15" hidden="false" customHeight="false" outlineLevel="0" collapsed="false">
      <c r="A53" s="2" t="n">
        <v>45</v>
      </c>
      <c r="B53" s="53" t="n">
        <f aca="true">NORMINV(RAND(),0,B$7)</f>
        <v>0.606368770080471</v>
      </c>
      <c r="C53" s="53" t="n">
        <f aca="true">NORMINV(RAND(),0,C$7)</f>
        <v>-3.20780406723152</v>
      </c>
      <c r="D53" s="53" t="n">
        <f aca="true">NORMINV(RAND(),0,D$7)</f>
        <v>2.69482813881747</v>
      </c>
      <c r="E53" s="53" t="n">
        <f aca="true">NORMINV(RAND(),0,E$7)</f>
        <v>-0.290691178525407</v>
      </c>
      <c r="F53" s="53" t="n">
        <f aca="true">NORMINV(RAND(),0,F$7)</f>
        <v>-0.11521512531499</v>
      </c>
      <c r="G53" s="53" t="n">
        <f aca="true">NORMINV(RAND(),0,G$7)</f>
        <v>-2.14660835864182</v>
      </c>
      <c r="H53" s="53" t="n">
        <f aca="true">NORMINV(RAND(),0,H$7)</f>
        <v>0.299241070793508</v>
      </c>
      <c r="I53" s="53" t="n">
        <f aca="false">SUM(B53:H53)</f>
        <v>-2.15988075002228</v>
      </c>
      <c r="J53" s="53" t="n">
        <f aca="true">NORMINV(RAND(),0,J$7)</f>
        <v>2.17159960996945</v>
      </c>
      <c r="K53" s="53" t="n">
        <f aca="true">NORMINV(RAND(),0,K$7)</f>
        <v>0.41578390779564</v>
      </c>
      <c r="L53" s="53" t="n">
        <f aca="true">NORMINV(RAND(),0,L$7)</f>
        <v>0.500990508002639</v>
      </c>
      <c r="M53" s="53" t="n">
        <f aca="true">NORMINV(RAND(),0,M$7)</f>
        <v>0.0595435513713226</v>
      </c>
      <c r="N53" s="53" t="n">
        <f aca="true">NORMINV(RAND(),0,N$7)</f>
        <v>-0.245400860945674</v>
      </c>
      <c r="O53" s="53" t="n">
        <f aca="false">SUM(J53:N53)</f>
        <v>2.90251671619338</v>
      </c>
    </row>
    <row r="54" customFormat="false" ht="15" hidden="false" customHeight="false" outlineLevel="0" collapsed="false">
      <c r="A54" s="2" t="n">
        <v>46</v>
      </c>
      <c r="B54" s="53" t="n">
        <f aca="true">NORMINV(RAND(),0,B$7)</f>
        <v>-0.359203233103823</v>
      </c>
      <c r="C54" s="53" t="n">
        <f aca="true">NORMINV(RAND(),0,C$7)</f>
        <v>1.92254201943931</v>
      </c>
      <c r="D54" s="53" t="n">
        <f aca="true">NORMINV(RAND(),0,D$7)</f>
        <v>0.179461199614869</v>
      </c>
      <c r="E54" s="53" t="n">
        <f aca="true">NORMINV(RAND(),0,E$7)</f>
        <v>-0.215140395005879</v>
      </c>
      <c r="F54" s="53" t="n">
        <f aca="true">NORMINV(RAND(),0,F$7)</f>
        <v>0.0182570122050492</v>
      </c>
      <c r="G54" s="53" t="n">
        <f aca="true">NORMINV(RAND(),0,G$7)</f>
        <v>1.10744697687762</v>
      </c>
      <c r="H54" s="53" t="n">
        <f aca="true">NORMINV(RAND(),0,H$7)</f>
        <v>0.507130005476336</v>
      </c>
      <c r="I54" s="53" t="n">
        <f aca="false">SUM(B54:H54)</f>
        <v>3.16049358550348</v>
      </c>
      <c r="J54" s="53" t="n">
        <f aca="true">NORMINV(RAND(),0,J$7)</f>
        <v>-1.22672317673195</v>
      </c>
      <c r="K54" s="53" t="n">
        <f aca="true">NORMINV(RAND(),0,K$7)</f>
        <v>0.322553248814427</v>
      </c>
      <c r="L54" s="53" t="n">
        <f aca="true">NORMINV(RAND(),0,L$7)</f>
        <v>0.172509358191595</v>
      </c>
      <c r="M54" s="53" t="n">
        <f aca="true">NORMINV(RAND(),0,M$7)</f>
        <v>0.08580397073307</v>
      </c>
      <c r="N54" s="53" t="n">
        <f aca="true">NORMINV(RAND(),0,N$7)</f>
        <v>0.425255197565125</v>
      </c>
      <c r="O54" s="53" t="n">
        <f aca="false">SUM(J54:N54)</f>
        <v>-0.220601401427734</v>
      </c>
    </row>
    <row r="55" customFormat="false" ht="15" hidden="false" customHeight="false" outlineLevel="0" collapsed="false">
      <c r="A55" s="2" t="n">
        <v>47</v>
      </c>
      <c r="B55" s="53" t="n">
        <f aca="true">NORMINV(RAND(),0,B$7)</f>
        <v>0.345786163219109</v>
      </c>
      <c r="C55" s="53" t="n">
        <f aca="true">NORMINV(RAND(),0,C$7)</f>
        <v>-3.22795088971186</v>
      </c>
      <c r="D55" s="53" t="n">
        <f aca="true">NORMINV(RAND(),0,D$7)</f>
        <v>-1.74334514645466</v>
      </c>
      <c r="E55" s="53" t="n">
        <f aca="true">NORMINV(RAND(),0,E$7)</f>
        <v>-0.0458963105662933</v>
      </c>
      <c r="F55" s="53" t="n">
        <f aca="true">NORMINV(RAND(),0,F$7)</f>
        <v>-0.294320478595324</v>
      </c>
      <c r="G55" s="53" t="n">
        <f aca="true">NORMINV(RAND(),0,G$7)</f>
        <v>1.50848911314462</v>
      </c>
      <c r="H55" s="53" t="n">
        <f aca="true">NORMINV(RAND(),0,H$7)</f>
        <v>-0.0380297798619009</v>
      </c>
      <c r="I55" s="53" t="n">
        <f aca="false">SUM(B55:H55)</f>
        <v>-3.4952673288263</v>
      </c>
      <c r="J55" s="53" t="n">
        <f aca="true">NORMINV(RAND(),0,J$7)</f>
        <v>-0.139827808475732</v>
      </c>
      <c r="K55" s="53" t="n">
        <f aca="true">NORMINV(RAND(),0,K$7)</f>
        <v>-0.96319632925864</v>
      </c>
      <c r="L55" s="53" t="n">
        <f aca="true">NORMINV(RAND(),0,L$7)</f>
        <v>-0.323770844935445</v>
      </c>
      <c r="M55" s="53" t="n">
        <f aca="true">NORMINV(RAND(),0,M$7)</f>
        <v>0.0953740795622502</v>
      </c>
      <c r="N55" s="53" t="n">
        <f aca="true">NORMINV(RAND(),0,N$7)</f>
        <v>0.218815729236122</v>
      </c>
      <c r="O55" s="53" t="n">
        <f aca="false">SUM(J55:N55)</f>
        <v>-1.11260517387145</v>
      </c>
    </row>
    <row r="56" customFormat="false" ht="15" hidden="false" customHeight="false" outlineLevel="0" collapsed="false">
      <c r="A56" s="2" t="n">
        <v>48</v>
      </c>
      <c r="B56" s="53" t="n">
        <f aca="true">NORMINV(RAND(),0,B$7)</f>
        <v>1.39386104572512</v>
      </c>
      <c r="C56" s="53" t="n">
        <f aca="true">NORMINV(RAND(),0,C$7)</f>
        <v>1.86776794173237</v>
      </c>
      <c r="D56" s="53" t="n">
        <f aca="true">NORMINV(RAND(),0,D$7)</f>
        <v>-2.0307935669538</v>
      </c>
      <c r="E56" s="53" t="n">
        <f aca="true">NORMINV(RAND(),0,E$7)</f>
        <v>0.163126504508282</v>
      </c>
      <c r="F56" s="53" t="n">
        <f aca="true">NORMINV(RAND(),0,F$7)</f>
        <v>0.0088791787740712</v>
      </c>
      <c r="G56" s="53" t="n">
        <f aca="true">NORMINV(RAND(),0,G$7)</f>
        <v>1.89287702281677</v>
      </c>
      <c r="H56" s="53" t="n">
        <f aca="true">NORMINV(RAND(),0,H$7)</f>
        <v>0.173729747647211</v>
      </c>
      <c r="I56" s="53" t="n">
        <f aca="false">SUM(B56:H56)</f>
        <v>3.46944787425001</v>
      </c>
      <c r="J56" s="53" t="n">
        <f aca="true">NORMINV(RAND(),0,J$7)</f>
        <v>-0.0455557113735524</v>
      </c>
      <c r="K56" s="53" t="n">
        <f aca="true">NORMINV(RAND(),0,K$7)</f>
        <v>-0.944991349659407</v>
      </c>
      <c r="L56" s="53" t="n">
        <f aca="true">NORMINV(RAND(),0,L$7)</f>
        <v>-0.00980817635980193</v>
      </c>
      <c r="M56" s="53" t="n">
        <f aca="true">NORMINV(RAND(),0,M$7)</f>
        <v>0.0896916111709066</v>
      </c>
      <c r="N56" s="53" t="n">
        <f aca="true">NORMINV(RAND(),0,N$7)</f>
        <v>-0.276590352131681</v>
      </c>
      <c r="O56" s="53" t="n">
        <f aca="false">SUM(J56:N56)</f>
        <v>-1.18725397835354</v>
      </c>
    </row>
    <row r="57" customFormat="false" ht="15" hidden="false" customHeight="false" outlineLevel="0" collapsed="false">
      <c r="A57" s="2" t="n">
        <v>49</v>
      </c>
      <c r="B57" s="53" t="n">
        <f aca="true">NORMINV(RAND(),0,B$7)</f>
        <v>1.49140743259049</v>
      </c>
      <c r="C57" s="53" t="n">
        <f aca="true">NORMINV(RAND(),0,C$7)</f>
        <v>0.867027680792735</v>
      </c>
      <c r="D57" s="53" t="n">
        <f aca="true">NORMINV(RAND(),0,D$7)</f>
        <v>-2.8311116939015</v>
      </c>
      <c r="E57" s="53" t="n">
        <f aca="true">NORMINV(RAND(),0,E$7)</f>
        <v>0.285598016287425</v>
      </c>
      <c r="F57" s="53" t="n">
        <f aca="true">NORMINV(RAND(),0,F$7)</f>
        <v>0.341457048902933</v>
      </c>
      <c r="G57" s="53" t="n">
        <f aca="true">NORMINV(RAND(),0,G$7)</f>
        <v>-0.350561823495946</v>
      </c>
      <c r="H57" s="53" t="n">
        <f aca="true">NORMINV(RAND(),0,H$7)</f>
        <v>0.240657940306276</v>
      </c>
      <c r="I57" s="53" t="n">
        <f aca="false">SUM(B57:H57)</f>
        <v>0.044474601482418</v>
      </c>
      <c r="J57" s="53" t="n">
        <f aca="true">NORMINV(RAND(),0,J$7)</f>
        <v>-0.0280526856273846</v>
      </c>
      <c r="K57" s="53" t="n">
        <f aca="true">NORMINV(RAND(),0,K$7)</f>
        <v>-0.144268686404812</v>
      </c>
      <c r="L57" s="53" t="n">
        <f aca="true">NORMINV(RAND(),0,L$7)</f>
        <v>0.412537506322383</v>
      </c>
      <c r="M57" s="53" t="n">
        <f aca="true">NORMINV(RAND(),0,M$7)</f>
        <v>-0.136447692073457</v>
      </c>
      <c r="N57" s="53" t="n">
        <f aca="true">NORMINV(RAND(),0,N$7)</f>
        <v>-0.108823013558941</v>
      </c>
      <c r="O57" s="53" t="n">
        <f aca="false">SUM(J57:N57)</f>
        <v>-0.00505457134221084</v>
      </c>
    </row>
    <row r="58" customFormat="false" ht="15" hidden="false" customHeight="false" outlineLevel="0" collapsed="false">
      <c r="A58" s="2" t="n">
        <v>50</v>
      </c>
      <c r="B58" s="53" t="n">
        <f aca="true">NORMINV(RAND(),0,B$7)</f>
        <v>-2.13051482949522</v>
      </c>
      <c r="C58" s="53" t="n">
        <f aca="true">NORMINV(RAND(),0,C$7)</f>
        <v>-1.67999087820066</v>
      </c>
      <c r="D58" s="53" t="n">
        <f aca="true">NORMINV(RAND(),0,D$7)</f>
        <v>-0.463744477867297</v>
      </c>
      <c r="E58" s="53" t="n">
        <f aca="true">NORMINV(RAND(),0,E$7)</f>
        <v>0.0879722196279751</v>
      </c>
      <c r="F58" s="53" t="n">
        <f aca="true">NORMINV(RAND(),0,F$7)</f>
        <v>-0.242280974800878</v>
      </c>
      <c r="G58" s="53" t="n">
        <f aca="true">NORMINV(RAND(),0,G$7)</f>
        <v>0.339297234730376</v>
      </c>
      <c r="H58" s="53" t="n">
        <f aca="true">NORMINV(RAND(),0,H$7)</f>
        <v>0.0191602680771126</v>
      </c>
      <c r="I58" s="53" t="n">
        <f aca="false">SUM(B58:H58)</f>
        <v>-4.0701014379286</v>
      </c>
      <c r="J58" s="53" t="n">
        <f aca="true">NORMINV(RAND(),0,J$7)</f>
        <v>4.58733217591898</v>
      </c>
      <c r="K58" s="53" t="n">
        <f aca="true">NORMINV(RAND(),0,K$7)</f>
        <v>-0.709717751582459</v>
      </c>
      <c r="L58" s="53" t="n">
        <f aca="true">NORMINV(RAND(),0,L$7)</f>
        <v>-0.433158819764025</v>
      </c>
      <c r="M58" s="53" t="n">
        <f aca="true">NORMINV(RAND(),0,M$7)</f>
        <v>0.2593350851633</v>
      </c>
      <c r="N58" s="53" t="n">
        <f aca="true">NORMINV(RAND(),0,N$7)</f>
        <v>-0.55276296045619</v>
      </c>
      <c r="O58" s="53" t="n">
        <f aca="false">SUM(J58:N58)</f>
        <v>3.15102772927961</v>
      </c>
    </row>
    <row r="59" customFormat="false" ht="15" hidden="false" customHeight="false" outlineLevel="0" collapsed="false">
      <c r="A59" s="2" t="n">
        <v>51</v>
      </c>
      <c r="B59" s="53" t="n">
        <f aca="true">NORMINV(RAND(),0,B$7)</f>
        <v>1.06281863111551</v>
      </c>
      <c r="C59" s="53" t="n">
        <f aca="true">NORMINV(RAND(),0,C$7)</f>
        <v>1.18178488248178</v>
      </c>
      <c r="D59" s="53" t="n">
        <f aca="true">NORMINV(RAND(),0,D$7)</f>
        <v>1.59641608171437</v>
      </c>
      <c r="E59" s="53" t="n">
        <f aca="true">NORMINV(RAND(),0,E$7)</f>
        <v>-0.115546227257848</v>
      </c>
      <c r="F59" s="53" t="n">
        <f aca="true">NORMINV(RAND(),0,F$7)</f>
        <v>-0.0928663362957014</v>
      </c>
      <c r="G59" s="53" t="n">
        <f aca="true">NORMINV(RAND(),0,G$7)</f>
        <v>0.736935835527131</v>
      </c>
      <c r="H59" s="53" t="n">
        <f aca="true">NORMINV(RAND(),0,H$7)</f>
        <v>-0.159677331021663</v>
      </c>
      <c r="I59" s="53" t="n">
        <f aca="false">SUM(B59:H59)</f>
        <v>4.20986553626357</v>
      </c>
      <c r="J59" s="53" t="n">
        <f aca="true">NORMINV(RAND(),0,J$7)</f>
        <v>-2.17727542492877</v>
      </c>
      <c r="K59" s="53" t="n">
        <f aca="true">NORMINV(RAND(),0,K$7)</f>
        <v>-0.361351793737653</v>
      </c>
      <c r="L59" s="53" t="n">
        <f aca="true">NORMINV(RAND(),0,L$7)</f>
        <v>0.0346794568059554</v>
      </c>
      <c r="M59" s="53" t="n">
        <f aca="true">NORMINV(RAND(),0,M$7)</f>
        <v>0.268528002669155</v>
      </c>
      <c r="N59" s="53" t="n">
        <f aca="true">NORMINV(RAND(),0,N$7)</f>
        <v>0.0887634582744655</v>
      </c>
      <c r="O59" s="53" t="n">
        <f aca="false">SUM(J59:N59)</f>
        <v>-2.14665630091685</v>
      </c>
    </row>
    <row r="60" customFormat="false" ht="15" hidden="false" customHeight="false" outlineLevel="0" collapsed="false">
      <c r="A60" s="2" t="n">
        <v>52</v>
      </c>
      <c r="B60" s="53" t="n">
        <f aca="true">NORMINV(RAND(),0,B$7)</f>
        <v>-0.631398624823647</v>
      </c>
      <c r="C60" s="53" t="n">
        <f aca="true">NORMINV(RAND(),0,C$7)</f>
        <v>0.841546802580785</v>
      </c>
      <c r="D60" s="53" t="n">
        <f aca="true">NORMINV(RAND(),0,D$7)</f>
        <v>-0.22971972252658</v>
      </c>
      <c r="E60" s="53" t="n">
        <f aca="true">NORMINV(RAND(),0,E$7)</f>
        <v>0.173211749676404</v>
      </c>
      <c r="F60" s="53" t="n">
        <f aca="true">NORMINV(RAND(),0,F$7)</f>
        <v>-0.639376707873755</v>
      </c>
      <c r="G60" s="53" t="n">
        <f aca="true">NORMINV(RAND(),0,G$7)</f>
        <v>0.849476313881026</v>
      </c>
      <c r="H60" s="53" t="n">
        <f aca="true">NORMINV(RAND(),0,H$7)</f>
        <v>-0.647028312719688</v>
      </c>
      <c r="I60" s="53" t="n">
        <f aca="false">SUM(B60:H60)</f>
        <v>-0.283288501805455</v>
      </c>
      <c r="J60" s="53" t="n">
        <f aca="true">NORMINV(RAND(),0,J$7)</f>
        <v>0.0858738997864655</v>
      </c>
      <c r="K60" s="53" t="n">
        <f aca="true">NORMINV(RAND(),0,K$7)</f>
        <v>1.31538475539562</v>
      </c>
      <c r="L60" s="53" t="n">
        <f aca="true">NORMINV(RAND(),0,L$7)</f>
        <v>0.407453111205463</v>
      </c>
      <c r="M60" s="53" t="n">
        <f aca="true">NORMINV(RAND(),0,M$7)</f>
        <v>0.0593115033987768</v>
      </c>
      <c r="N60" s="53" t="n">
        <f aca="true">NORMINV(RAND(),0,N$7)</f>
        <v>0.0575518967533827</v>
      </c>
      <c r="O60" s="53" t="n">
        <f aca="false">SUM(J60:N60)</f>
        <v>1.92557516653971</v>
      </c>
    </row>
    <row r="61" customFormat="false" ht="15" hidden="false" customHeight="false" outlineLevel="0" collapsed="false">
      <c r="A61" s="2" t="n">
        <v>53</v>
      </c>
      <c r="B61" s="53" t="n">
        <f aca="true">NORMINV(RAND(),0,B$7)</f>
        <v>0.663340892629912</v>
      </c>
      <c r="C61" s="53" t="n">
        <f aca="true">NORMINV(RAND(),0,C$7)</f>
        <v>-1.23209243424388</v>
      </c>
      <c r="D61" s="53" t="n">
        <f aca="true">NORMINV(RAND(),0,D$7)</f>
        <v>-1.61332210275004</v>
      </c>
      <c r="E61" s="53" t="n">
        <f aca="true">NORMINV(RAND(),0,E$7)</f>
        <v>0.602501257266846</v>
      </c>
      <c r="F61" s="53" t="n">
        <f aca="true">NORMINV(RAND(),0,F$7)</f>
        <v>0.326653031747067</v>
      </c>
      <c r="G61" s="53" t="n">
        <f aca="true">NORMINV(RAND(),0,G$7)</f>
        <v>2.08261256751781</v>
      </c>
      <c r="H61" s="53" t="n">
        <f aca="true">NORMINV(RAND(),0,H$7)</f>
        <v>-0.279614210548625</v>
      </c>
      <c r="I61" s="53" t="n">
        <f aca="false">SUM(B61:H61)</f>
        <v>0.550079001619086</v>
      </c>
      <c r="J61" s="53" t="n">
        <f aca="true">NORMINV(RAND(),0,J$7)</f>
        <v>2.8018065276741</v>
      </c>
      <c r="K61" s="53" t="n">
        <f aca="true">NORMINV(RAND(),0,K$7)</f>
        <v>-0.55109963962684</v>
      </c>
      <c r="L61" s="53" t="n">
        <f aca="true">NORMINV(RAND(),0,L$7)</f>
        <v>0.108618871724954</v>
      </c>
      <c r="M61" s="53" t="n">
        <f aca="true">NORMINV(RAND(),0,M$7)</f>
        <v>-0.18372816516974</v>
      </c>
      <c r="N61" s="53" t="n">
        <f aca="true">NORMINV(RAND(),0,N$7)</f>
        <v>0.0621836988575679</v>
      </c>
      <c r="O61" s="53" t="n">
        <f aca="false">SUM(J61:N61)</f>
        <v>2.23778129346004</v>
      </c>
    </row>
    <row r="62" customFormat="false" ht="15" hidden="false" customHeight="false" outlineLevel="0" collapsed="false">
      <c r="A62" s="2" t="n">
        <v>54</v>
      </c>
      <c r="B62" s="53" t="n">
        <f aca="true">NORMINV(RAND(),0,B$7)</f>
        <v>-2.01448512210915</v>
      </c>
      <c r="C62" s="53" t="n">
        <f aca="true">NORMINV(RAND(),0,C$7)</f>
        <v>0.936919924101947</v>
      </c>
      <c r="D62" s="53" t="n">
        <f aca="true">NORMINV(RAND(),0,D$7)</f>
        <v>0.379392359138339</v>
      </c>
      <c r="E62" s="53" t="n">
        <f aca="true">NORMINV(RAND(),0,E$7)</f>
        <v>-0.29982311132525</v>
      </c>
      <c r="F62" s="53" t="n">
        <f aca="true">NORMINV(RAND(),0,F$7)</f>
        <v>0.111978931738031</v>
      </c>
      <c r="G62" s="53" t="n">
        <f aca="true">NORMINV(RAND(),0,G$7)</f>
        <v>-1.54132360106028</v>
      </c>
      <c r="H62" s="53" t="n">
        <f aca="true">NORMINV(RAND(),0,H$7)</f>
        <v>-0.146577393301464</v>
      </c>
      <c r="I62" s="53" t="n">
        <f aca="false">SUM(B62:H62)</f>
        <v>-2.57391801281783</v>
      </c>
      <c r="J62" s="53" t="n">
        <f aca="true">NORMINV(RAND(),0,J$7)</f>
        <v>0.0652646636989118</v>
      </c>
      <c r="K62" s="53" t="n">
        <f aca="true">NORMINV(RAND(),0,K$7)</f>
        <v>0.847803667695529</v>
      </c>
      <c r="L62" s="53" t="n">
        <f aca="true">NORMINV(RAND(),0,L$7)</f>
        <v>0.426763366973808</v>
      </c>
      <c r="M62" s="53" t="n">
        <f aca="true">NORMINV(RAND(),0,M$7)</f>
        <v>0.345981387380597</v>
      </c>
      <c r="N62" s="53" t="n">
        <f aca="true">NORMINV(RAND(),0,N$7)</f>
        <v>0.575574633232306</v>
      </c>
      <c r="O62" s="53" t="n">
        <f aca="false">SUM(J62:N62)</f>
        <v>2.26138771898115</v>
      </c>
    </row>
    <row r="63" customFormat="false" ht="15" hidden="false" customHeight="false" outlineLevel="0" collapsed="false">
      <c r="A63" s="2" t="n">
        <v>55</v>
      </c>
      <c r="B63" s="53" t="n">
        <f aca="true">NORMINV(RAND(),0,B$7)</f>
        <v>0.157951344732457</v>
      </c>
      <c r="C63" s="53" t="n">
        <f aca="true">NORMINV(RAND(),0,C$7)</f>
        <v>-0.950188417581988</v>
      </c>
      <c r="D63" s="53" t="n">
        <f aca="true">NORMINV(RAND(),0,D$7)</f>
        <v>2.26618546510141</v>
      </c>
      <c r="E63" s="53" t="n">
        <f aca="true">NORMINV(RAND(),0,E$7)</f>
        <v>0.130030282617225</v>
      </c>
      <c r="F63" s="53" t="n">
        <f aca="true">NORMINV(RAND(),0,F$7)</f>
        <v>-0.277967785797396</v>
      </c>
      <c r="G63" s="53" t="n">
        <f aca="true">NORMINV(RAND(),0,G$7)</f>
        <v>-0.084372910633151</v>
      </c>
      <c r="H63" s="53" t="n">
        <f aca="true">NORMINV(RAND(),0,H$7)</f>
        <v>-0.0183644758316376</v>
      </c>
      <c r="I63" s="53" t="n">
        <f aca="false">SUM(B63:H63)</f>
        <v>1.22327350260692</v>
      </c>
      <c r="J63" s="53" t="n">
        <f aca="true">NORMINV(RAND(),0,J$7)</f>
        <v>-0.00942991822710458</v>
      </c>
      <c r="K63" s="53" t="n">
        <f aca="true">NORMINV(RAND(),0,K$7)</f>
        <v>0.8602331517021</v>
      </c>
      <c r="L63" s="53" t="n">
        <f aca="true">NORMINV(RAND(),0,L$7)</f>
        <v>-0.193434694849646</v>
      </c>
      <c r="M63" s="53" t="n">
        <f aca="true">NORMINV(RAND(),0,M$7)</f>
        <v>0.162741944983778</v>
      </c>
      <c r="N63" s="53" t="n">
        <f aca="true">NORMINV(RAND(),0,N$7)</f>
        <v>0.450431390905467</v>
      </c>
      <c r="O63" s="53" t="n">
        <f aca="false">SUM(J63:N63)</f>
        <v>1.27054187451459</v>
      </c>
    </row>
    <row r="64" customFormat="false" ht="15" hidden="false" customHeight="false" outlineLevel="0" collapsed="false">
      <c r="A64" s="2" t="n">
        <v>56</v>
      </c>
      <c r="B64" s="53" t="n">
        <f aca="true">NORMINV(RAND(),0,B$7)</f>
        <v>0.0868239194591577</v>
      </c>
      <c r="C64" s="53" t="n">
        <f aca="true">NORMINV(RAND(),0,C$7)</f>
        <v>1.5844818595013</v>
      </c>
      <c r="D64" s="53" t="n">
        <f aca="true">NORMINV(RAND(),0,D$7)</f>
        <v>1.45775922936728</v>
      </c>
      <c r="E64" s="53" t="n">
        <f aca="true">NORMINV(RAND(),0,E$7)</f>
        <v>0.277162645511479</v>
      </c>
      <c r="F64" s="53" t="n">
        <f aca="true">NORMINV(RAND(),0,F$7)</f>
        <v>-0.29168636742007</v>
      </c>
      <c r="G64" s="53" t="n">
        <f aca="true">NORMINV(RAND(),0,G$7)</f>
        <v>0.278468728081475</v>
      </c>
      <c r="H64" s="53" t="n">
        <f aca="true">NORMINV(RAND(),0,H$7)</f>
        <v>-0.215666189756112</v>
      </c>
      <c r="I64" s="53" t="n">
        <f aca="false">SUM(B64:H64)</f>
        <v>3.17734382474452</v>
      </c>
      <c r="J64" s="53" t="n">
        <f aca="true">NORMINV(RAND(),0,J$7)</f>
        <v>-1.64565086072083</v>
      </c>
      <c r="K64" s="53" t="n">
        <f aca="true">NORMINV(RAND(),0,K$7)</f>
        <v>-0.924632057793734</v>
      </c>
      <c r="L64" s="53" t="n">
        <f aca="true">NORMINV(RAND(),0,L$7)</f>
        <v>-0.670224610492376</v>
      </c>
      <c r="M64" s="53" t="n">
        <f aca="true">NORMINV(RAND(),0,M$7)</f>
        <v>-0.0278132324826784</v>
      </c>
      <c r="N64" s="53" t="n">
        <f aca="true">NORMINV(RAND(),0,N$7)</f>
        <v>-0.666602097807942</v>
      </c>
      <c r="O64" s="53" t="n">
        <f aca="false">SUM(J64:N64)</f>
        <v>-3.93492285929756</v>
      </c>
    </row>
    <row r="65" customFormat="false" ht="15" hidden="false" customHeight="false" outlineLevel="0" collapsed="false">
      <c r="A65" s="2" t="n">
        <v>57</v>
      </c>
      <c r="B65" s="53" t="n">
        <f aca="true">NORMINV(RAND(),0,B$7)</f>
        <v>0.988626464975682</v>
      </c>
      <c r="C65" s="53" t="n">
        <f aca="true">NORMINV(RAND(),0,C$7)</f>
        <v>-0.8188670681288</v>
      </c>
      <c r="D65" s="53" t="n">
        <f aca="true">NORMINV(RAND(),0,D$7)</f>
        <v>0.703927510789541</v>
      </c>
      <c r="E65" s="53" t="n">
        <f aca="true">NORMINV(RAND(),0,E$7)</f>
        <v>-0.162771787790043</v>
      </c>
      <c r="F65" s="53" t="n">
        <f aca="true">NORMINV(RAND(),0,F$7)</f>
        <v>-0.311632899934507</v>
      </c>
      <c r="G65" s="53" t="n">
        <f aca="true">NORMINV(RAND(),0,G$7)</f>
        <v>-0.431096577803832</v>
      </c>
      <c r="H65" s="53" t="n">
        <f aca="true">NORMINV(RAND(),0,H$7)</f>
        <v>-0.1767088360493</v>
      </c>
      <c r="I65" s="53" t="n">
        <f aca="false">SUM(B65:H65)</f>
        <v>-0.208523193941258</v>
      </c>
      <c r="J65" s="53" t="n">
        <f aca="true">NORMINV(RAND(),0,J$7)</f>
        <v>3.88959622723324</v>
      </c>
      <c r="K65" s="53" t="n">
        <f aca="true">NORMINV(RAND(),0,K$7)</f>
        <v>0.355644148933104</v>
      </c>
      <c r="L65" s="53" t="n">
        <f aca="true">NORMINV(RAND(),0,L$7)</f>
        <v>-0.550518223677761</v>
      </c>
      <c r="M65" s="53" t="n">
        <f aca="true">NORMINV(RAND(),0,M$7)</f>
        <v>0.302227972493661</v>
      </c>
      <c r="N65" s="53" t="n">
        <f aca="true">NORMINV(RAND(),0,N$7)</f>
        <v>0.193526202010888</v>
      </c>
      <c r="O65" s="53" t="n">
        <f aca="false">SUM(J65:N65)</f>
        <v>4.19047632699313</v>
      </c>
    </row>
    <row r="66" customFormat="false" ht="15" hidden="false" customHeight="false" outlineLevel="0" collapsed="false">
      <c r="A66" s="2" t="n">
        <v>58</v>
      </c>
      <c r="B66" s="53" t="n">
        <f aca="true">NORMINV(RAND(),0,B$7)</f>
        <v>-0.444466205374929</v>
      </c>
      <c r="C66" s="53" t="n">
        <f aca="true">NORMINV(RAND(),0,C$7)</f>
        <v>0.980936142493031</v>
      </c>
      <c r="D66" s="53" t="n">
        <f aca="true">NORMINV(RAND(),0,D$7)</f>
        <v>-2.49430828180235</v>
      </c>
      <c r="E66" s="53" t="n">
        <f aca="true">NORMINV(RAND(),0,E$7)</f>
        <v>0.190430745853828</v>
      </c>
      <c r="F66" s="53" t="n">
        <f aca="true">NORMINV(RAND(),0,F$7)</f>
        <v>0.0338031016312713</v>
      </c>
      <c r="G66" s="53" t="n">
        <f aca="true">NORMINV(RAND(),0,G$7)</f>
        <v>2.85194898227868</v>
      </c>
      <c r="H66" s="53" t="n">
        <f aca="true">NORMINV(RAND(),0,H$7)</f>
        <v>-0.320756934774715</v>
      </c>
      <c r="I66" s="53" t="n">
        <f aca="false">SUM(B66:H66)</f>
        <v>0.797587550304819</v>
      </c>
      <c r="J66" s="53" t="n">
        <f aca="true">NORMINV(RAND(),0,J$7)</f>
        <v>-3.04257596548326</v>
      </c>
      <c r="K66" s="53" t="n">
        <f aca="true">NORMINV(RAND(),0,K$7)</f>
        <v>-0.180854736130695</v>
      </c>
      <c r="L66" s="53" t="n">
        <f aca="true">NORMINV(RAND(),0,L$7)</f>
        <v>0.221674018188348</v>
      </c>
      <c r="M66" s="53" t="n">
        <f aca="true">NORMINV(RAND(),0,M$7)</f>
        <v>0.155439069180119</v>
      </c>
      <c r="N66" s="53" t="n">
        <f aca="true">NORMINV(RAND(),0,N$7)</f>
        <v>-0.301158507557573</v>
      </c>
      <c r="O66" s="53" t="n">
        <f aca="false">SUM(J66:N66)</f>
        <v>-3.14747612180306</v>
      </c>
    </row>
    <row r="67" customFormat="false" ht="15" hidden="false" customHeight="false" outlineLevel="0" collapsed="false">
      <c r="A67" s="2" t="n">
        <v>59</v>
      </c>
      <c r="B67" s="53" t="n">
        <f aca="true">NORMINV(RAND(),0,B$7)</f>
        <v>-0.153353684436492</v>
      </c>
      <c r="C67" s="53" t="n">
        <f aca="true">NORMINV(RAND(),0,C$7)</f>
        <v>2.26123576002418</v>
      </c>
      <c r="D67" s="53" t="n">
        <f aca="true">NORMINV(RAND(),0,D$7)</f>
        <v>0.384553056737105</v>
      </c>
      <c r="E67" s="53" t="n">
        <f aca="true">NORMINV(RAND(),0,E$7)</f>
        <v>0.341844309600642</v>
      </c>
      <c r="F67" s="53" t="n">
        <f aca="true">NORMINV(RAND(),0,F$7)</f>
        <v>0.117113031466539</v>
      </c>
      <c r="G67" s="53" t="n">
        <f aca="true">NORMINV(RAND(),0,G$7)</f>
        <v>0.326432483033788</v>
      </c>
      <c r="H67" s="53" t="n">
        <f aca="true">NORMINV(RAND(),0,H$7)</f>
        <v>-0.0379842810422043</v>
      </c>
      <c r="I67" s="53" t="n">
        <f aca="false">SUM(B67:H67)</f>
        <v>3.23984067538356</v>
      </c>
      <c r="J67" s="53" t="n">
        <f aca="true">NORMINV(RAND(),0,J$7)</f>
        <v>0.0458743205696489</v>
      </c>
      <c r="K67" s="53" t="n">
        <f aca="true">NORMINV(RAND(),0,K$7)</f>
        <v>0.43787787899398</v>
      </c>
      <c r="L67" s="53" t="n">
        <f aca="true">NORMINV(RAND(),0,L$7)</f>
        <v>-0.0870374923129616</v>
      </c>
      <c r="M67" s="53" t="n">
        <f aca="true">NORMINV(RAND(),0,M$7)</f>
        <v>-0.0950902837961347</v>
      </c>
      <c r="N67" s="53" t="n">
        <f aca="true">NORMINV(RAND(),0,N$7)</f>
        <v>-0.158791187475471</v>
      </c>
      <c r="O67" s="53" t="n">
        <f aca="false">SUM(J67:N67)</f>
        <v>0.142833235979061</v>
      </c>
    </row>
    <row r="68" customFormat="false" ht="15" hidden="false" customHeight="false" outlineLevel="0" collapsed="false">
      <c r="A68" s="2" t="n">
        <v>60</v>
      </c>
      <c r="B68" s="53" t="n">
        <f aca="true">NORMINV(RAND(),0,B$7)</f>
        <v>-1.04479267976757</v>
      </c>
      <c r="C68" s="53" t="n">
        <f aca="true">NORMINV(RAND(),0,C$7)</f>
        <v>-1.58757457738235</v>
      </c>
      <c r="D68" s="53" t="n">
        <f aca="true">NORMINV(RAND(),0,D$7)</f>
        <v>-2.99236791449864</v>
      </c>
      <c r="E68" s="53" t="n">
        <f aca="true">NORMINV(RAND(),0,E$7)</f>
        <v>-0.00488128212257974</v>
      </c>
      <c r="F68" s="53" t="n">
        <f aca="true">NORMINV(RAND(),0,F$7)</f>
        <v>-0.258681336577747</v>
      </c>
      <c r="G68" s="53" t="n">
        <f aca="true">NORMINV(RAND(),0,G$7)</f>
        <v>0.654077632179189</v>
      </c>
      <c r="H68" s="53" t="n">
        <f aca="true">NORMINV(RAND(),0,H$7)</f>
        <v>-0.0320957783932781</v>
      </c>
      <c r="I68" s="53" t="n">
        <f aca="false">SUM(B68:H68)</f>
        <v>-5.26631593656297</v>
      </c>
      <c r="J68" s="53" t="n">
        <f aca="true">NORMINV(RAND(),0,J$7)</f>
        <v>1.95813369507395</v>
      </c>
      <c r="K68" s="53" t="n">
        <f aca="true">NORMINV(RAND(),0,K$7)</f>
        <v>0.698581317039601</v>
      </c>
      <c r="L68" s="53" t="n">
        <f aca="true">NORMINV(RAND(),0,L$7)</f>
        <v>-0.157552153591431</v>
      </c>
      <c r="M68" s="53" t="n">
        <f aca="true">NORMINV(RAND(),0,M$7)</f>
        <v>-0.157195408475346</v>
      </c>
      <c r="N68" s="53" t="n">
        <f aca="true">NORMINV(RAND(),0,N$7)</f>
        <v>0.460172848826672</v>
      </c>
      <c r="O68" s="53" t="n">
        <f aca="false">SUM(J68:N68)</f>
        <v>2.80214029887345</v>
      </c>
    </row>
    <row r="69" customFormat="false" ht="15" hidden="false" customHeight="false" outlineLevel="0" collapsed="false">
      <c r="A69" s="2" t="n">
        <v>61</v>
      </c>
      <c r="B69" s="53" t="n">
        <f aca="true">NORMINV(RAND(),0,B$7)</f>
        <v>1.83705668097917</v>
      </c>
      <c r="C69" s="53" t="n">
        <f aca="true">NORMINV(RAND(),0,C$7)</f>
        <v>-0.592953754144836</v>
      </c>
      <c r="D69" s="53" t="n">
        <f aca="true">NORMINV(RAND(),0,D$7)</f>
        <v>2.42738509099303</v>
      </c>
      <c r="E69" s="53" t="n">
        <f aca="true">NORMINV(RAND(),0,E$7)</f>
        <v>-0.1643878772972</v>
      </c>
      <c r="F69" s="53" t="n">
        <f aca="true">NORMINV(RAND(),0,F$7)</f>
        <v>-0.136072637869843</v>
      </c>
      <c r="G69" s="53" t="n">
        <f aca="true">NORMINV(RAND(),0,G$7)</f>
        <v>0.0412074910279558</v>
      </c>
      <c r="H69" s="53" t="n">
        <f aca="true">NORMINV(RAND(),0,H$7)</f>
        <v>0.0312232682033192</v>
      </c>
      <c r="I69" s="53" t="n">
        <f aca="false">SUM(B69:H69)</f>
        <v>3.4434582618916</v>
      </c>
      <c r="J69" s="53" t="n">
        <f aca="true">NORMINV(RAND(),0,J$7)</f>
        <v>1.00041258829825</v>
      </c>
      <c r="K69" s="53" t="n">
        <f aca="true">NORMINV(RAND(),0,K$7)</f>
        <v>-1.07641801632206</v>
      </c>
      <c r="L69" s="53" t="n">
        <f aca="true">NORMINV(RAND(),0,L$7)</f>
        <v>0.334803074800897</v>
      </c>
      <c r="M69" s="53" t="n">
        <f aca="true">NORMINV(RAND(),0,M$7)</f>
        <v>0.20386211509868</v>
      </c>
      <c r="N69" s="53" t="n">
        <f aca="true">NORMINV(RAND(),0,N$7)</f>
        <v>-0.705408339739837</v>
      </c>
      <c r="O69" s="53" t="n">
        <f aca="false">SUM(J69:N69)</f>
        <v>-0.242748577864066</v>
      </c>
    </row>
    <row r="70" customFormat="false" ht="15" hidden="false" customHeight="false" outlineLevel="0" collapsed="false">
      <c r="A70" s="2" t="n">
        <v>62</v>
      </c>
      <c r="B70" s="53" t="n">
        <f aca="true">NORMINV(RAND(),0,B$7)</f>
        <v>1.11457873111333</v>
      </c>
      <c r="C70" s="53" t="n">
        <f aca="true">NORMINV(RAND(),0,C$7)</f>
        <v>-0.989332477532409</v>
      </c>
      <c r="D70" s="53" t="n">
        <f aca="true">NORMINV(RAND(),0,D$7)</f>
        <v>-1.81228501603986</v>
      </c>
      <c r="E70" s="53" t="n">
        <f aca="true">NORMINV(RAND(),0,E$7)</f>
        <v>0.266896806364215</v>
      </c>
      <c r="F70" s="53" t="n">
        <f aca="true">NORMINV(RAND(),0,F$7)</f>
        <v>0.181820155896186</v>
      </c>
      <c r="G70" s="53" t="n">
        <f aca="true">NORMINV(RAND(),0,G$7)</f>
        <v>1.72563961803865</v>
      </c>
      <c r="H70" s="53" t="n">
        <f aca="true">NORMINV(RAND(),0,H$7)</f>
        <v>0.405591959320857</v>
      </c>
      <c r="I70" s="53" t="n">
        <f aca="false">SUM(B70:H70)</f>
        <v>0.892909777160968</v>
      </c>
      <c r="J70" s="53" t="n">
        <f aca="true">NORMINV(RAND(),0,J$7)</f>
        <v>-0.0639279634362015</v>
      </c>
      <c r="K70" s="53" t="n">
        <f aca="true">NORMINV(RAND(),0,K$7)</f>
        <v>0.779529707981438</v>
      </c>
      <c r="L70" s="53" t="n">
        <f aca="true">NORMINV(RAND(),0,L$7)</f>
        <v>0.240007218409996</v>
      </c>
      <c r="M70" s="53" t="n">
        <f aca="true">NORMINV(RAND(),0,M$7)</f>
        <v>0.354434380354123</v>
      </c>
      <c r="N70" s="53" t="n">
        <f aca="true">NORMINV(RAND(),0,N$7)</f>
        <v>-0.246401303520087</v>
      </c>
      <c r="O70" s="53" t="n">
        <f aca="false">SUM(J70:N70)</f>
        <v>1.06364203978927</v>
      </c>
    </row>
    <row r="71" customFormat="false" ht="15" hidden="false" customHeight="false" outlineLevel="0" collapsed="false">
      <c r="A71" s="2" t="n">
        <v>63</v>
      </c>
      <c r="B71" s="53" t="n">
        <f aca="true">NORMINV(RAND(),0,B$7)</f>
        <v>3.27751511354719</v>
      </c>
      <c r="C71" s="53" t="n">
        <f aca="true">NORMINV(RAND(),0,C$7)</f>
        <v>-0.763970701644749</v>
      </c>
      <c r="D71" s="53" t="n">
        <f aca="true">NORMINV(RAND(),0,D$7)</f>
        <v>1.0818855779328</v>
      </c>
      <c r="E71" s="53" t="n">
        <f aca="true">NORMINV(RAND(),0,E$7)</f>
        <v>-0.309579757195733</v>
      </c>
      <c r="F71" s="53" t="n">
        <f aca="true">NORMINV(RAND(),0,F$7)</f>
        <v>-0.503960532444171</v>
      </c>
      <c r="G71" s="53" t="n">
        <f aca="true">NORMINV(RAND(),0,G$7)</f>
        <v>2.7626048625927</v>
      </c>
      <c r="H71" s="53" t="n">
        <f aca="true">NORMINV(RAND(),0,H$7)</f>
        <v>-0.292895761689742</v>
      </c>
      <c r="I71" s="53" t="n">
        <f aca="false">SUM(B71:H71)</f>
        <v>5.25159880109829</v>
      </c>
      <c r="J71" s="53" t="n">
        <f aca="true">NORMINV(RAND(),0,J$7)</f>
        <v>-0.253805395434805</v>
      </c>
      <c r="K71" s="53" t="n">
        <f aca="true">NORMINV(RAND(),0,K$7)</f>
        <v>-0.173181118439082</v>
      </c>
      <c r="L71" s="53" t="n">
        <f aca="true">NORMINV(RAND(),0,L$7)</f>
        <v>0.0563298102126672</v>
      </c>
      <c r="M71" s="53" t="n">
        <f aca="true">NORMINV(RAND(),0,M$7)</f>
        <v>0.0680655841124725</v>
      </c>
      <c r="N71" s="53" t="n">
        <f aca="true">NORMINV(RAND(),0,N$7)</f>
        <v>0.326615588439963</v>
      </c>
      <c r="O71" s="53" t="n">
        <f aca="false">SUM(J71:N71)</f>
        <v>0.0240244688912158</v>
      </c>
    </row>
    <row r="72" customFormat="false" ht="15" hidden="false" customHeight="false" outlineLevel="0" collapsed="false">
      <c r="A72" s="2" t="n">
        <v>64</v>
      </c>
      <c r="B72" s="53" t="n">
        <f aca="true">NORMINV(RAND(),0,B$7)</f>
        <v>0.240869842825247</v>
      </c>
      <c r="C72" s="53" t="n">
        <f aca="true">NORMINV(RAND(),0,C$7)</f>
        <v>-1.77298691652965</v>
      </c>
      <c r="D72" s="53" t="n">
        <f aca="true">NORMINV(RAND(),0,D$7)</f>
        <v>1.13972447248666</v>
      </c>
      <c r="E72" s="53" t="n">
        <f aca="true">NORMINV(RAND(),0,E$7)</f>
        <v>-0.23201684478081</v>
      </c>
      <c r="F72" s="53" t="n">
        <f aca="true">NORMINV(RAND(),0,F$7)</f>
        <v>-0.0179645896813722</v>
      </c>
      <c r="G72" s="53" t="n">
        <f aca="true">NORMINV(RAND(),0,G$7)</f>
        <v>-0.501343854199535</v>
      </c>
      <c r="H72" s="53" t="n">
        <f aca="true">NORMINV(RAND(),0,H$7)</f>
        <v>0.583380700214548</v>
      </c>
      <c r="I72" s="53" t="n">
        <f aca="false">SUM(B72:H72)</f>
        <v>-0.56033718966491</v>
      </c>
      <c r="J72" s="53" t="n">
        <f aca="true">NORMINV(RAND(),0,J$7)</f>
        <v>-1.5098576078559</v>
      </c>
      <c r="K72" s="53" t="n">
        <f aca="true">NORMINV(RAND(),0,K$7)</f>
        <v>-0.773209494804698</v>
      </c>
      <c r="L72" s="53" t="n">
        <f aca="true">NORMINV(RAND(),0,L$7)</f>
        <v>-0.146815467086654</v>
      </c>
      <c r="M72" s="53" t="n">
        <f aca="true">NORMINV(RAND(),0,M$7)</f>
        <v>-0.254869380581242</v>
      </c>
      <c r="N72" s="53" t="n">
        <f aca="true">NORMINV(RAND(),0,N$7)</f>
        <v>-0.825019477938664</v>
      </c>
      <c r="O72" s="53" t="n">
        <f aca="false">SUM(J72:N72)</f>
        <v>-3.50977142826716</v>
      </c>
    </row>
    <row r="73" customFormat="false" ht="15" hidden="false" customHeight="false" outlineLevel="0" collapsed="false">
      <c r="A73" s="2" t="n">
        <v>65</v>
      </c>
      <c r="B73" s="53" t="n">
        <f aca="true">NORMINV(RAND(),0,B$7)</f>
        <v>-3.31248290830331</v>
      </c>
      <c r="C73" s="53" t="n">
        <f aca="true">NORMINV(RAND(),0,C$7)</f>
        <v>-0.425010043829404</v>
      </c>
      <c r="D73" s="53" t="n">
        <f aca="true">NORMINV(RAND(),0,D$7)</f>
        <v>1.34849331670198</v>
      </c>
      <c r="E73" s="53" t="n">
        <f aca="true">NORMINV(RAND(),0,E$7)</f>
        <v>0.262410427538156</v>
      </c>
      <c r="F73" s="53" t="n">
        <f aca="true">NORMINV(RAND(),0,F$7)</f>
        <v>0.16040100657306</v>
      </c>
      <c r="G73" s="53" t="n">
        <f aca="true">NORMINV(RAND(),0,G$7)</f>
        <v>0.492908514617013</v>
      </c>
      <c r="H73" s="53" t="n">
        <f aca="true">NORMINV(RAND(),0,H$7)</f>
        <v>0.0417305496682456</v>
      </c>
      <c r="I73" s="53" t="n">
        <f aca="false">SUM(B73:H73)</f>
        <v>-1.43154913703426</v>
      </c>
      <c r="J73" s="53" t="n">
        <f aca="true">NORMINV(RAND(),0,J$7)</f>
        <v>-1.94845181881012</v>
      </c>
      <c r="K73" s="53" t="n">
        <f aca="true">NORMINV(RAND(),0,K$7)</f>
        <v>-0.399411124210927</v>
      </c>
      <c r="L73" s="53" t="n">
        <f aca="true">NORMINV(RAND(),0,L$7)</f>
        <v>0.27705674101972</v>
      </c>
      <c r="M73" s="53" t="n">
        <f aca="true">NORMINV(RAND(),0,M$7)</f>
        <v>0.100156877486023</v>
      </c>
      <c r="N73" s="53" t="n">
        <f aca="true">NORMINV(RAND(),0,N$7)</f>
        <v>-0.723569767749659</v>
      </c>
      <c r="O73" s="53" t="n">
        <f aca="false">SUM(J73:N73)</f>
        <v>-2.69421909226496</v>
      </c>
    </row>
    <row r="74" customFormat="false" ht="15" hidden="false" customHeight="false" outlineLevel="0" collapsed="false">
      <c r="A74" s="2" t="n">
        <v>66</v>
      </c>
      <c r="B74" s="53" t="n">
        <f aca="true">NORMINV(RAND(),0,B$7)</f>
        <v>-0.395917355090442</v>
      </c>
      <c r="C74" s="53" t="n">
        <f aca="true">NORMINV(RAND(),0,C$7)</f>
        <v>1.74799633665681</v>
      </c>
      <c r="D74" s="53" t="n">
        <f aca="true">NORMINV(RAND(),0,D$7)</f>
        <v>0.470847672651599</v>
      </c>
      <c r="E74" s="53" t="n">
        <f aca="true">NORMINV(RAND(),0,E$7)</f>
        <v>0.0586641408096508</v>
      </c>
      <c r="F74" s="53" t="n">
        <f aca="true">NORMINV(RAND(),0,F$7)</f>
        <v>0.152209958590841</v>
      </c>
      <c r="G74" s="53" t="n">
        <f aca="true">NORMINV(RAND(),0,G$7)</f>
        <v>-0.00202869813956461</v>
      </c>
      <c r="H74" s="53" t="n">
        <f aca="true">NORMINV(RAND(),0,H$7)</f>
        <v>-0.0355822988218696</v>
      </c>
      <c r="I74" s="53" t="n">
        <f aca="false">SUM(B74:H74)</f>
        <v>1.99618975665702</v>
      </c>
      <c r="J74" s="53" t="n">
        <f aca="true">NORMINV(RAND(),0,J$7)</f>
        <v>0.917786559711356</v>
      </c>
      <c r="K74" s="53" t="n">
        <f aca="true">NORMINV(RAND(),0,K$7)</f>
        <v>-0.18160543040347</v>
      </c>
      <c r="L74" s="53" t="n">
        <f aca="true">NORMINV(RAND(),0,L$7)</f>
        <v>-0.709380127033772</v>
      </c>
      <c r="M74" s="53" t="n">
        <f aca="true">NORMINV(RAND(),0,M$7)</f>
        <v>0.0100599433227647</v>
      </c>
      <c r="N74" s="53" t="n">
        <f aca="true">NORMINV(RAND(),0,N$7)</f>
        <v>-0.438644071871899</v>
      </c>
      <c r="O74" s="53" t="n">
        <f aca="false">SUM(J74:N74)</f>
        <v>-0.401783126275021</v>
      </c>
    </row>
    <row r="75" customFormat="false" ht="15" hidden="false" customHeight="false" outlineLevel="0" collapsed="false">
      <c r="A75" s="2" t="n">
        <v>67</v>
      </c>
      <c r="B75" s="53" t="n">
        <f aca="true">NORMINV(RAND(),0,B$7)</f>
        <v>2.59484658032561</v>
      </c>
      <c r="C75" s="53" t="n">
        <f aca="true">NORMINV(RAND(),0,C$7)</f>
        <v>1.10357352897074</v>
      </c>
      <c r="D75" s="53" t="n">
        <f aca="true">NORMINV(RAND(),0,D$7)</f>
        <v>0.603520391609321</v>
      </c>
      <c r="E75" s="53" t="n">
        <f aca="true">NORMINV(RAND(),0,E$7)</f>
        <v>0.13494330385055</v>
      </c>
      <c r="F75" s="53" t="n">
        <f aca="true">NORMINV(RAND(),0,F$7)</f>
        <v>0.0104092783627066</v>
      </c>
      <c r="G75" s="53" t="n">
        <f aca="true">NORMINV(RAND(),0,G$7)</f>
        <v>1.41360264258715</v>
      </c>
      <c r="H75" s="53" t="n">
        <f aca="true">NORMINV(RAND(),0,H$7)</f>
        <v>0.179180672098626</v>
      </c>
      <c r="I75" s="53" t="n">
        <f aca="false">SUM(B75:H75)</f>
        <v>6.0400763978047</v>
      </c>
      <c r="J75" s="53" t="n">
        <f aca="true">NORMINV(RAND(),0,J$7)</f>
        <v>-3.76391020344066</v>
      </c>
      <c r="K75" s="53" t="n">
        <f aca="true">NORMINV(RAND(),0,K$7)</f>
        <v>-0.724817088766071</v>
      </c>
      <c r="L75" s="53" t="n">
        <f aca="true">NORMINV(RAND(),0,L$7)</f>
        <v>-0.0729590565799472</v>
      </c>
      <c r="M75" s="53" t="n">
        <f aca="true">NORMINV(RAND(),0,M$7)</f>
        <v>0.123726327229213</v>
      </c>
      <c r="N75" s="53" t="n">
        <f aca="true">NORMINV(RAND(),0,N$7)</f>
        <v>-0.20118937463448</v>
      </c>
      <c r="O75" s="53" t="n">
        <f aca="false">SUM(J75:N75)</f>
        <v>-4.63914939619194</v>
      </c>
    </row>
    <row r="76" customFormat="false" ht="15" hidden="false" customHeight="false" outlineLevel="0" collapsed="false">
      <c r="A76" s="2" t="n">
        <v>68</v>
      </c>
      <c r="B76" s="53" t="n">
        <f aca="true">NORMINV(RAND(),0,B$7)</f>
        <v>0.527433499622797</v>
      </c>
      <c r="C76" s="53" t="n">
        <f aca="true">NORMINV(RAND(),0,C$7)</f>
        <v>2.99080573131402</v>
      </c>
      <c r="D76" s="53" t="n">
        <f aca="true">NORMINV(RAND(),0,D$7)</f>
        <v>-0.924590806725526</v>
      </c>
      <c r="E76" s="53" t="n">
        <f aca="true">NORMINV(RAND(),0,E$7)</f>
        <v>0.592752434039461</v>
      </c>
      <c r="F76" s="53" t="n">
        <f aca="true">NORMINV(RAND(),0,F$7)</f>
        <v>0.0864842078225195</v>
      </c>
      <c r="G76" s="53" t="n">
        <f aca="true">NORMINV(RAND(),0,G$7)</f>
        <v>0.644082169894217</v>
      </c>
      <c r="H76" s="53" t="n">
        <f aca="true">NORMINV(RAND(),0,H$7)</f>
        <v>-0.222672597688155</v>
      </c>
      <c r="I76" s="53" t="n">
        <f aca="false">SUM(B76:H76)</f>
        <v>3.69429463827933</v>
      </c>
      <c r="J76" s="53" t="n">
        <f aca="true">NORMINV(RAND(),0,J$7)</f>
        <v>1.74596902748109</v>
      </c>
      <c r="K76" s="53" t="n">
        <f aca="true">NORMINV(RAND(),0,K$7)</f>
        <v>-0.43324706661578</v>
      </c>
      <c r="L76" s="53" t="n">
        <f aca="true">NORMINV(RAND(),0,L$7)</f>
        <v>-0.0425106326771586</v>
      </c>
      <c r="M76" s="53" t="n">
        <f aca="true">NORMINV(RAND(),0,M$7)</f>
        <v>0.00194621678996572</v>
      </c>
      <c r="N76" s="53" t="n">
        <f aca="true">NORMINV(RAND(),0,N$7)</f>
        <v>0.437543909636673</v>
      </c>
      <c r="O76" s="53" t="n">
        <f aca="false">SUM(J76:N76)</f>
        <v>1.70970145461479</v>
      </c>
    </row>
    <row r="77" customFormat="false" ht="15" hidden="false" customHeight="false" outlineLevel="0" collapsed="false">
      <c r="A77" s="2" t="n">
        <v>69</v>
      </c>
      <c r="B77" s="53" t="n">
        <f aca="true">NORMINV(RAND(),0,B$7)</f>
        <v>0.941470716130643</v>
      </c>
      <c r="C77" s="53" t="n">
        <f aca="true">NORMINV(RAND(),0,C$7)</f>
        <v>-0.978060330512255</v>
      </c>
      <c r="D77" s="53" t="n">
        <f aca="true">NORMINV(RAND(),0,D$7)</f>
        <v>-1.22350519687861</v>
      </c>
      <c r="E77" s="53" t="n">
        <f aca="true">NORMINV(RAND(),0,E$7)</f>
        <v>-0.363910033121501</v>
      </c>
      <c r="F77" s="53" t="n">
        <f aca="true">NORMINV(RAND(),0,F$7)</f>
        <v>-0.521549550478194</v>
      </c>
      <c r="G77" s="53" t="n">
        <f aca="true">NORMINV(RAND(),0,G$7)</f>
        <v>-1.81295651635004</v>
      </c>
      <c r="H77" s="53" t="n">
        <f aca="true">NORMINV(RAND(),0,H$7)</f>
        <v>-0.158064781488569</v>
      </c>
      <c r="I77" s="53" t="n">
        <f aca="false">SUM(B77:H77)</f>
        <v>-4.11657569269853</v>
      </c>
      <c r="J77" s="53" t="n">
        <f aca="true">NORMINV(RAND(),0,J$7)</f>
        <v>-0.504002091303067</v>
      </c>
      <c r="K77" s="53" t="n">
        <f aca="true">NORMINV(RAND(),0,K$7)</f>
        <v>0.886914732139958</v>
      </c>
      <c r="L77" s="53" t="n">
        <f aca="true">NORMINV(RAND(),0,L$7)</f>
        <v>0.15917173770252</v>
      </c>
      <c r="M77" s="53" t="n">
        <f aca="true">NORMINV(RAND(),0,M$7)</f>
        <v>0.109055537201964</v>
      </c>
      <c r="N77" s="53" t="n">
        <f aca="true">NORMINV(RAND(),0,N$7)</f>
        <v>-0.0518556521377354</v>
      </c>
      <c r="O77" s="53" t="n">
        <f aca="false">SUM(J77:N77)</f>
        <v>0.599284263603639</v>
      </c>
    </row>
    <row r="78" customFormat="false" ht="15" hidden="false" customHeight="false" outlineLevel="0" collapsed="false">
      <c r="A78" s="2" t="n">
        <v>70</v>
      </c>
      <c r="B78" s="53" t="n">
        <f aca="true">NORMINV(RAND(),0,B$7)</f>
        <v>-2.27228996323579</v>
      </c>
      <c r="C78" s="53" t="n">
        <f aca="true">NORMINV(RAND(),0,C$7)</f>
        <v>-0.172181918521891</v>
      </c>
      <c r="D78" s="53" t="n">
        <f aca="true">NORMINV(RAND(),0,D$7)</f>
        <v>1.49168163933426</v>
      </c>
      <c r="E78" s="53" t="n">
        <f aca="true">NORMINV(RAND(),0,E$7)</f>
        <v>0.268275543119348</v>
      </c>
      <c r="F78" s="53" t="n">
        <f aca="true">NORMINV(RAND(),0,F$7)</f>
        <v>-0.218130441361075</v>
      </c>
      <c r="G78" s="53" t="n">
        <f aca="true">NORMINV(RAND(),0,G$7)</f>
        <v>-0.362852005539349</v>
      </c>
      <c r="H78" s="53" t="n">
        <f aca="true">NORMINV(RAND(),0,H$7)</f>
        <v>-0.462860174758708</v>
      </c>
      <c r="I78" s="53" t="n">
        <f aca="false">SUM(B78:H78)</f>
        <v>-1.7283573209632</v>
      </c>
      <c r="J78" s="53" t="n">
        <f aca="true">NORMINV(RAND(),0,J$7)</f>
        <v>1.55699201181902</v>
      </c>
      <c r="K78" s="53" t="n">
        <f aca="true">NORMINV(RAND(),0,K$7)</f>
        <v>-0.227430941891495</v>
      </c>
      <c r="L78" s="53" t="n">
        <f aca="true">NORMINV(RAND(),0,L$7)</f>
        <v>-0.0733169556421639</v>
      </c>
      <c r="M78" s="53" t="n">
        <f aca="true">NORMINV(RAND(),0,M$7)</f>
        <v>-0.434055434278311</v>
      </c>
      <c r="N78" s="53" t="n">
        <f aca="true">NORMINV(RAND(),0,N$7)</f>
        <v>0.368160085821138</v>
      </c>
      <c r="O78" s="53" t="n">
        <f aca="false">SUM(J78:N78)</f>
        <v>1.19034876582819</v>
      </c>
    </row>
    <row r="79" customFormat="false" ht="15" hidden="false" customHeight="false" outlineLevel="0" collapsed="false">
      <c r="A79" s="2" t="n">
        <v>71</v>
      </c>
      <c r="B79" s="53" t="n">
        <f aca="true">NORMINV(RAND(),0,B$7)</f>
        <v>-0.645689470416995</v>
      </c>
      <c r="C79" s="53" t="n">
        <f aca="true">NORMINV(RAND(),0,C$7)</f>
        <v>0.139140088817938</v>
      </c>
      <c r="D79" s="53" t="n">
        <f aca="true">NORMINV(RAND(),0,D$7)</f>
        <v>-0.743722079066938</v>
      </c>
      <c r="E79" s="53" t="n">
        <f aca="true">NORMINV(RAND(),0,E$7)</f>
        <v>-0.255934604042353</v>
      </c>
      <c r="F79" s="53" t="n">
        <f aca="true">NORMINV(RAND(),0,F$7)</f>
        <v>-0.0199436119353836</v>
      </c>
      <c r="G79" s="53" t="n">
        <f aca="true">NORMINV(RAND(),0,G$7)</f>
        <v>-2.60121813338737</v>
      </c>
      <c r="H79" s="53" t="n">
        <f aca="true">NORMINV(RAND(),0,H$7)</f>
        <v>0.306586417045118</v>
      </c>
      <c r="I79" s="53" t="n">
        <f aca="false">SUM(B79:H79)</f>
        <v>-3.82078139298598</v>
      </c>
      <c r="J79" s="53" t="n">
        <f aca="true">NORMINV(RAND(),0,J$7)</f>
        <v>-0.834694188121572</v>
      </c>
      <c r="K79" s="53" t="n">
        <f aca="true">NORMINV(RAND(),0,K$7)</f>
        <v>1.8664317164629</v>
      </c>
      <c r="L79" s="53" t="n">
        <f aca="true">NORMINV(RAND(),0,L$7)</f>
        <v>-0.314036263215168</v>
      </c>
      <c r="M79" s="53" t="n">
        <f aca="true">NORMINV(RAND(),0,M$7)</f>
        <v>-0.224009540854625</v>
      </c>
      <c r="N79" s="53" t="n">
        <f aca="true">NORMINV(RAND(),0,N$7)</f>
        <v>-0.18746352236448</v>
      </c>
      <c r="O79" s="53" t="n">
        <f aca="false">SUM(J79:N79)</f>
        <v>0.306228201907059</v>
      </c>
    </row>
    <row r="80" customFormat="false" ht="15" hidden="false" customHeight="false" outlineLevel="0" collapsed="false">
      <c r="A80" s="2" t="n">
        <v>72</v>
      </c>
      <c r="B80" s="53" t="n">
        <f aca="true">NORMINV(RAND(),0,B$7)</f>
        <v>0.777700775101732</v>
      </c>
      <c r="C80" s="53" t="n">
        <f aca="true">NORMINV(RAND(),0,C$7)</f>
        <v>0.346468293111003</v>
      </c>
      <c r="D80" s="53" t="n">
        <f aca="true">NORMINV(RAND(),0,D$7)</f>
        <v>-1.31566493224333</v>
      </c>
      <c r="E80" s="53" t="n">
        <f aca="true">NORMINV(RAND(),0,E$7)</f>
        <v>0.17267343414932</v>
      </c>
      <c r="F80" s="53" t="n">
        <f aca="true">NORMINV(RAND(),0,F$7)</f>
        <v>-0.135573723742472</v>
      </c>
      <c r="G80" s="53" t="n">
        <f aca="true">NORMINV(RAND(),0,G$7)</f>
        <v>-0.361314902028212</v>
      </c>
      <c r="H80" s="53" t="n">
        <f aca="true">NORMINV(RAND(),0,H$7)</f>
        <v>-0.0650183733587679</v>
      </c>
      <c r="I80" s="53" t="n">
        <f aca="false">SUM(B80:H80)</f>
        <v>-0.580729429010727</v>
      </c>
      <c r="J80" s="53" t="n">
        <f aca="true">NORMINV(RAND(),0,J$7)</f>
        <v>0.371013755468298</v>
      </c>
      <c r="K80" s="53" t="n">
        <f aca="true">NORMINV(RAND(),0,K$7)</f>
        <v>-0.653504856199868</v>
      </c>
      <c r="L80" s="53" t="n">
        <f aca="true">NORMINV(RAND(),0,L$7)</f>
        <v>0.432988561798527</v>
      </c>
      <c r="M80" s="53" t="n">
        <f aca="true">NORMINV(RAND(),0,M$7)</f>
        <v>0.382824696728259</v>
      </c>
      <c r="N80" s="53" t="n">
        <f aca="true">NORMINV(RAND(),0,N$7)</f>
        <v>-0.0622236430099039</v>
      </c>
      <c r="O80" s="53" t="n">
        <f aca="false">SUM(J80:N80)</f>
        <v>0.471098514785312</v>
      </c>
    </row>
    <row r="81" customFormat="false" ht="15" hidden="false" customHeight="false" outlineLevel="0" collapsed="false">
      <c r="A81" s="2" t="n">
        <v>73</v>
      </c>
      <c r="B81" s="53" t="n">
        <f aca="true">NORMINV(RAND(),0,B$7)</f>
        <v>2.10808726791372</v>
      </c>
      <c r="C81" s="53" t="n">
        <f aca="true">NORMINV(RAND(),0,C$7)</f>
        <v>-0.655486165503051</v>
      </c>
      <c r="D81" s="53" t="n">
        <f aca="true">NORMINV(RAND(),0,D$7)</f>
        <v>-0.716956973764272</v>
      </c>
      <c r="E81" s="53" t="n">
        <f aca="true">NORMINV(RAND(),0,E$7)</f>
        <v>-0.315454241940293</v>
      </c>
      <c r="F81" s="53" t="n">
        <f aca="true">NORMINV(RAND(),0,F$7)</f>
        <v>-0.247637768111378</v>
      </c>
      <c r="G81" s="53" t="n">
        <f aca="true">NORMINV(RAND(),0,G$7)</f>
        <v>0.227323480216956</v>
      </c>
      <c r="H81" s="53" t="n">
        <f aca="true">NORMINV(RAND(),0,H$7)</f>
        <v>0.358731117036401</v>
      </c>
      <c r="I81" s="53" t="n">
        <f aca="false">SUM(B81:H81)</f>
        <v>0.758606715848084</v>
      </c>
      <c r="J81" s="53" t="n">
        <f aca="true">NORMINV(RAND(),0,J$7)</f>
        <v>2.16196299285685</v>
      </c>
      <c r="K81" s="53" t="n">
        <f aca="true">NORMINV(RAND(),0,K$7)</f>
        <v>-0.364599592714131</v>
      </c>
      <c r="L81" s="53" t="n">
        <f aca="true">NORMINV(RAND(),0,L$7)</f>
        <v>0.361989857287605</v>
      </c>
      <c r="M81" s="53" t="n">
        <f aca="true">NORMINV(RAND(),0,M$7)</f>
        <v>-0.123937432594584</v>
      </c>
      <c r="N81" s="53" t="n">
        <f aca="true">NORMINV(RAND(),0,N$7)</f>
        <v>-0.509972969828282</v>
      </c>
      <c r="O81" s="53" t="n">
        <f aca="false">SUM(J81:N81)</f>
        <v>1.52544285500746</v>
      </c>
    </row>
    <row r="82" customFormat="false" ht="15" hidden="false" customHeight="false" outlineLevel="0" collapsed="false">
      <c r="A82" s="2" t="n">
        <v>74</v>
      </c>
      <c r="B82" s="53" t="n">
        <f aca="true">NORMINV(RAND(),0,B$7)</f>
        <v>-0.137138922452627</v>
      </c>
      <c r="C82" s="53" t="n">
        <f aca="true">NORMINV(RAND(),0,C$7)</f>
        <v>1.80061499620242</v>
      </c>
      <c r="D82" s="53" t="n">
        <f aca="true">NORMINV(RAND(),0,D$7)</f>
        <v>-0.501261975898291</v>
      </c>
      <c r="E82" s="53" t="n">
        <f aca="true">NORMINV(RAND(),0,E$7)</f>
        <v>0.0250834957761586</v>
      </c>
      <c r="F82" s="53" t="n">
        <f aca="true">NORMINV(RAND(),0,F$7)</f>
        <v>0.0345058295740262</v>
      </c>
      <c r="G82" s="53" t="n">
        <f aca="true">NORMINV(RAND(),0,G$7)</f>
        <v>-1.3668627839441</v>
      </c>
      <c r="H82" s="53" t="n">
        <f aca="true">NORMINV(RAND(),0,H$7)</f>
        <v>0.584349077063219</v>
      </c>
      <c r="I82" s="53" t="n">
        <f aca="false">SUM(B82:H82)</f>
        <v>0.439289716320813</v>
      </c>
      <c r="J82" s="53" t="n">
        <f aca="true">NORMINV(RAND(),0,J$7)</f>
        <v>0.194962695847334</v>
      </c>
      <c r="K82" s="53" t="n">
        <f aca="true">NORMINV(RAND(),0,K$7)</f>
        <v>-0.0777081245774857</v>
      </c>
      <c r="L82" s="53" t="n">
        <f aca="true">NORMINV(RAND(),0,L$7)</f>
        <v>-0.208095603892219</v>
      </c>
      <c r="M82" s="53" t="n">
        <f aca="true">NORMINV(RAND(),0,M$7)</f>
        <v>0.130380019386881</v>
      </c>
      <c r="N82" s="53" t="n">
        <f aca="true">NORMINV(RAND(),0,N$7)</f>
        <v>0.153058813691707</v>
      </c>
      <c r="O82" s="53" t="n">
        <f aca="false">SUM(J82:N82)</f>
        <v>0.192597800456218</v>
      </c>
    </row>
    <row r="83" customFormat="false" ht="15" hidden="false" customHeight="false" outlineLevel="0" collapsed="false">
      <c r="A83" s="2" t="n">
        <v>75</v>
      </c>
      <c r="B83" s="53" t="n">
        <f aca="true">NORMINV(RAND(),0,B$7)</f>
        <v>-0.56475487387752</v>
      </c>
      <c r="C83" s="53" t="n">
        <f aca="true">NORMINV(RAND(),0,C$7)</f>
        <v>-0.550554735953351</v>
      </c>
      <c r="D83" s="53" t="n">
        <f aca="true">NORMINV(RAND(),0,D$7)</f>
        <v>-1.23538451909774</v>
      </c>
      <c r="E83" s="53" t="n">
        <f aca="true">NORMINV(RAND(),0,E$7)</f>
        <v>-0.224104651706775</v>
      </c>
      <c r="F83" s="53" t="n">
        <f aca="true">NORMINV(RAND(),0,F$7)</f>
        <v>-0.259737446937546</v>
      </c>
      <c r="G83" s="53" t="n">
        <f aca="true">NORMINV(RAND(),0,G$7)</f>
        <v>1.46725521823882</v>
      </c>
      <c r="H83" s="53" t="n">
        <f aca="true">NORMINV(RAND(),0,H$7)</f>
        <v>-0.115226677147695</v>
      </c>
      <c r="I83" s="53" t="n">
        <f aca="false">SUM(B83:H83)</f>
        <v>-1.48250768648181</v>
      </c>
      <c r="J83" s="53" t="n">
        <f aca="true">NORMINV(RAND(),0,J$7)</f>
        <v>0.309240459067156</v>
      </c>
      <c r="K83" s="53" t="n">
        <f aca="true">NORMINV(RAND(),0,K$7)</f>
        <v>-0.949186340744701</v>
      </c>
      <c r="L83" s="53" t="n">
        <f aca="true">NORMINV(RAND(),0,L$7)</f>
        <v>0.22360139576257</v>
      </c>
      <c r="M83" s="53" t="n">
        <f aca="true">NORMINV(RAND(),0,M$7)</f>
        <v>0.0160776337756353</v>
      </c>
      <c r="N83" s="53" t="n">
        <f aca="true">NORMINV(RAND(),0,N$7)</f>
        <v>0.083561264389047</v>
      </c>
      <c r="O83" s="53" t="n">
        <f aca="false">SUM(J83:N83)</f>
        <v>-0.316705587750292</v>
      </c>
    </row>
    <row r="84" customFormat="false" ht="15" hidden="false" customHeight="false" outlineLevel="0" collapsed="false">
      <c r="A84" s="2" t="n">
        <v>76</v>
      </c>
      <c r="B84" s="53" t="n">
        <f aca="true">NORMINV(RAND(),0,B$7)</f>
        <v>1.23748931842397</v>
      </c>
      <c r="C84" s="53" t="n">
        <f aca="true">NORMINV(RAND(),0,C$7)</f>
        <v>0.421501067560949</v>
      </c>
      <c r="D84" s="53" t="n">
        <f aca="true">NORMINV(RAND(),0,D$7)</f>
        <v>-1.01744829798528</v>
      </c>
      <c r="E84" s="53" t="n">
        <f aca="true">NORMINV(RAND(),0,E$7)</f>
        <v>-0.562539345346801</v>
      </c>
      <c r="F84" s="53" t="n">
        <f aca="true">NORMINV(RAND(),0,F$7)</f>
        <v>0.0271037470070905</v>
      </c>
      <c r="G84" s="53" t="n">
        <f aca="true">NORMINV(RAND(),0,G$7)</f>
        <v>2.77071377663563</v>
      </c>
      <c r="H84" s="53" t="n">
        <f aca="true">NORMINV(RAND(),0,H$7)</f>
        <v>0.110172757229245</v>
      </c>
      <c r="I84" s="53" t="n">
        <f aca="false">SUM(B84:H84)</f>
        <v>2.9869930235248</v>
      </c>
      <c r="J84" s="53" t="n">
        <f aca="true">NORMINV(RAND(),0,J$7)</f>
        <v>2.08455625292279</v>
      </c>
      <c r="K84" s="53" t="n">
        <f aca="true">NORMINV(RAND(),0,K$7)</f>
        <v>1.53661865485213</v>
      </c>
      <c r="L84" s="53" t="n">
        <f aca="true">NORMINV(RAND(),0,L$7)</f>
        <v>-0.200105774713128</v>
      </c>
      <c r="M84" s="53" t="n">
        <f aca="true">NORMINV(RAND(),0,M$7)</f>
        <v>0.165065282624223</v>
      </c>
      <c r="N84" s="53" t="n">
        <f aca="true">NORMINV(RAND(),0,N$7)</f>
        <v>-0.122031905133742</v>
      </c>
      <c r="O84" s="53" t="n">
        <f aca="false">SUM(J84:N84)</f>
        <v>3.46410251055227</v>
      </c>
    </row>
    <row r="85" customFormat="false" ht="15" hidden="false" customHeight="false" outlineLevel="0" collapsed="false">
      <c r="A85" s="2" t="n">
        <v>77</v>
      </c>
      <c r="B85" s="53" t="n">
        <f aca="true">NORMINV(RAND(),0,B$7)</f>
        <v>0.520662538112712</v>
      </c>
      <c r="C85" s="53" t="n">
        <f aca="true">NORMINV(RAND(),0,C$7)</f>
        <v>-1.17834863615627</v>
      </c>
      <c r="D85" s="53" t="n">
        <f aca="true">NORMINV(RAND(),0,D$7)</f>
        <v>1.25161061687209</v>
      </c>
      <c r="E85" s="53" t="n">
        <f aca="true">NORMINV(RAND(),0,E$7)</f>
        <v>-0.0208095157810358</v>
      </c>
      <c r="F85" s="53" t="n">
        <f aca="true">NORMINV(RAND(),0,F$7)</f>
        <v>0.391927889977997</v>
      </c>
      <c r="G85" s="53" t="n">
        <f aca="true">NORMINV(RAND(),0,G$7)</f>
        <v>-1.10114866977149</v>
      </c>
      <c r="H85" s="53" t="n">
        <f aca="true">NORMINV(RAND(),0,H$7)</f>
        <v>-0.144804818066103</v>
      </c>
      <c r="I85" s="53" t="n">
        <f aca="false">SUM(B85:H85)</f>
        <v>-0.280910594812099</v>
      </c>
      <c r="J85" s="53" t="n">
        <f aca="true">NORMINV(RAND(),0,J$7)</f>
        <v>-3.07253656015465</v>
      </c>
      <c r="K85" s="53" t="n">
        <f aca="true">NORMINV(RAND(),0,K$7)</f>
        <v>-0.183305295980857</v>
      </c>
      <c r="L85" s="53" t="n">
        <f aca="true">NORMINV(RAND(),0,L$7)</f>
        <v>-0.369549982577374</v>
      </c>
      <c r="M85" s="53" t="n">
        <f aca="true">NORMINV(RAND(),0,M$7)</f>
        <v>-0.0716493592355591</v>
      </c>
      <c r="N85" s="53" t="n">
        <f aca="true">NORMINV(RAND(),0,N$7)</f>
        <v>0.0472530249466363</v>
      </c>
      <c r="O85" s="53" t="n">
        <f aca="false">SUM(J85:N85)</f>
        <v>-3.6497881730018</v>
      </c>
    </row>
    <row r="86" customFormat="false" ht="15" hidden="false" customHeight="false" outlineLevel="0" collapsed="false">
      <c r="A86" s="2" t="n">
        <v>78</v>
      </c>
      <c r="B86" s="53" t="n">
        <f aca="true">NORMINV(RAND(),0,B$7)</f>
        <v>-0.526207990968461</v>
      </c>
      <c r="C86" s="53" t="n">
        <f aca="true">NORMINV(RAND(),0,C$7)</f>
        <v>0.56849480506118</v>
      </c>
      <c r="D86" s="53" t="n">
        <f aca="true">NORMINV(RAND(),0,D$7)</f>
        <v>-0.568120614714956</v>
      </c>
      <c r="E86" s="53" t="n">
        <f aca="true">NORMINV(RAND(),0,E$7)</f>
        <v>-1.01157124682776</v>
      </c>
      <c r="F86" s="53" t="n">
        <f aca="true">NORMINV(RAND(),0,F$7)</f>
        <v>0.148152492828877</v>
      </c>
      <c r="G86" s="53" t="n">
        <f aca="true">NORMINV(RAND(),0,G$7)</f>
        <v>1.14482305929256</v>
      </c>
      <c r="H86" s="53" t="n">
        <f aca="true">NORMINV(RAND(),0,H$7)</f>
        <v>0.306596483152371</v>
      </c>
      <c r="I86" s="53" t="n">
        <f aca="false">SUM(B86:H86)</f>
        <v>0.0621669878238108</v>
      </c>
      <c r="J86" s="53" t="n">
        <f aca="true">NORMINV(RAND(),0,J$7)</f>
        <v>-0.295614258275627</v>
      </c>
      <c r="K86" s="53" t="n">
        <f aca="true">NORMINV(RAND(),0,K$7)</f>
        <v>-0.922912331816245</v>
      </c>
      <c r="L86" s="53" t="n">
        <f aca="true">NORMINV(RAND(),0,L$7)</f>
        <v>0.498187499295054</v>
      </c>
      <c r="M86" s="53" t="n">
        <f aca="true">NORMINV(RAND(),0,M$7)</f>
        <v>-0.306583718768524</v>
      </c>
      <c r="N86" s="53" t="n">
        <f aca="true">NORMINV(RAND(),0,N$7)</f>
        <v>-0.347726477415586</v>
      </c>
      <c r="O86" s="53" t="n">
        <f aca="false">SUM(J86:N86)</f>
        <v>-1.37464928698093</v>
      </c>
    </row>
    <row r="87" customFormat="false" ht="15" hidden="false" customHeight="false" outlineLevel="0" collapsed="false">
      <c r="A87" s="2" t="n">
        <v>79</v>
      </c>
      <c r="B87" s="53" t="n">
        <f aca="true">NORMINV(RAND(),0,B$7)</f>
        <v>-0.165167943226555</v>
      </c>
      <c r="C87" s="53" t="n">
        <f aca="true">NORMINV(RAND(),0,C$7)</f>
        <v>-2.2307086404098</v>
      </c>
      <c r="D87" s="53" t="n">
        <f aca="true">NORMINV(RAND(),0,D$7)</f>
        <v>-0.669155947721444</v>
      </c>
      <c r="E87" s="53" t="n">
        <f aca="true">NORMINV(RAND(),0,E$7)</f>
        <v>0.565018429039244</v>
      </c>
      <c r="F87" s="53" t="n">
        <f aca="true">NORMINV(RAND(),0,F$7)</f>
        <v>0.496584741047735</v>
      </c>
      <c r="G87" s="53" t="n">
        <f aca="true">NORMINV(RAND(),0,G$7)</f>
        <v>-0.459267553480247</v>
      </c>
      <c r="H87" s="53" t="n">
        <f aca="true">NORMINV(RAND(),0,H$7)</f>
        <v>0.00663681481606671</v>
      </c>
      <c r="I87" s="53" t="n">
        <f aca="false">SUM(B87:H87)</f>
        <v>-2.456060099935</v>
      </c>
      <c r="J87" s="53" t="n">
        <f aca="true">NORMINV(RAND(),0,J$7)</f>
        <v>-0.528642533408271</v>
      </c>
      <c r="K87" s="53" t="n">
        <f aca="true">NORMINV(RAND(),0,K$7)</f>
        <v>-0.0497990600353029</v>
      </c>
      <c r="L87" s="53" t="n">
        <f aca="true">NORMINV(RAND(),0,L$7)</f>
        <v>0.303657391446239</v>
      </c>
      <c r="M87" s="53" t="n">
        <f aca="true">NORMINV(RAND(),0,M$7)</f>
        <v>-0.0374556947919671</v>
      </c>
      <c r="N87" s="53" t="n">
        <f aca="true">NORMINV(RAND(),0,N$7)</f>
        <v>-0.100950214775216</v>
      </c>
      <c r="O87" s="53" t="n">
        <f aca="false">SUM(J87:N87)</f>
        <v>-0.413190111564517</v>
      </c>
    </row>
    <row r="88" customFormat="false" ht="15" hidden="false" customHeight="false" outlineLevel="0" collapsed="false">
      <c r="A88" s="2" t="n">
        <v>80</v>
      </c>
      <c r="B88" s="53" t="n">
        <f aca="true">NORMINV(RAND(),0,B$7)</f>
        <v>1.70866953370555</v>
      </c>
      <c r="C88" s="53" t="n">
        <f aca="true">NORMINV(RAND(),0,C$7)</f>
        <v>-1.63021510494187</v>
      </c>
      <c r="D88" s="53" t="n">
        <f aca="true">NORMINV(RAND(),0,D$7)</f>
        <v>-1.20140969495748</v>
      </c>
      <c r="E88" s="53" t="n">
        <f aca="true">NORMINV(RAND(),0,E$7)</f>
        <v>-0.623222355320664</v>
      </c>
      <c r="F88" s="53" t="n">
        <f aca="true">NORMINV(RAND(),0,F$7)</f>
        <v>-0.434910753412687</v>
      </c>
      <c r="G88" s="53" t="n">
        <f aca="true">NORMINV(RAND(),0,G$7)</f>
        <v>0.948420585667687</v>
      </c>
      <c r="H88" s="53" t="n">
        <f aca="true">NORMINV(RAND(),0,H$7)</f>
        <v>-0.000635588417471305</v>
      </c>
      <c r="I88" s="53" t="n">
        <f aca="false">SUM(B88:H88)</f>
        <v>-1.23330337767694</v>
      </c>
      <c r="J88" s="53" t="n">
        <f aca="true">NORMINV(RAND(),0,J$7)</f>
        <v>5.30153452979926</v>
      </c>
      <c r="K88" s="53" t="n">
        <f aca="true">NORMINV(RAND(),0,K$7)</f>
        <v>1.54713711823189</v>
      </c>
      <c r="L88" s="53" t="n">
        <f aca="true">NORMINV(RAND(),0,L$7)</f>
        <v>0.376071522135867</v>
      </c>
      <c r="M88" s="53" t="n">
        <f aca="true">NORMINV(RAND(),0,M$7)</f>
        <v>-0.107969171490541</v>
      </c>
      <c r="N88" s="53" t="n">
        <f aca="true">NORMINV(RAND(),0,N$7)</f>
        <v>-0.0106133747920384</v>
      </c>
      <c r="O88" s="53" t="n">
        <f aca="false">SUM(J88:N88)</f>
        <v>7.10616062388444</v>
      </c>
    </row>
    <row r="89" customFormat="false" ht="15" hidden="false" customHeight="false" outlineLevel="0" collapsed="false">
      <c r="A89" s="2" t="n">
        <v>81</v>
      </c>
      <c r="B89" s="53" t="n">
        <f aca="true">NORMINV(RAND(),0,B$7)</f>
        <v>-1.08311950033589</v>
      </c>
      <c r="C89" s="53" t="n">
        <f aca="true">NORMINV(RAND(),0,C$7)</f>
        <v>0.294119782344691</v>
      </c>
      <c r="D89" s="53" t="n">
        <f aca="true">NORMINV(RAND(),0,D$7)</f>
        <v>-1.06623393355531</v>
      </c>
      <c r="E89" s="53" t="n">
        <f aca="true">NORMINV(RAND(),0,E$7)</f>
        <v>-0.232050333446098</v>
      </c>
      <c r="F89" s="53" t="n">
        <f aca="true">NORMINV(RAND(),0,F$7)</f>
        <v>-0.0300919634394755</v>
      </c>
      <c r="G89" s="53" t="n">
        <f aca="true">NORMINV(RAND(),0,G$7)</f>
        <v>1.28138386327097</v>
      </c>
      <c r="H89" s="53" t="n">
        <f aca="true">NORMINV(RAND(),0,H$7)</f>
        <v>-0.0102491474065108</v>
      </c>
      <c r="I89" s="53" t="n">
        <f aca="false">SUM(B89:H89)</f>
        <v>-0.846241232567634</v>
      </c>
      <c r="J89" s="53" t="n">
        <f aca="true">NORMINV(RAND(),0,J$7)</f>
        <v>1.67980326986594</v>
      </c>
      <c r="K89" s="53" t="n">
        <f aca="true">NORMINV(RAND(),0,K$7)</f>
        <v>0.698174054445294</v>
      </c>
      <c r="L89" s="53" t="n">
        <f aca="true">NORMINV(RAND(),0,L$7)</f>
        <v>0.459166539074306</v>
      </c>
      <c r="M89" s="53" t="n">
        <f aca="true">NORMINV(RAND(),0,M$7)</f>
        <v>-0.0538986506328321</v>
      </c>
      <c r="N89" s="53" t="n">
        <f aca="true">NORMINV(RAND(),0,N$7)</f>
        <v>0.638374667668129</v>
      </c>
      <c r="O89" s="53" t="n">
        <f aca="false">SUM(J89:N89)</f>
        <v>3.42161988042083</v>
      </c>
    </row>
    <row r="90" customFormat="false" ht="15" hidden="false" customHeight="false" outlineLevel="0" collapsed="false">
      <c r="A90" s="2" t="n">
        <v>82</v>
      </c>
      <c r="B90" s="53" t="n">
        <f aca="true">NORMINV(RAND(),0,B$7)</f>
        <v>-0.071622732521635</v>
      </c>
      <c r="C90" s="53" t="n">
        <f aca="true">NORMINV(RAND(),0,C$7)</f>
        <v>-0.149931986575982</v>
      </c>
      <c r="D90" s="53" t="n">
        <f aca="true">NORMINV(RAND(),0,D$7)</f>
        <v>0.697034138417208</v>
      </c>
      <c r="E90" s="53" t="n">
        <f aca="true">NORMINV(RAND(),0,E$7)</f>
        <v>0.0181109197409878</v>
      </c>
      <c r="F90" s="53" t="n">
        <f aca="true">NORMINV(RAND(),0,F$7)</f>
        <v>0.2667238146095</v>
      </c>
      <c r="G90" s="53" t="n">
        <f aca="true">NORMINV(RAND(),0,G$7)</f>
        <v>-0.0859985509980764</v>
      </c>
      <c r="H90" s="53" t="n">
        <f aca="true">NORMINV(RAND(),0,H$7)</f>
        <v>0.265412631653077</v>
      </c>
      <c r="I90" s="53" t="n">
        <f aca="false">SUM(B90:H90)</f>
        <v>0.939728234325079</v>
      </c>
      <c r="J90" s="53" t="n">
        <f aca="true">NORMINV(RAND(),0,J$7)</f>
        <v>-2.61885827197563</v>
      </c>
      <c r="K90" s="53" t="n">
        <f aca="true">NORMINV(RAND(),0,K$7)</f>
        <v>-0.601999880626381</v>
      </c>
      <c r="L90" s="53" t="n">
        <f aca="true">NORMINV(RAND(),0,L$7)</f>
        <v>-0.139159505609335</v>
      </c>
      <c r="M90" s="53" t="n">
        <f aca="true">NORMINV(RAND(),0,M$7)</f>
        <v>0.104389990226934</v>
      </c>
      <c r="N90" s="53" t="n">
        <f aca="true">NORMINV(RAND(),0,N$7)</f>
        <v>0.360707547933513</v>
      </c>
      <c r="O90" s="53" t="n">
        <f aca="false">SUM(J90:N90)</f>
        <v>-2.8949201200509</v>
      </c>
    </row>
    <row r="91" customFormat="false" ht="15" hidden="false" customHeight="false" outlineLevel="0" collapsed="false">
      <c r="A91" s="2" t="n">
        <v>83</v>
      </c>
      <c r="B91" s="53" t="n">
        <f aca="true">NORMINV(RAND(),0,B$7)</f>
        <v>0.972268469161876</v>
      </c>
      <c r="C91" s="53" t="n">
        <f aca="true">NORMINV(RAND(),0,C$7)</f>
        <v>-1.11399332808548</v>
      </c>
      <c r="D91" s="53" t="n">
        <f aca="true">NORMINV(RAND(),0,D$7)</f>
        <v>-1.36446984681293</v>
      </c>
      <c r="E91" s="53" t="n">
        <f aca="true">NORMINV(RAND(),0,E$7)</f>
        <v>-0.273523775125584</v>
      </c>
      <c r="F91" s="53" t="n">
        <f aca="true">NORMINV(RAND(),0,F$7)</f>
        <v>0.0725859957743561</v>
      </c>
      <c r="G91" s="53" t="n">
        <f aca="true">NORMINV(RAND(),0,G$7)</f>
        <v>0.980111934520055</v>
      </c>
      <c r="H91" s="53" t="n">
        <f aca="true">NORMINV(RAND(),0,H$7)</f>
        <v>-0.494388797155496</v>
      </c>
      <c r="I91" s="53" t="n">
        <f aca="false">SUM(B91:H91)</f>
        <v>-1.22140934772321</v>
      </c>
      <c r="J91" s="53" t="n">
        <f aca="true">NORMINV(RAND(),0,J$7)</f>
        <v>3.31225611701963</v>
      </c>
      <c r="K91" s="53" t="n">
        <f aca="true">NORMINV(RAND(),0,K$7)</f>
        <v>-0.74654879320261</v>
      </c>
      <c r="L91" s="53" t="n">
        <f aca="true">NORMINV(RAND(),0,L$7)</f>
        <v>0.299545046332714</v>
      </c>
      <c r="M91" s="53" t="n">
        <f aca="true">NORMINV(RAND(),0,M$7)</f>
        <v>-0.00986704306809904</v>
      </c>
      <c r="N91" s="53" t="n">
        <f aca="true">NORMINV(RAND(),0,N$7)</f>
        <v>-0.0810847146199931</v>
      </c>
      <c r="O91" s="53" t="n">
        <f aca="false">SUM(J91:N91)</f>
        <v>2.77430061246164</v>
      </c>
    </row>
    <row r="92" customFormat="false" ht="15" hidden="false" customHeight="false" outlineLevel="0" collapsed="false">
      <c r="A92" s="2" t="n">
        <v>84</v>
      </c>
      <c r="B92" s="53" t="n">
        <f aca="true">NORMINV(RAND(),0,B$7)</f>
        <v>-0.0448031260916538</v>
      </c>
      <c r="C92" s="53" t="n">
        <f aca="true">NORMINV(RAND(),0,C$7)</f>
        <v>-1.93316602901013</v>
      </c>
      <c r="D92" s="53" t="n">
        <f aca="true">NORMINV(RAND(),0,D$7)</f>
        <v>1.09582067443349</v>
      </c>
      <c r="E92" s="53" t="n">
        <f aca="true">NORMINV(RAND(),0,E$7)</f>
        <v>-0.18123178710184</v>
      </c>
      <c r="F92" s="53" t="n">
        <f aca="true">NORMINV(RAND(),0,F$7)</f>
        <v>0.00274936497837922</v>
      </c>
      <c r="G92" s="53" t="n">
        <f aca="true">NORMINV(RAND(),0,G$7)</f>
        <v>-1.85897882028339</v>
      </c>
      <c r="H92" s="53" t="n">
        <f aca="true">NORMINV(RAND(),0,H$7)</f>
        <v>-0.380024860777078</v>
      </c>
      <c r="I92" s="53" t="n">
        <f aca="false">SUM(B92:H92)</f>
        <v>-3.29963458385222</v>
      </c>
      <c r="J92" s="53" t="n">
        <f aca="true">NORMINV(RAND(),0,J$7)</f>
        <v>3.65078591722491</v>
      </c>
      <c r="K92" s="53" t="n">
        <f aca="true">NORMINV(RAND(),0,K$7)</f>
        <v>0.155492783406021</v>
      </c>
      <c r="L92" s="53" t="n">
        <f aca="true">NORMINV(RAND(),0,L$7)</f>
        <v>-0.21108024662383</v>
      </c>
      <c r="M92" s="53" t="n">
        <f aca="true">NORMINV(RAND(),0,M$7)</f>
        <v>-0.205651817620547</v>
      </c>
      <c r="N92" s="53" t="n">
        <f aca="true">NORMINV(RAND(),0,N$7)</f>
        <v>-0.496516196927204</v>
      </c>
      <c r="O92" s="53" t="n">
        <f aca="false">SUM(J92:N92)</f>
        <v>2.89303043945935</v>
      </c>
    </row>
    <row r="93" customFormat="false" ht="15" hidden="false" customHeight="false" outlineLevel="0" collapsed="false">
      <c r="A93" s="2" t="n">
        <v>85</v>
      </c>
      <c r="B93" s="53" t="n">
        <f aca="true">NORMINV(RAND(),0,B$7)</f>
        <v>-0.498659357524836</v>
      </c>
      <c r="C93" s="53" t="n">
        <f aca="true">NORMINV(RAND(),0,C$7)</f>
        <v>2.50305081919513</v>
      </c>
      <c r="D93" s="53" t="n">
        <f aca="true">NORMINV(RAND(),0,D$7)</f>
        <v>0.425352686087705</v>
      </c>
      <c r="E93" s="53" t="n">
        <f aca="true">NORMINV(RAND(),0,E$7)</f>
        <v>-0.424385781512378</v>
      </c>
      <c r="F93" s="53" t="n">
        <f aca="true">NORMINV(RAND(),0,F$7)</f>
        <v>-0.0239729704073108</v>
      </c>
      <c r="G93" s="53" t="n">
        <f aca="true">NORMINV(RAND(),0,G$7)</f>
        <v>0.384863549404437</v>
      </c>
      <c r="H93" s="53" t="n">
        <f aca="true">NORMINV(RAND(),0,H$7)</f>
        <v>-0.45525924737447</v>
      </c>
      <c r="I93" s="53" t="n">
        <f aca="false">SUM(B93:H93)</f>
        <v>1.91098969786828</v>
      </c>
      <c r="J93" s="53" t="n">
        <f aca="true">NORMINV(RAND(),0,J$7)</f>
        <v>1.51947379404255</v>
      </c>
      <c r="K93" s="53" t="n">
        <f aca="true">NORMINV(RAND(),0,K$7)</f>
        <v>-0.167337433151766</v>
      </c>
      <c r="L93" s="53" t="n">
        <f aca="true">NORMINV(RAND(),0,L$7)</f>
        <v>0.14087000414635</v>
      </c>
      <c r="M93" s="53" t="n">
        <f aca="true">NORMINV(RAND(),0,M$7)</f>
        <v>-0.0678414253835341</v>
      </c>
      <c r="N93" s="53" t="n">
        <f aca="true">NORMINV(RAND(),0,N$7)</f>
        <v>-0.207609757761536</v>
      </c>
      <c r="O93" s="53" t="n">
        <f aca="false">SUM(J93:N93)</f>
        <v>1.21755518189207</v>
      </c>
    </row>
    <row r="94" customFormat="false" ht="15" hidden="false" customHeight="false" outlineLevel="0" collapsed="false">
      <c r="A94" s="2" t="n">
        <v>86</v>
      </c>
      <c r="B94" s="53" t="n">
        <f aca="true">NORMINV(RAND(),0,B$7)</f>
        <v>0.304615110130596</v>
      </c>
      <c r="C94" s="53" t="n">
        <f aca="true">NORMINV(RAND(),0,C$7)</f>
        <v>0.820173651640758</v>
      </c>
      <c r="D94" s="53" t="n">
        <f aca="true">NORMINV(RAND(),0,D$7)</f>
        <v>-1.97138377316094</v>
      </c>
      <c r="E94" s="53" t="n">
        <f aca="true">NORMINV(RAND(),0,E$7)</f>
        <v>-0.200640796980787</v>
      </c>
      <c r="F94" s="53" t="n">
        <f aca="true">NORMINV(RAND(),0,F$7)</f>
        <v>-0.126099072129695</v>
      </c>
      <c r="G94" s="53" t="n">
        <f aca="true">NORMINV(RAND(),0,G$7)</f>
        <v>-1.14537677922748</v>
      </c>
      <c r="H94" s="53" t="n">
        <f aca="true">NORMINV(RAND(),0,H$7)</f>
        <v>0.0776863373222611</v>
      </c>
      <c r="I94" s="53" t="n">
        <f aca="false">SUM(B94:H94)</f>
        <v>-2.24102532240528</v>
      </c>
      <c r="J94" s="53" t="n">
        <f aca="true">NORMINV(RAND(),0,J$7)</f>
        <v>4.50322464523307</v>
      </c>
      <c r="K94" s="53" t="n">
        <f aca="true">NORMINV(RAND(),0,K$7)</f>
        <v>-0.201767925024302</v>
      </c>
      <c r="L94" s="53" t="n">
        <f aca="true">NORMINV(RAND(),0,L$7)</f>
        <v>0.0402235525962502</v>
      </c>
      <c r="M94" s="53" t="n">
        <f aca="true">NORMINV(RAND(),0,M$7)</f>
        <v>-0.0279602894567341</v>
      </c>
      <c r="N94" s="53" t="n">
        <f aca="true">NORMINV(RAND(),0,N$7)</f>
        <v>-0.312339192682314</v>
      </c>
      <c r="O94" s="53" t="n">
        <f aca="false">SUM(J94:N94)</f>
        <v>4.00138079066597</v>
      </c>
    </row>
    <row r="95" customFormat="false" ht="15" hidden="false" customHeight="false" outlineLevel="0" collapsed="false">
      <c r="A95" s="2" t="n">
        <v>87</v>
      </c>
      <c r="B95" s="53" t="n">
        <f aca="true">NORMINV(RAND(),0,B$7)</f>
        <v>-1.73362229748726</v>
      </c>
      <c r="C95" s="53" t="n">
        <f aca="true">NORMINV(RAND(),0,C$7)</f>
        <v>0.309477465480039</v>
      </c>
      <c r="D95" s="53" t="n">
        <f aca="true">NORMINV(RAND(),0,D$7)</f>
        <v>-1.53585743032588</v>
      </c>
      <c r="E95" s="53" t="n">
        <f aca="true">NORMINV(RAND(),0,E$7)</f>
        <v>-0.228990959622863</v>
      </c>
      <c r="F95" s="53" t="n">
        <f aca="true">NORMINV(RAND(),0,F$7)</f>
        <v>0.273037944105599</v>
      </c>
      <c r="G95" s="53" t="n">
        <f aca="true">NORMINV(RAND(),0,G$7)</f>
        <v>0.0269052866300187</v>
      </c>
      <c r="H95" s="53" t="n">
        <f aca="true">NORMINV(RAND(),0,H$7)</f>
        <v>0.30821360663388</v>
      </c>
      <c r="I95" s="53" t="n">
        <f aca="false">SUM(B95:H95)</f>
        <v>-2.58083638458646</v>
      </c>
      <c r="J95" s="53" t="n">
        <f aca="true">NORMINV(RAND(),0,J$7)</f>
        <v>0.170108958641597</v>
      </c>
      <c r="K95" s="53" t="n">
        <f aca="true">NORMINV(RAND(),0,K$7)</f>
        <v>-0.439792271832078</v>
      </c>
      <c r="L95" s="53" t="n">
        <f aca="true">NORMINV(RAND(),0,L$7)</f>
        <v>0.22011977701929</v>
      </c>
      <c r="M95" s="53" t="n">
        <f aca="true">NORMINV(RAND(),0,M$7)</f>
        <v>0.245280093585167</v>
      </c>
      <c r="N95" s="53" t="n">
        <f aca="true">NORMINV(RAND(),0,N$7)</f>
        <v>-0.806355838965398</v>
      </c>
      <c r="O95" s="53" t="n">
        <f aca="false">SUM(J95:N95)</f>
        <v>-0.610639281551421</v>
      </c>
    </row>
    <row r="96" customFormat="false" ht="15" hidden="false" customHeight="false" outlineLevel="0" collapsed="false">
      <c r="A96" s="2" t="n">
        <v>88</v>
      </c>
      <c r="B96" s="53" t="n">
        <f aca="true">NORMINV(RAND(),0,B$7)</f>
        <v>-0.217119153934145</v>
      </c>
      <c r="C96" s="53" t="n">
        <f aca="true">NORMINV(RAND(),0,C$7)</f>
        <v>-2.28013368882097</v>
      </c>
      <c r="D96" s="53" t="n">
        <f aca="true">NORMINV(RAND(),0,D$7)</f>
        <v>0.84435802756321</v>
      </c>
      <c r="E96" s="53" t="n">
        <f aca="true">NORMINV(RAND(),0,E$7)</f>
        <v>-0.445769544152181</v>
      </c>
      <c r="F96" s="53" t="n">
        <f aca="true">NORMINV(RAND(),0,F$7)</f>
        <v>-0.382176968738237</v>
      </c>
      <c r="G96" s="53" t="n">
        <f aca="true">NORMINV(RAND(),0,G$7)</f>
        <v>0.736681398719416</v>
      </c>
      <c r="H96" s="53" t="n">
        <f aca="true">NORMINV(RAND(),0,H$7)</f>
        <v>-0.674070192888714</v>
      </c>
      <c r="I96" s="53" t="n">
        <f aca="false">SUM(B96:H96)</f>
        <v>-2.41823012225162</v>
      </c>
      <c r="J96" s="53" t="n">
        <f aca="true">NORMINV(RAND(),0,J$7)</f>
        <v>3.18615767154367</v>
      </c>
      <c r="K96" s="53" t="n">
        <f aca="true">NORMINV(RAND(),0,K$7)</f>
        <v>0.0755297616189007</v>
      </c>
      <c r="L96" s="53" t="n">
        <f aca="true">NORMINV(RAND(),0,L$7)</f>
        <v>0.41888088071295</v>
      </c>
      <c r="M96" s="53" t="n">
        <f aca="true">NORMINV(RAND(),0,M$7)</f>
        <v>0.0193717219206099</v>
      </c>
      <c r="N96" s="53" t="n">
        <f aca="true">NORMINV(RAND(),0,N$7)</f>
        <v>-0.105148400885966</v>
      </c>
      <c r="O96" s="53" t="n">
        <f aca="false">SUM(J96:N96)</f>
        <v>3.59479163491016</v>
      </c>
    </row>
    <row r="97" customFormat="false" ht="15" hidden="false" customHeight="false" outlineLevel="0" collapsed="false">
      <c r="A97" s="2" t="n">
        <v>89</v>
      </c>
      <c r="B97" s="53" t="n">
        <f aca="true">NORMINV(RAND(),0,B$7)</f>
        <v>-0.931645588362547</v>
      </c>
      <c r="C97" s="53" t="n">
        <f aca="true">NORMINV(RAND(),0,C$7)</f>
        <v>1.57300646086666</v>
      </c>
      <c r="D97" s="53" t="n">
        <f aca="true">NORMINV(RAND(),0,D$7)</f>
        <v>-0.638000833903396</v>
      </c>
      <c r="E97" s="53" t="n">
        <f aca="true">NORMINV(RAND(),0,E$7)</f>
        <v>0.296909853829234</v>
      </c>
      <c r="F97" s="53" t="n">
        <f aca="true">NORMINV(RAND(),0,F$7)</f>
        <v>0.193355427551335</v>
      </c>
      <c r="G97" s="53" t="n">
        <f aca="true">NORMINV(RAND(),0,G$7)</f>
        <v>0.682800979992423</v>
      </c>
      <c r="H97" s="53" t="n">
        <f aca="true">NORMINV(RAND(),0,H$7)</f>
        <v>-0.248243698394388</v>
      </c>
      <c r="I97" s="53" t="n">
        <f aca="false">SUM(B97:H97)</f>
        <v>0.928182601579319</v>
      </c>
      <c r="J97" s="53" t="n">
        <f aca="true">NORMINV(RAND(),0,J$7)</f>
        <v>0.357909248535371</v>
      </c>
      <c r="K97" s="53" t="n">
        <f aca="true">NORMINV(RAND(),0,K$7)</f>
        <v>-0.556832054786678</v>
      </c>
      <c r="L97" s="53" t="n">
        <f aca="true">NORMINV(RAND(),0,L$7)</f>
        <v>-0.0260303088741028</v>
      </c>
      <c r="M97" s="53" t="n">
        <f aca="true">NORMINV(RAND(),0,M$7)</f>
        <v>0.106622571618715</v>
      </c>
      <c r="N97" s="53" t="n">
        <f aca="true">NORMINV(RAND(),0,N$7)</f>
        <v>-0.483815528288232</v>
      </c>
      <c r="O97" s="53" t="n">
        <f aca="false">SUM(J97:N97)</f>
        <v>-0.602146071794927</v>
      </c>
    </row>
    <row r="98" customFormat="false" ht="15" hidden="false" customHeight="false" outlineLevel="0" collapsed="false">
      <c r="A98" s="2" t="n">
        <v>90</v>
      </c>
      <c r="B98" s="53" t="n">
        <f aca="true">NORMINV(RAND(),0,B$7)</f>
        <v>1.09869427964659</v>
      </c>
      <c r="C98" s="53" t="n">
        <f aca="true">NORMINV(RAND(),0,C$7)</f>
        <v>-1.18702490860082</v>
      </c>
      <c r="D98" s="53" t="n">
        <f aca="true">NORMINV(RAND(),0,D$7)</f>
        <v>-3.2556773786172</v>
      </c>
      <c r="E98" s="53" t="n">
        <f aca="true">NORMINV(RAND(),0,E$7)</f>
        <v>0.105922095367787</v>
      </c>
      <c r="F98" s="53" t="n">
        <f aca="true">NORMINV(RAND(),0,F$7)</f>
        <v>0.599532694094737</v>
      </c>
      <c r="G98" s="53" t="n">
        <f aca="true">NORMINV(RAND(),0,G$7)</f>
        <v>-0.0648785235302467</v>
      </c>
      <c r="H98" s="53" t="n">
        <f aca="true">NORMINV(RAND(),0,H$7)</f>
        <v>-0.885105643000649</v>
      </c>
      <c r="I98" s="53" t="n">
        <f aca="false">SUM(B98:H98)</f>
        <v>-3.5885373846398</v>
      </c>
      <c r="J98" s="53" t="n">
        <f aca="true">NORMINV(RAND(),0,J$7)</f>
        <v>-2.3407799434023</v>
      </c>
      <c r="K98" s="53" t="n">
        <f aca="true">NORMINV(RAND(),0,K$7)</f>
        <v>0.033426484067529</v>
      </c>
      <c r="L98" s="53" t="n">
        <f aca="true">NORMINV(RAND(),0,L$7)</f>
        <v>0.744444996142351</v>
      </c>
      <c r="M98" s="53" t="n">
        <f aca="true">NORMINV(RAND(),0,M$7)</f>
        <v>0.0226170690217205</v>
      </c>
      <c r="N98" s="53" t="n">
        <f aca="true">NORMINV(RAND(),0,N$7)</f>
        <v>0.03022967217602</v>
      </c>
      <c r="O98" s="53" t="n">
        <f aca="false">SUM(J98:N98)</f>
        <v>-1.51006172199468</v>
      </c>
    </row>
    <row r="99" customFormat="false" ht="15" hidden="false" customHeight="false" outlineLevel="0" collapsed="false">
      <c r="A99" s="2" t="n">
        <v>91</v>
      </c>
      <c r="B99" s="53" t="n">
        <f aca="true">NORMINV(RAND(),0,B$7)</f>
        <v>0.10538204399717</v>
      </c>
      <c r="C99" s="53" t="n">
        <f aca="true">NORMINV(RAND(),0,C$7)</f>
        <v>0.437235438430364</v>
      </c>
      <c r="D99" s="53" t="n">
        <f aca="true">NORMINV(RAND(),0,D$7)</f>
        <v>-0.804886486687605</v>
      </c>
      <c r="E99" s="53" t="n">
        <f aca="true">NORMINV(RAND(),0,E$7)</f>
        <v>-0.325537414902632</v>
      </c>
      <c r="F99" s="53" t="n">
        <f aca="true">NORMINV(RAND(),0,F$7)</f>
        <v>-0.252354007521046</v>
      </c>
      <c r="G99" s="53" t="n">
        <f aca="true">NORMINV(RAND(),0,G$7)</f>
        <v>-1.33906638554944</v>
      </c>
      <c r="H99" s="53" t="n">
        <f aca="true">NORMINV(RAND(),0,H$7)</f>
        <v>0.26043883927947</v>
      </c>
      <c r="I99" s="53" t="n">
        <f aca="false">SUM(B99:H99)</f>
        <v>-1.91878797295372</v>
      </c>
      <c r="J99" s="53" t="n">
        <f aca="true">NORMINV(RAND(),0,J$7)</f>
        <v>0.773807020320855</v>
      </c>
      <c r="K99" s="53" t="n">
        <f aca="true">NORMINV(RAND(),0,K$7)</f>
        <v>-0.516421921429595</v>
      </c>
      <c r="L99" s="53" t="n">
        <f aca="true">NORMINV(RAND(),0,L$7)</f>
        <v>-0.15238809152936</v>
      </c>
      <c r="M99" s="53" t="n">
        <f aca="true">NORMINV(RAND(),0,M$7)</f>
        <v>-0.0585939055910704</v>
      </c>
      <c r="N99" s="53" t="n">
        <f aca="true">NORMINV(RAND(),0,N$7)</f>
        <v>-0.184544291880955</v>
      </c>
      <c r="O99" s="53" t="n">
        <f aca="false">SUM(J99:N99)</f>
        <v>-0.138141190110126</v>
      </c>
    </row>
    <row r="100" customFormat="false" ht="15" hidden="false" customHeight="false" outlineLevel="0" collapsed="false">
      <c r="A100" s="2" t="n">
        <v>92</v>
      </c>
      <c r="B100" s="53" t="n">
        <f aca="true">NORMINV(RAND(),0,B$7)</f>
        <v>0.829620817438192</v>
      </c>
      <c r="C100" s="53" t="n">
        <f aca="true">NORMINV(RAND(),0,C$7)</f>
        <v>3.13639268298683</v>
      </c>
      <c r="D100" s="53" t="n">
        <f aca="true">NORMINV(RAND(),0,D$7)</f>
        <v>0.872177981780113</v>
      </c>
      <c r="E100" s="53" t="n">
        <f aca="true">NORMINV(RAND(),0,E$7)</f>
        <v>-0.191875184221495</v>
      </c>
      <c r="F100" s="53" t="n">
        <f aca="true">NORMINV(RAND(),0,F$7)</f>
        <v>0.209041192846509</v>
      </c>
      <c r="G100" s="53" t="n">
        <f aca="true">NORMINV(RAND(),0,G$7)</f>
        <v>-1.19424163691718</v>
      </c>
      <c r="H100" s="53" t="n">
        <f aca="true">NORMINV(RAND(),0,H$7)</f>
        <v>-0.173958814436814</v>
      </c>
      <c r="I100" s="53" t="n">
        <f aca="false">SUM(B100:H100)</f>
        <v>3.48715703947616</v>
      </c>
      <c r="J100" s="53" t="n">
        <f aca="true">NORMINV(RAND(),0,J$7)</f>
        <v>1.88824099084022</v>
      </c>
      <c r="K100" s="53" t="n">
        <f aca="true">NORMINV(RAND(),0,K$7)</f>
        <v>-0.047239068947098</v>
      </c>
      <c r="L100" s="53" t="n">
        <f aca="true">NORMINV(RAND(),0,L$7)</f>
        <v>0.424224444098143</v>
      </c>
      <c r="M100" s="53" t="n">
        <f aca="true">NORMINV(RAND(),0,M$7)</f>
        <v>0.428037238348663</v>
      </c>
      <c r="N100" s="53" t="n">
        <f aca="true">NORMINV(RAND(),0,N$7)</f>
        <v>-0.35251342284558</v>
      </c>
      <c r="O100" s="53" t="n">
        <f aca="false">SUM(J100:N100)</f>
        <v>2.34075018149435</v>
      </c>
    </row>
    <row r="101" customFormat="false" ht="15" hidden="false" customHeight="false" outlineLevel="0" collapsed="false">
      <c r="A101" s="2" t="n">
        <v>93</v>
      </c>
      <c r="B101" s="53" t="n">
        <f aca="true">NORMINV(RAND(),0,B$7)</f>
        <v>1.62859728323535</v>
      </c>
      <c r="C101" s="53" t="n">
        <f aca="true">NORMINV(RAND(),0,C$7)</f>
        <v>-0.68735773346654</v>
      </c>
      <c r="D101" s="53" t="n">
        <f aca="true">NORMINV(RAND(),0,D$7)</f>
        <v>0.620861806694542</v>
      </c>
      <c r="E101" s="53" t="n">
        <f aca="true">NORMINV(RAND(),0,E$7)</f>
        <v>-0.413556300328548</v>
      </c>
      <c r="F101" s="53" t="n">
        <f aca="true">NORMINV(RAND(),0,F$7)</f>
        <v>-0.424600906125388</v>
      </c>
      <c r="G101" s="53" t="n">
        <f aca="true">NORMINV(RAND(),0,G$7)</f>
        <v>-0.759004545208048</v>
      </c>
      <c r="H101" s="53" t="n">
        <f aca="true">NORMINV(RAND(),0,H$7)</f>
        <v>-0.0498128724614571</v>
      </c>
      <c r="I101" s="53" t="n">
        <f aca="false">SUM(B101:H101)</f>
        <v>-0.0848732676600849</v>
      </c>
      <c r="J101" s="53" t="n">
        <f aca="true">NORMINV(RAND(),0,J$7)</f>
        <v>-1.79208062420023</v>
      </c>
      <c r="K101" s="53" t="n">
        <f aca="true">NORMINV(RAND(),0,K$7)</f>
        <v>0.294441233914089</v>
      </c>
      <c r="L101" s="53" t="n">
        <f aca="true">NORMINV(RAND(),0,L$7)</f>
        <v>0.186915206494313</v>
      </c>
      <c r="M101" s="53" t="n">
        <f aca="true">NORMINV(RAND(),0,M$7)</f>
        <v>-0.0468655589284305</v>
      </c>
      <c r="N101" s="53" t="n">
        <f aca="true">NORMINV(RAND(),0,N$7)</f>
        <v>0.102901640434497</v>
      </c>
      <c r="O101" s="53" t="n">
        <f aca="false">SUM(J101:N101)</f>
        <v>-1.25468810228576</v>
      </c>
    </row>
    <row r="102" customFormat="false" ht="15" hidden="false" customHeight="false" outlineLevel="0" collapsed="false">
      <c r="A102" s="2" t="n">
        <v>94</v>
      </c>
      <c r="B102" s="53" t="n">
        <f aca="true">NORMINV(RAND(),0,B$7)</f>
        <v>-0.521018510450746</v>
      </c>
      <c r="C102" s="53" t="n">
        <f aca="true">NORMINV(RAND(),0,C$7)</f>
        <v>3.00499231370977</v>
      </c>
      <c r="D102" s="53" t="n">
        <f aca="true">NORMINV(RAND(),0,D$7)</f>
        <v>2.24852212662891</v>
      </c>
      <c r="E102" s="53" t="n">
        <f aca="true">NORMINV(RAND(),0,E$7)</f>
        <v>0.136265514520444</v>
      </c>
      <c r="F102" s="53" t="n">
        <f aca="true">NORMINV(RAND(),0,F$7)</f>
        <v>0.0307169338152139</v>
      </c>
      <c r="G102" s="53" t="n">
        <f aca="true">NORMINV(RAND(),0,G$7)</f>
        <v>2.15453696872492</v>
      </c>
      <c r="H102" s="53" t="n">
        <f aca="true">NORMINV(RAND(),0,H$7)</f>
        <v>0.545304016556731</v>
      </c>
      <c r="I102" s="53" t="n">
        <f aca="false">SUM(B102:H102)</f>
        <v>7.59931936350524</v>
      </c>
      <c r="J102" s="53" t="n">
        <f aca="true">NORMINV(RAND(),0,J$7)</f>
        <v>-0.0629726243936003</v>
      </c>
      <c r="K102" s="53" t="n">
        <f aca="true">NORMINV(RAND(),0,K$7)</f>
        <v>0.0445741780613646</v>
      </c>
      <c r="L102" s="53" t="n">
        <f aca="true">NORMINV(RAND(),0,L$7)</f>
        <v>0.508537846948408</v>
      </c>
      <c r="M102" s="53" t="n">
        <f aca="true">NORMINV(RAND(),0,M$7)</f>
        <v>0.311272459574484</v>
      </c>
      <c r="N102" s="53" t="n">
        <f aca="true">NORMINV(RAND(),0,N$7)</f>
        <v>0.0553846086466037</v>
      </c>
      <c r="O102" s="53" t="n">
        <f aca="false">SUM(J102:N102)</f>
        <v>0.85679646883726</v>
      </c>
    </row>
    <row r="103" customFormat="false" ht="15" hidden="false" customHeight="false" outlineLevel="0" collapsed="false">
      <c r="A103" s="2" t="n">
        <v>95</v>
      </c>
      <c r="B103" s="53" t="n">
        <f aca="true">NORMINV(RAND(),0,B$7)</f>
        <v>-0.742868429078012</v>
      </c>
      <c r="C103" s="53" t="n">
        <f aca="true">NORMINV(RAND(),0,C$7)</f>
        <v>0.957293826759033</v>
      </c>
      <c r="D103" s="53" t="n">
        <f aca="true">NORMINV(RAND(),0,D$7)</f>
        <v>-2.1921404540728</v>
      </c>
      <c r="E103" s="53" t="n">
        <f aca="true">NORMINV(RAND(),0,E$7)</f>
        <v>0.0925266677740218</v>
      </c>
      <c r="F103" s="53" t="n">
        <f aca="true">NORMINV(RAND(),0,F$7)</f>
        <v>-0.145886982082588</v>
      </c>
      <c r="G103" s="53" t="n">
        <f aca="true">NORMINV(RAND(),0,G$7)</f>
        <v>-0.486324384198548</v>
      </c>
      <c r="H103" s="53" t="n">
        <f aca="true">NORMINV(RAND(),0,H$7)</f>
        <v>0.429609554907601</v>
      </c>
      <c r="I103" s="53" t="n">
        <f aca="false">SUM(B103:H103)</f>
        <v>-2.08779019999129</v>
      </c>
      <c r="J103" s="53" t="n">
        <f aca="true">NORMINV(RAND(),0,J$7)</f>
        <v>2.29161934161853</v>
      </c>
      <c r="K103" s="53" t="n">
        <f aca="true">NORMINV(RAND(),0,K$7)</f>
        <v>0.840558251865904</v>
      </c>
      <c r="L103" s="53" t="n">
        <f aca="true">NORMINV(RAND(),0,L$7)</f>
        <v>-0.348553865909267</v>
      </c>
      <c r="M103" s="53" t="n">
        <f aca="true">NORMINV(RAND(),0,M$7)</f>
        <v>0.0827541546923074</v>
      </c>
      <c r="N103" s="53" t="n">
        <f aca="true">NORMINV(RAND(),0,N$7)</f>
        <v>0.182062938982882</v>
      </c>
      <c r="O103" s="53" t="n">
        <f aca="false">SUM(J103:N103)</f>
        <v>3.04844082125036</v>
      </c>
    </row>
    <row r="104" customFormat="false" ht="15" hidden="false" customHeight="false" outlineLevel="0" collapsed="false">
      <c r="A104" s="2" t="n">
        <v>96</v>
      </c>
      <c r="B104" s="53" t="n">
        <f aca="true">NORMINV(RAND(),0,B$7)</f>
        <v>3.80759765896883</v>
      </c>
      <c r="C104" s="53" t="n">
        <f aca="true">NORMINV(RAND(),0,C$7)</f>
        <v>-2.0817550941811</v>
      </c>
      <c r="D104" s="53" t="n">
        <f aca="true">NORMINV(RAND(),0,D$7)</f>
        <v>-1.00839700637944</v>
      </c>
      <c r="E104" s="53" t="n">
        <f aca="true">NORMINV(RAND(),0,E$7)</f>
        <v>-0.788228137739787</v>
      </c>
      <c r="F104" s="53" t="n">
        <f aca="true">NORMINV(RAND(),0,F$7)</f>
        <v>0.195853351573974</v>
      </c>
      <c r="G104" s="53" t="n">
        <f aca="true">NORMINV(RAND(),0,G$7)</f>
        <v>0.347305123442271</v>
      </c>
      <c r="H104" s="53" t="n">
        <f aca="true">NORMINV(RAND(),0,H$7)</f>
        <v>-0.326885079064662</v>
      </c>
      <c r="I104" s="53" t="n">
        <f aca="false">SUM(B104:H104)</f>
        <v>0.145490816620085</v>
      </c>
      <c r="J104" s="53" t="n">
        <f aca="true">NORMINV(RAND(),0,J$7)</f>
        <v>-1.68865917449361</v>
      </c>
      <c r="K104" s="53" t="n">
        <f aca="true">NORMINV(RAND(),0,K$7)</f>
        <v>-0.942455690238012</v>
      </c>
      <c r="L104" s="53" t="n">
        <f aca="true">NORMINV(RAND(),0,L$7)</f>
        <v>-0.496070480413736</v>
      </c>
      <c r="M104" s="53" t="n">
        <f aca="true">NORMINV(RAND(),0,M$7)</f>
        <v>-0.320656065852962</v>
      </c>
      <c r="N104" s="53" t="n">
        <f aca="true">NORMINV(RAND(),0,N$7)</f>
        <v>0.465670618943151</v>
      </c>
      <c r="O104" s="53" t="n">
        <f aca="false">SUM(J104:N104)</f>
        <v>-2.98217079205517</v>
      </c>
    </row>
    <row r="105" customFormat="false" ht="15" hidden="false" customHeight="false" outlineLevel="0" collapsed="false">
      <c r="A105" s="2" t="n">
        <v>97</v>
      </c>
      <c r="B105" s="53" t="n">
        <f aca="true">NORMINV(RAND(),0,B$7)</f>
        <v>-0.907961112501262</v>
      </c>
      <c r="C105" s="53" t="n">
        <f aca="true">NORMINV(RAND(),0,C$7)</f>
        <v>-0.682208449247781</v>
      </c>
      <c r="D105" s="53" t="n">
        <f aca="true">NORMINV(RAND(),0,D$7)</f>
        <v>0.805468809423008</v>
      </c>
      <c r="E105" s="53" t="n">
        <f aca="true">NORMINV(RAND(),0,E$7)</f>
        <v>-0.0131666790313598</v>
      </c>
      <c r="F105" s="53" t="n">
        <f aca="true">NORMINV(RAND(),0,F$7)</f>
        <v>-0.462026326268056</v>
      </c>
      <c r="G105" s="53" t="n">
        <f aca="true">NORMINV(RAND(),0,G$7)</f>
        <v>-0.819611736159234</v>
      </c>
      <c r="H105" s="53" t="n">
        <f aca="true">NORMINV(RAND(),0,H$7)</f>
        <v>-0.515491038643032</v>
      </c>
      <c r="I105" s="53" t="n">
        <f aca="false">SUM(B105:H105)</f>
        <v>-2.59499653242772</v>
      </c>
      <c r="J105" s="53" t="n">
        <f aca="true">NORMINV(RAND(),0,J$7)</f>
        <v>-0.987059437780503</v>
      </c>
      <c r="K105" s="53" t="n">
        <f aca="true">NORMINV(RAND(),0,K$7)</f>
        <v>-0.348593784915721</v>
      </c>
      <c r="L105" s="53" t="n">
        <f aca="true">NORMINV(RAND(),0,L$7)</f>
        <v>-0.0724182577629478</v>
      </c>
      <c r="M105" s="53" t="n">
        <f aca="true">NORMINV(RAND(),0,M$7)</f>
        <v>-0.0776835526897978</v>
      </c>
      <c r="N105" s="53" t="n">
        <f aca="true">NORMINV(RAND(),0,N$7)</f>
        <v>-0.186229249361901</v>
      </c>
      <c r="O105" s="53" t="n">
        <f aca="false">SUM(J105:N105)</f>
        <v>-1.67198428251087</v>
      </c>
    </row>
    <row r="106" customFormat="false" ht="15" hidden="false" customHeight="false" outlineLevel="0" collapsed="false">
      <c r="A106" s="2" t="n">
        <v>98</v>
      </c>
      <c r="B106" s="53" t="n">
        <f aca="true">NORMINV(RAND(),0,B$7)</f>
        <v>-0.757974726546702</v>
      </c>
      <c r="C106" s="53" t="n">
        <f aca="true">NORMINV(RAND(),0,C$7)</f>
        <v>0.696801339563612</v>
      </c>
      <c r="D106" s="53" t="n">
        <f aca="true">NORMINV(RAND(),0,D$7)</f>
        <v>2.35217674281893</v>
      </c>
      <c r="E106" s="53" t="n">
        <f aca="true">NORMINV(RAND(),0,E$7)</f>
        <v>-0.339267864185956</v>
      </c>
      <c r="F106" s="53" t="n">
        <f aca="true">NORMINV(RAND(),0,F$7)</f>
        <v>0.512500956103218</v>
      </c>
      <c r="G106" s="53" t="n">
        <f aca="true">NORMINV(RAND(),0,G$7)</f>
        <v>-2.45299107249705</v>
      </c>
      <c r="H106" s="53" t="n">
        <f aca="true">NORMINV(RAND(),0,H$7)</f>
        <v>0.134625078389882</v>
      </c>
      <c r="I106" s="53" t="n">
        <f aca="false">SUM(B106:H106)</f>
        <v>0.145870453645935</v>
      </c>
      <c r="J106" s="53" t="n">
        <f aca="true">NORMINV(RAND(),0,J$7)</f>
        <v>3.99604150444502</v>
      </c>
      <c r="K106" s="53" t="n">
        <f aca="true">NORMINV(RAND(),0,K$7)</f>
        <v>0.631782126580464</v>
      </c>
      <c r="L106" s="53" t="n">
        <f aca="true">NORMINV(RAND(),0,L$7)</f>
        <v>0.291143640357362</v>
      </c>
      <c r="M106" s="53" t="n">
        <f aca="true">NORMINV(RAND(),0,M$7)</f>
        <v>0.0234799425895073</v>
      </c>
      <c r="N106" s="53" t="n">
        <f aca="true">NORMINV(RAND(),0,N$7)</f>
        <v>-0.270836521704536</v>
      </c>
      <c r="O106" s="53" t="n">
        <f aca="false">SUM(J106:N106)</f>
        <v>4.67161069226781</v>
      </c>
    </row>
    <row r="107" customFormat="false" ht="15" hidden="false" customHeight="false" outlineLevel="0" collapsed="false">
      <c r="A107" s="2" t="n">
        <v>99</v>
      </c>
      <c r="B107" s="53" t="n">
        <f aca="true">NORMINV(RAND(),0,B$7)</f>
        <v>2.07801890725111</v>
      </c>
      <c r="C107" s="53" t="n">
        <f aca="true">NORMINV(RAND(),0,C$7)</f>
        <v>-1.32493966078678</v>
      </c>
      <c r="D107" s="53" t="n">
        <f aca="true">NORMINV(RAND(),0,D$7)</f>
        <v>0.865538691803017</v>
      </c>
      <c r="E107" s="53" t="n">
        <f aca="true">NORMINV(RAND(),0,E$7)</f>
        <v>-0.284158912732444</v>
      </c>
      <c r="F107" s="53" t="n">
        <f aca="true">NORMINV(RAND(),0,F$7)</f>
        <v>0.165266489740421</v>
      </c>
      <c r="G107" s="53" t="n">
        <f aca="true">NORMINV(RAND(),0,G$7)</f>
        <v>-0.992186639056073</v>
      </c>
      <c r="H107" s="53" t="n">
        <f aca="true">NORMINV(RAND(),0,H$7)</f>
        <v>0.351729075802136</v>
      </c>
      <c r="I107" s="53" t="n">
        <f aca="false">SUM(B107:H107)</f>
        <v>0.859267952021383</v>
      </c>
      <c r="J107" s="53" t="n">
        <f aca="true">NORMINV(RAND(),0,J$7)</f>
        <v>-0.164833919080776</v>
      </c>
      <c r="K107" s="53" t="n">
        <f aca="true">NORMINV(RAND(),0,K$7)</f>
        <v>-0.0476245759595272</v>
      </c>
      <c r="L107" s="53" t="n">
        <f aca="true">NORMINV(RAND(),0,L$7)</f>
        <v>0.674101787649114</v>
      </c>
      <c r="M107" s="53" t="n">
        <f aca="true">NORMINV(RAND(),0,M$7)</f>
        <v>0.0776138279610613</v>
      </c>
      <c r="N107" s="53" t="n">
        <f aca="true">NORMINV(RAND(),0,N$7)</f>
        <v>-0.354143540404113</v>
      </c>
      <c r="O107" s="53" t="n">
        <f aca="false">SUM(J107:N107)</f>
        <v>0.185113580165758</v>
      </c>
    </row>
    <row r="108" customFormat="false" ht="15" hidden="false" customHeight="false" outlineLevel="0" collapsed="false">
      <c r="A108" s="2" t="n">
        <v>100</v>
      </c>
      <c r="B108" s="53" t="n">
        <f aca="true">NORMINV(RAND(),0,B$7)</f>
        <v>-0.530606469135447</v>
      </c>
      <c r="C108" s="53" t="n">
        <f aca="true">NORMINV(RAND(),0,C$7)</f>
        <v>-0.415998631760778</v>
      </c>
      <c r="D108" s="53" t="n">
        <f aca="true">NORMINV(RAND(),0,D$7)</f>
        <v>-0.36356614818871</v>
      </c>
      <c r="E108" s="53" t="n">
        <f aca="true">NORMINV(RAND(),0,E$7)</f>
        <v>-0.387054738444834</v>
      </c>
      <c r="F108" s="53" t="n">
        <f aca="true">NORMINV(RAND(),0,F$7)</f>
        <v>0.00838127428850178</v>
      </c>
      <c r="G108" s="53" t="n">
        <f aca="true">NORMINV(RAND(),0,G$7)</f>
        <v>0.929669674218565</v>
      </c>
      <c r="H108" s="53" t="n">
        <f aca="true">NORMINV(RAND(),0,H$7)</f>
        <v>-0.705988100607502</v>
      </c>
      <c r="I108" s="53" t="n">
        <f aca="false">SUM(B108:H108)</f>
        <v>-1.4651631396302</v>
      </c>
      <c r="J108" s="53" t="n">
        <f aca="true">NORMINV(RAND(),0,J$7)</f>
        <v>-0.114568782012316</v>
      </c>
      <c r="K108" s="53" t="n">
        <f aca="true">NORMINV(RAND(),0,K$7)</f>
        <v>-0.424179282857514</v>
      </c>
      <c r="L108" s="53" t="n">
        <f aca="true">NORMINV(RAND(),0,L$7)</f>
        <v>0.312253748002829</v>
      </c>
      <c r="M108" s="53" t="n">
        <f aca="true">NORMINV(RAND(),0,M$7)</f>
        <v>0.0339399090341786</v>
      </c>
      <c r="N108" s="53" t="n">
        <f aca="true">NORMINV(RAND(),0,N$7)</f>
        <v>0.647220684957573</v>
      </c>
      <c r="O108" s="53" t="n">
        <f aca="false">SUM(J108:N108)</f>
        <v>0.454666277124751</v>
      </c>
    </row>
    <row r="109" customFormat="false" ht="15" hidden="false" customHeight="false" outlineLevel="0" collapsed="false">
      <c r="A109" s="2" t="n">
        <v>101</v>
      </c>
      <c r="B109" s="53" t="n">
        <f aca="true">NORMINV(RAND(),0,B$7)</f>
        <v>-0.739798309431008</v>
      </c>
      <c r="C109" s="53" t="n">
        <f aca="true">NORMINV(RAND(),0,C$7)</f>
        <v>-2.10467683303828</v>
      </c>
      <c r="D109" s="53" t="n">
        <f aca="true">NORMINV(RAND(),0,D$7)</f>
        <v>-4.32484577092474</v>
      </c>
      <c r="E109" s="53" t="n">
        <f aca="true">NORMINV(RAND(),0,E$7)</f>
        <v>0.0817267939424137</v>
      </c>
      <c r="F109" s="53" t="n">
        <f aca="true">NORMINV(RAND(),0,F$7)</f>
        <v>-0.499122280310695</v>
      </c>
      <c r="G109" s="53" t="n">
        <f aca="true">NORMINV(RAND(),0,G$7)</f>
        <v>-0.858431253742974</v>
      </c>
      <c r="H109" s="53" t="n">
        <f aca="true">NORMINV(RAND(),0,H$7)</f>
        <v>-0.106891476996739</v>
      </c>
      <c r="I109" s="53" t="n">
        <f aca="false">SUM(B109:H109)</f>
        <v>-8.55203913050202</v>
      </c>
      <c r="J109" s="53" t="n">
        <f aca="true">NORMINV(RAND(),0,J$7)</f>
        <v>-0.17771015405829</v>
      </c>
      <c r="K109" s="53" t="n">
        <f aca="true">NORMINV(RAND(),0,K$7)</f>
        <v>-0.146525090387654</v>
      </c>
      <c r="L109" s="53" t="n">
        <f aca="true">NORMINV(RAND(),0,L$7)</f>
        <v>0.19553855156819</v>
      </c>
      <c r="M109" s="53" t="n">
        <f aca="true">NORMINV(RAND(),0,M$7)</f>
        <v>-0.260992035483983</v>
      </c>
      <c r="N109" s="53" t="n">
        <f aca="true">NORMINV(RAND(),0,N$7)</f>
        <v>0.0742294031257277</v>
      </c>
      <c r="O109" s="53" t="n">
        <f aca="false">SUM(J109:N109)</f>
        <v>-0.31545932523601</v>
      </c>
    </row>
    <row r="110" customFormat="false" ht="15" hidden="false" customHeight="false" outlineLevel="0" collapsed="false">
      <c r="A110" s="2" t="n">
        <v>102</v>
      </c>
      <c r="B110" s="53" t="n">
        <f aca="true">NORMINV(RAND(),0,B$7)</f>
        <v>-2.17115925988496</v>
      </c>
      <c r="C110" s="53" t="n">
        <f aca="true">NORMINV(RAND(),0,C$7)</f>
        <v>-0.693220480387742</v>
      </c>
      <c r="D110" s="53" t="n">
        <f aca="true">NORMINV(RAND(),0,D$7)</f>
        <v>0.339825822247288</v>
      </c>
      <c r="E110" s="53" t="n">
        <f aca="true">NORMINV(RAND(),0,E$7)</f>
        <v>-0.00368435717083888</v>
      </c>
      <c r="F110" s="53" t="n">
        <f aca="true">NORMINV(RAND(),0,F$7)</f>
        <v>0.292976704414896</v>
      </c>
      <c r="G110" s="53" t="n">
        <f aca="true">NORMINV(RAND(),0,G$7)</f>
        <v>0.623174079195142</v>
      </c>
      <c r="H110" s="53" t="n">
        <f aca="true">NORMINV(RAND(),0,H$7)</f>
        <v>-0.225467564644355</v>
      </c>
      <c r="I110" s="53" t="n">
        <f aca="false">SUM(B110:H110)</f>
        <v>-1.83755505623057</v>
      </c>
      <c r="J110" s="53" t="n">
        <f aca="true">NORMINV(RAND(),0,J$7)</f>
        <v>-1.34645933081747</v>
      </c>
      <c r="K110" s="53" t="n">
        <f aca="true">NORMINV(RAND(),0,K$7)</f>
        <v>-0.403946000288494</v>
      </c>
      <c r="L110" s="53" t="n">
        <f aca="true">NORMINV(RAND(),0,L$7)</f>
        <v>0.066650058435028</v>
      </c>
      <c r="M110" s="53" t="n">
        <f aca="true">NORMINV(RAND(),0,M$7)</f>
        <v>-0.00890145512527298</v>
      </c>
      <c r="N110" s="53" t="n">
        <f aca="true">NORMINV(RAND(),0,N$7)</f>
        <v>-0.0716845977907257</v>
      </c>
      <c r="O110" s="53" t="n">
        <f aca="false">SUM(J110:N110)</f>
        <v>-1.76434132558693</v>
      </c>
    </row>
    <row r="111" customFormat="false" ht="15" hidden="false" customHeight="false" outlineLevel="0" collapsed="false">
      <c r="A111" s="2" t="n">
        <v>103</v>
      </c>
      <c r="B111" s="53" t="n">
        <f aca="true">NORMINV(RAND(),0,B$7)</f>
        <v>-0.737128543052092</v>
      </c>
      <c r="C111" s="53" t="n">
        <f aca="true">NORMINV(RAND(),0,C$7)</f>
        <v>-0.0746500272173762</v>
      </c>
      <c r="D111" s="53" t="n">
        <f aca="true">NORMINV(RAND(),0,D$7)</f>
        <v>-0.82489727654646</v>
      </c>
      <c r="E111" s="53" t="n">
        <f aca="true">NORMINV(RAND(),0,E$7)</f>
        <v>-0.617688283164669</v>
      </c>
      <c r="F111" s="53" t="n">
        <f aca="true">NORMINV(RAND(),0,F$7)</f>
        <v>-0.239534486290757</v>
      </c>
      <c r="G111" s="53" t="n">
        <f aca="true">NORMINV(RAND(),0,G$7)</f>
        <v>0.571817166373588</v>
      </c>
      <c r="H111" s="53" t="n">
        <f aca="true">NORMINV(RAND(),0,H$7)</f>
        <v>-0.286526667133944</v>
      </c>
      <c r="I111" s="53" t="n">
        <f aca="false">SUM(B111:H111)</f>
        <v>-2.20860811703171</v>
      </c>
      <c r="J111" s="53" t="n">
        <f aca="true">NORMINV(RAND(),0,J$7)</f>
        <v>0.705948420491968</v>
      </c>
      <c r="K111" s="53" t="n">
        <f aca="true">NORMINV(RAND(),0,K$7)</f>
        <v>-1.11168495094952</v>
      </c>
      <c r="L111" s="53" t="n">
        <f aca="true">NORMINV(RAND(),0,L$7)</f>
        <v>0.118475032402294</v>
      </c>
      <c r="M111" s="53" t="n">
        <f aca="true">NORMINV(RAND(),0,M$7)</f>
        <v>-0.0947434557557394</v>
      </c>
      <c r="N111" s="53" t="n">
        <f aca="true">NORMINV(RAND(),0,N$7)</f>
        <v>-0.16536544724056</v>
      </c>
      <c r="O111" s="53" t="n">
        <f aca="false">SUM(J111:N111)</f>
        <v>-0.547370401051555</v>
      </c>
    </row>
    <row r="112" customFormat="false" ht="15" hidden="false" customHeight="false" outlineLevel="0" collapsed="false">
      <c r="A112" s="2" t="n">
        <v>104</v>
      </c>
      <c r="B112" s="53" t="n">
        <f aca="true">NORMINV(RAND(),0,B$7)</f>
        <v>-2.44732977213209</v>
      </c>
      <c r="C112" s="53" t="n">
        <f aca="true">NORMINV(RAND(),0,C$7)</f>
        <v>-0.873536683900788</v>
      </c>
      <c r="D112" s="53" t="n">
        <f aca="true">NORMINV(RAND(),0,D$7)</f>
        <v>1.65069937599609</v>
      </c>
      <c r="E112" s="53" t="n">
        <f aca="true">NORMINV(RAND(),0,E$7)</f>
        <v>-0.292222746779056</v>
      </c>
      <c r="F112" s="53" t="n">
        <f aca="true">NORMINV(RAND(),0,F$7)</f>
        <v>-0.295200931503837</v>
      </c>
      <c r="G112" s="53" t="n">
        <f aca="true">NORMINV(RAND(),0,G$7)</f>
        <v>-1.38904547521459</v>
      </c>
      <c r="H112" s="53" t="n">
        <f aca="true">NORMINV(RAND(),0,H$7)</f>
        <v>-0.136131336250997</v>
      </c>
      <c r="I112" s="53" t="n">
        <f aca="false">SUM(B112:H112)</f>
        <v>-3.78276756978527</v>
      </c>
      <c r="J112" s="53" t="n">
        <f aca="true">NORMINV(RAND(),0,J$7)</f>
        <v>-0.441402969421669</v>
      </c>
      <c r="K112" s="53" t="n">
        <f aca="true">NORMINV(RAND(),0,K$7)</f>
        <v>-0.117438667175957</v>
      </c>
      <c r="L112" s="53" t="n">
        <f aca="true">NORMINV(RAND(),0,L$7)</f>
        <v>0.032799974675297</v>
      </c>
      <c r="M112" s="53" t="n">
        <f aca="true">NORMINV(RAND(),0,M$7)</f>
        <v>0.122365210908154</v>
      </c>
      <c r="N112" s="53" t="n">
        <f aca="true">NORMINV(RAND(),0,N$7)</f>
        <v>0.396343202062607</v>
      </c>
      <c r="O112" s="53" t="n">
        <f aca="false">SUM(J112:N112)</f>
        <v>-0.00733324895156895</v>
      </c>
    </row>
    <row r="113" customFormat="false" ht="15" hidden="false" customHeight="false" outlineLevel="0" collapsed="false">
      <c r="A113" s="2" t="n">
        <v>105</v>
      </c>
      <c r="B113" s="53" t="n">
        <f aca="true">NORMINV(RAND(),0,B$7)</f>
        <v>0.919189351244956</v>
      </c>
      <c r="C113" s="53" t="n">
        <f aca="true">NORMINV(RAND(),0,C$7)</f>
        <v>-0.145309762892615</v>
      </c>
      <c r="D113" s="53" t="n">
        <f aca="true">NORMINV(RAND(),0,D$7)</f>
        <v>0.00970548772837626</v>
      </c>
      <c r="E113" s="53" t="n">
        <f aca="true">NORMINV(RAND(),0,E$7)</f>
        <v>0.596187598284843</v>
      </c>
      <c r="F113" s="53" t="n">
        <f aca="true">NORMINV(RAND(),0,F$7)</f>
        <v>0.425714113248083</v>
      </c>
      <c r="G113" s="53" t="n">
        <f aca="true">NORMINV(RAND(),0,G$7)</f>
        <v>-1.01676741040311</v>
      </c>
      <c r="H113" s="53" t="n">
        <f aca="true">NORMINV(RAND(),0,H$7)</f>
        <v>0.242697298367417</v>
      </c>
      <c r="I113" s="53" t="n">
        <f aca="false">SUM(B113:H113)</f>
        <v>1.03141667557795</v>
      </c>
      <c r="J113" s="53" t="n">
        <f aca="true">NORMINV(RAND(),0,J$7)</f>
        <v>-1.08506530923893</v>
      </c>
      <c r="K113" s="53" t="n">
        <f aca="true">NORMINV(RAND(),0,K$7)</f>
        <v>0.101762878103248</v>
      </c>
      <c r="L113" s="53" t="n">
        <f aca="true">NORMINV(RAND(),0,L$7)</f>
        <v>-0.350512991593046</v>
      </c>
      <c r="M113" s="53" t="n">
        <f aca="true">NORMINV(RAND(),0,M$7)</f>
        <v>-0.0168758280330791</v>
      </c>
      <c r="N113" s="53" t="n">
        <f aca="true">NORMINV(RAND(),0,N$7)</f>
        <v>-0.00671709748880712</v>
      </c>
      <c r="O113" s="53" t="n">
        <f aca="false">SUM(J113:N113)</f>
        <v>-1.35740834825061</v>
      </c>
    </row>
    <row r="114" customFormat="false" ht="15" hidden="false" customHeight="false" outlineLevel="0" collapsed="false">
      <c r="A114" s="2" t="n">
        <v>106</v>
      </c>
      <c r="B114" s="53" t="n">
        <f aca="true">NORMINV(RAND(),0,B$7)</f>
        <v>0.985081379603392</v>
      </c>
      <c r="C114" s="53" t="n">
        <f aca="true">NORMINV(RAND(),0,C$7)</f>
        <v>-1.21242895732091</v>
      </c>
      <c r="D114" s="53" t="n">
        <f aca="true">NORMINV(RAND(),0,D$7)</f>
        <v>-2.13014322027338</v>
      </c>
      <c r="E114" s="53" t="n">
        <f aca="true">NORMINV(RAND(),0,E$7)</f>
        <v>0.120455223835245</v>
      </c>
      <c r="F114" s="53" t="n">
        <f aca="true">NORMINV(RAND(),0,F$7)</f>
        <v>0.305146819254067</v>
      </c>
      <c r="G114" s="53" t="n">
        <f aca="true">NORMINV(RAND(),0,G$7)</f>
        <v>-1.15590226667413</v>
      </c>
      <c r="H114" s="53" t="n">
        <f aca="true">NORMINV(RAND(),0,H$7)</f>
        <v>-0.142042915153022</v>
      </c>
      <c r="I114" s="53" t="n">
        <f aca="false">SUM(B114:H114)</f>
        <v>-3.22983393672874</v>
      </c>
      <c r="J114" s="53" t="n">
        <f aca="true">NORMINV(RAND(),0,J$7)</f>
        <v>0.260507348949067</v>
      </c>
      <c r="K114" s="53" t="n">
        <f aca="true">NORMINV(RAND(),0,K$7)</f>
        <v>-0.649757430954081</v>
      </c>
      <c r="L114" s="53" t="n">
        <f aca="true">NORMINV(RAND(),0,L$7)</f>
        <v>-0.178982093841323</v>
      </c>
      <c r="M114" s="53" t="n">
        <f aca="true">NORMINV(RAND(),0,M$7)</f>
        <v>0.0683239112527947</v>
      </c>
      <c r="N114" s="53" t="n">
        <f aca="true">NORMINV(RAND(),0,N$7)</f>
        <v>-0.123096898518541</v>
      </c>
      <c r="O114" s="53" t="n">
        <f aca="false">SUM(J114:N114)</f>
        <v>-0.623005163112083</v>
      </c>
    </row>
    <row r="115" customFormat="false" ht="15" hidden="false" customHeight="false" outlineLevel="0" collapsed="false">
      <c r="A115" s="2" t="n">
        <v>107</v>
      </c>
      <c r="B115" s="53" t="n">
        <f aca="true">NORMINV(RAND(),0,B$7)</f>
        <v>0.136096066425369</v>
      </c>
      <c r="C115" s="53" t="n">
        <f aca="true">NORMINV(RAND(),0,C$7)</f>
        <v>2.18096787586902</v>
      </c>
      <c r="D115" s="53" t="n">
        <f aca="true">NORMINV(RAND(),0,D$7)</f>
        <v>-1.8926506886727</v>
      </c>
      <c r="E115" s="53" t="n">
        <f aca="true">NORMINV(RAND(),0,E$7)</f>
        <v>-0.473152855933287</v>
      </c>
      <c r="F115" s="53" t="n">
        <f aca="true">NORMINV(RAND(),0,F$7)</f>
        <v>0.140761722252983</v>
      </c>
      <c r="G115" s="53" t="n">
        <f aca="true">NORMINV(RAND(),0,G$7)</f>
        <v>0.770147262306763</v>
      </c>
      <c r="H115" s="53" t="n">
        <f aca="true">NORMINV(RAND(),0,H$7)</f>
        <v>0.260795183797779</v>
      </c>
      <c r="I115" s="53" t="n">
        <f aca="false">SUM(B115:H115)</f>
        <v>1.12296456604593</v>
      </c>
      <c r="J115" s="53" t="n">
        <f aca="true">NORMINV(RAND(),0,J$7)</f>
        <v>1.36174365887549</v>
      </c>
      <c r="K115" s="53" t="n">
        <f aca="true">NORMINV(RAND(),0,K$7)</f>
        <v>1.25720391138772</v>
      </c>
      <c r="L115" s="53" t="n">
        <f aca="true">NORMINV(RAND(),0,L$7)</f>
        <v>0.044124615540094</v>
      </c>
      <c r="M115" s="53" t="n">
        <f aca="true">NORMINV(RAND(),0,M$7)</f>
        <v>-0.0979767403734275</v>
      </c>
      <c r="N115" s="53" t="n">
        <f aca="true">NORMINV(RAND(),0,N$7)</f>
        <v>0.487981934890954</v>
      </c>
      <c r="O115" s="53" t="n">
        <f aca="false">SUM(J115:N115)</f>
        <v>3.05307738032083</v>
      </c>
    </row>
    <row r="116" customFormat="false" ht="15" hidden="false" customHeight="false" outlineLevel="0" collapsed="false">
      <c r="A116" s="2" t="n">
        <v>108</v>
      </c>
      <c r="B116" s="53" t="n">
        <f aca="true">NORMINV(RAND(),0,B$7)</f>
        <v>-0.399254565431119</v>
      </c>
      <c r="C116" s="53" t="n">
        <f aca="true">NORMINV(RAND(),0,C$7)</f>
        <v>-0.340518642526723</v>
      </c>
      <c r="D116" s="53" t="n">
        <f aca="true">NORMINV(RAND(),0,D$7)</f>
        <v>-3.93585077915147</v>
      </c>
      <c r="E116" s="53" t="n">
        <f aca="true">NORMINV(RAND(),0,E$7)</f>
        <v>-0.394301012350223</v>
      </c>
      <c r="F116" s="53" t="n">
        <f aca="true">NORMINV(RAND(),0,F$7)</f>
        <v>0.0499030532215008</v>
      </c>
      <c r="G116" s="53" t="n">
        <f aca="true">NORMINV(RAND(),0,G$7)</f>
        <v>1.26933489815448</v>
      </c>
      <c r="H116" s="53" t="n">
        <f aca="true">NORMINV(RAND(),0,H$7)</f>
        <v>0.402045624887974</v>
      </c>
      <c r="I116" s="53" t="n">
        <f aca="false">SUM(B116:H116)</f>
        <v>-3.34864142319559</v>
      </c>
      <c r="J116" s="53" t="n">
        <f aca="true">NORMINV(RAND(),0,J$7)</f>
        <v>-2.0990807419572</v>
      </c>
      <c r="K116" s="53" t="n">
        <f aca="true">NORMINV(RAND(),0,K$7)</f>
        <v>-0.0911814359138581</v>
      </c>
      <c r="L116" s="53" t="n">
        <f aca="true">NORMINV(RAND(),0,L$7)</f>
        <v>-0.425906999690769</v>
      </c>
      <c r="M116" s="53" t="n">
        <f aca="true">NORMINV(RAND(),0,M$7)</f>
        <v>0.0986243941857498</v>
      </c>
      <c r="N116" s="53" t="n">
        <f aca="true">NORMINV(RAND(),0,N$7)</f>
        <v>0.347260350413427</v>
      </c>
      <c r="O116" s="53" t="n">
        <f aca="false">SUM(J116:N116)</f>
        <v>-2.17028443296265</v>
      </c>
    </row>
    <row r="117" customFormat="false" ht="15" hidden="false" customHeight="false" outlineLevel="0" collapsed="false">
      <c r="A117" s="2" t="n">
        <v>109</v>
      </c>
      <c r="B117" s="53" t="n">
        <f aca="true">NORMINV(RAND(),0,B$7)</f>
        <v>0.0774905342464548</v>
      </c>
      <c r="C117" s="53" t="n">
        <f aca="true">NORMINV(RAND(),0,C$7)</f>
        <v>-1.93540085453993</v>
      </c>
      <c r="D117" s="53" t="n">
        <f aca="true">NORMINV(RAND(),0,D$7)</f>
        <v>-3.54840112916504</v>
      </c>
      <c r="E117" s="53" t="n">
        <f aca="true">NORMINV(RAND(),0,E$7)</f>
        <v>0.131962699448999</v>
      </c>
      <c r="F117" s="53" t="n">
        <f aca="true">NORMINV(RAND(),0,F$7)</f>
        <v>-0.254484878366408</v>
      </c>
      <c r="G117" s="53" t="n">
        <f aca="true">NORMINV(RAND(),0,G$7)</f>
        <v>-1.25694389286231</v>
      </c>
      <c r="H117" s="53" t="n">
        <f aca="true">NORMINV(RAND(),0,H$7)</f>
        <v>0.312871411896222</v>
      </c>
      <c r="I117" s="53" t="n">
        <f aca="false">SUM(B117:H117)</f>
        <v>-6.47290610934201</v>
      </c>
      <c r="J117" s="53" t="n">
        <f aca="true">NORMINV(RAND(),0,J$7)</f>
        <v>2.25863593721274</v>
      </c>
      <c r="K117" s="53" t="n">
        <f aca="true">NORMINV(RAND(),0,K$7)</f>
        <v>-0.206054568773061</v>
      </c>
      <c r="L117" s="53" t="n">
        <f aca="true">NORMINV(RAND(),0,L$7)</f>
        <v>0.146510610387328</v>
      </c>
      <c r="M117" s="53" t="n">
        <f aca="true">NORMINV(RAND(),0,M$7)</f>
        <v>0.0509677827106406</v>
      </c>
      <c r="N117" s="53" t="n">
        <f aca="true">NORMINV(RAND(),0,N$7)</f>
        <v>-0.304872780225467</v>
      </c>
      <c r="O117" s="53" t="n">
        <f aca="false">SUM(J117:N117)</f>
        <v>1.94518698131218</v>
      </c>
    </row>
    <row r="118" customFormat="false" ht="15" hidden="false" customHeight="false" outlineLevel="0" collapsed="false">
      <c r="A118" s="2" t="n">
        <v>110</v>
      </c>
      <c r="B118" s="53" t="n">
        <f aca="true">NORMINV(RAND(),0,B$7)</f>
        <v>-0.793327963667002</v>
      </c>
      <c r="C118" s="53" t="n">
        <f aca="true">NORMINV(RAND(),0,C$7)</f>
        <v>-0.508347013216579</v>
      </c>
      <c r="D118" s="53" t="n">
        <f aca="true">NORMINV(RAND(),0,D$7)</f>
        <v>-3.3231382440031</v>
      </c>
      <c r="E118" s="53" t="n">
        <f aca="true">NORMINV(RAND(),0,E$7)</f>
        <v>-0.340531239534671</v>
      </c>
      <c r="F118" s="53" t="n">
        <f aca="true">NORMINV(RAND(),0,F$7)</f>
        <v>0.128541313286723</v>
      </c>
      <c r="G118" s="53" t="n">
        <f aca="true">NORMINV(RAND(),0,G$7)</f>
        <v>-0.931799291061966</v>
      </c>
      <c r="H118" s="53" t="n">
        <f aca="true">NORMINV(RAND(),0,H$7)</f>
        <v>0.0985884039334469</v>
      </c>
      <c r="I118" s="53" t="n">
        <f aca="false">SUM(B118:H118)</f>
        <v>-5.67001403426315</v>
      </c>
      <c r="J118" s="53" t="n">
        <f aca="true">NORMINV(RAND(),0,J$7)</f>
        <v>-0.00915721326457644</v>
      </c>
      <c r="K118" s="53" t="n">
        <f aca="true">NORMINV(RAND(),0,K$7)</f>
        <v>-0.590884838342173</v>
      </c>
      <c r="L118" s="53" t="n">
        <f aca="true">NORMINV(RAND(),0,L$7)</f>
        <v>0.208928554699759</v>
      </c>
      <c r="M118" s="53" t="n">
        <f aca="true">NORMINV(RAND(),0,M$7)</f>
        <v>0.247807166575412</v>
      </c>
      <c r="N118" s="53" t="n">
        <f aca="true">NORMINV(RAND(),0,N$7)</f>
        <v>-0.216819376017747</v>
      </c>
      <c r="O118" s="53" t="n">
        <f aca="false">SUM(J118:N118)</f>
        <v>-0.360125706349325</v>
      </c>
    </row>
    <row r="119" customFormat="false" ht="15" hidden="false" customHeight="false" outlineLevel="0" collapsed="false">
      <c r="A119" s="2" t="n">
        <v>111</v>
      </c>
      <c r="B119" s="53" t="n">
        <f aca="true">NORMINV(RAND(),0,B$7)</f>
        <v>0.768446018580175</v>
      </c>
      <c r="C119" s="53" t="n">
        <f aca="true">NORMINV(RAND(),0,C$7)</f>
        <v>3.75971638099535</v>
      </c>
      <c r="D119" s="53" t="n">
        <f aca="true">NORMINV(RAND(),0,D$7)</f>
        <v>0.0583535652242555</v>
      </c>
      <c r="E119" s="53" t="n">
        <f aca="true">NORMINV(RAND(),0,E$7)</f>
        <v>0.0989562763118553</v>
      </c>
      <c r="F119" s="53" t="n">
        <f aca="true">NORMINV(RAND(),0,F$7)</f>
        <v>-0.320225606250202</v>
      </c>
      <c r="G119" s="53" t="n">
        <f aca="true">NORMINV(RAND(),0,G$7)</f>
        <v>0.807376285450762</v>
      </c>
      <c r="H119" s="53" t="n">
        <f aca="true">NORMINV(RAND(),0,H$7)</f>
        <v>-0.404550522046299</v>
      </c>
      <c r="I119" s="53" t="n">
        <f aca="false">SUM(B119:H119)</f>
        <v>4.76807239826589</v>
      </c>
      <c r="J119" s="53" t="n">
        <f aca="true">NORMINV(RAND(),0,J$7)</f>
        <v>1.32873208815642</v>
      </c>
      <c r="K119" s="53" t="n">
        <f aca="true">NORMINV(RAND(),0,K$7)</f>
        <v>-1.30210376109357</v>
      </c>
      <c r="L119" s="53" t="n">
        <f aca="true">NORMINV(RAND(),0,L$7)</f>
        <v>0.266573660447006</v>
      </c>
      <c r="M119" s="53" t="n">
        <f aca="true">NORMINV(RAND(),0,M$7)</f>
        <v>0.104745241474118</v>
      </c>
      <c r="N119" s="53" t="n">
        <f aca="true">NORMINV(RAND(),0,N$7)</f>
        <v>0.0274380903675649</v>
      </c>
      <c r="O119" s="53" t="n">
        <f aca="false">SUM(J119:N119)</f>
        <v>0.425385319351533</v>
      </c>
    </row>
    <row r="120" customFormat="false" ht="15" hidden="false" customHeight="false" outlineLevel="0" collapsed="false">
      <c r="A120" s="2" t="n">
        <v>112</v>
      </c>
      <c r="B120" s="53" t="n">
        <f aca="true">NORMINV(RAND(),0,B$7)</f>
        <v>1.56948211964368</v>
      </c>
      <c r="C120" s="53" t="n">
        <f aca="true">NORMINV(RAND(),0,C$7)</f>
        <v>-0.474911673959042</v>
      </c>
      <c r="D120" s="53" t="n">
        <f aca="true">NORMINV(RAND(),0,D$7)</f>
        <v>-3.3366853644941</v>
      </c>
      <c r="E120" s="53" t="n">
        <f aca="true">NORMINV(RAND(),0,E$7)</f>
        <v>0.152035242390913</v>
      </c>
      <c r="F120" s="53" t="n">
        <f aca="true">NORMINV(RAND(),0,F$7)</f>
        <v>-0.296999177850585</v>
      </c>
      <c r="G120" s="53" t="n">
        <f aca="true">NORMINV(RAND(),0,G$7)</f>
        <v>-1.3876302251032</v>
      </c>
      <c r="H120" s="53" t="n">
        <f aca="true">NORMINV(RAND(),0,H$7)</f>
        <v>-0.125629799646931</v>
      </c>
      <c r="I120" s="53" t="n">
        <f aca="false">SUM(B120:H120)</f>
        <v>-3.90033887901927</v>
      </c>
      <c r="J120" s="53" t="n">
        <f aca="true">NORMINV(RAND(),0,J$7)</f>
        <v>-0.716725691556464</v>
      </c>
      <c r="K120" s="53" t="n">
        <f aca="true">NORMINV(RAND(),0,K$7)</f>
        <v>0.0538670417579776</v>
      </c>
      <c r="L120" s="53" t="n">
        <f aca="true">NORMINV(RAND(),0,L$7)</f>
        <v>-0.193875577017055</v>
      </c>
      <c r="M120" s="53" t="n">
        <f aca="true">NORMINV(RAND(),0,M$7)</f>
        <v>-0.0540391600109589</v>
      </c>
      <c r="N120" s="53" t="n">
        <f aca="true">NORMINV(RAND(),0,N$7)</f>
        <v>-0.0487466431570382</v>
      </c>
      <c r="O120" s="53" t="n">
        <f aca="false">SUM(J120:N120)</f>
        <v>-0.959520029983538</v>
      </c>
    </row>
    <row r="121" customFormat="false" ht="15" hidden="false" customHeight="false" outlineLevel="0" collapsed="false">
      <c r="A121" s="2" t="n">
        <v>113</v>
      </c>
      <c r="B121" s="53" t="n">
        <f aca="true">NORMINV(RAND(),0,B$7)</f>
        <v>0.952446858706167</v>
      </c>
      <c r="C121" s="53" t="n">
        <f aca="true">NORMINV(RAND(),0,C$7)</f>
        <v>-2.52997798630534</v>
      </c>
      <c r="D121" s="53" t="n">
        <f aca="true">NORMINV(RAND(),0,D$7)</f>
        <v>2.36102706829609</v>
      </c>
      <c r="E121" s="53" t="n">
        <f aca="true">NORMINV(RAND(),0,E$7)</f>
        <v>0.0875723282447916</v>
      </c>
      <c r="F121" s="53" t="n">
        <f aca="true">NORMINV(RAND(),0,F$7)</f>
        <v>0.400550786021882</v>
      </c>
      <c r="G121" s="53" t="n">
        <f aca="true">NORMINV(RAND(),0,G$7)</f>
        <v>3.49205372915856</v>
      </c>
      <c r="H121" s="53" t="n">
        <f aca="true">NORMINV(RAND(),0,H$7)</f>
        <v>0.216046785017694</v>
      </c>
      <c r="I121" s="53" t="n">
        <f aca="false">SUM(B121:H121)</f>
        <v>4.97971956913984</v>
      </c>
      <c r="J121" s="53" t="n">
        <f aca="true">NORMINV(RAND(),0,J$7)</f>
        <v>-0.266719691297559</v>
      </c>
      <c r="K121" s="53" t="n">
        <f aca="true">NORMINV(RAND(),0,K$7)</f>
        <v>-0.701933055864103</v>
      </c>
      <c r="L121" s="53" t="n">
        <f aca="true">NORMINV(RAND(),0,L$7)</f>
        <v>-0.28514230736734</v>
      </c>
      <c r="M121" s="53" t="n">
        <f aca="true">NORMINV(RAND(),0,M$7)</f>
        <v>0.0124185366136894</v>
      </c>
      <c r="N121" s="53" t="n">
        <f aca="true">NORMINV(RAND(),0,N$7)</f>
        <v>0.0372728439987287</v>
      </c>
      <c r="O121" s="53" t="n">
        <f aca="false">SUM(J121:N121)</f>
        <v>-1.20410367391658</v>
      </c>
    </row>
    <row r="122" customFormat="false" ht="15" hidden="false" customHeight="false" outlineLevel="0" collapsed="false">
      <c r="A122" s="2" t="n">
        <v>114</v>
      </c>
      <c r="B122" s="53" t="n">
        <f aca="true">NORMINV(RAND(),0,B$7)</f>
        <v>-1.00195245953788</v>
      </c>
      <c r="C122" s="53" t="n">
        <f aca="true">NORMINV(RAND(),0,C$7)</f>
        <v>-0.546756157683781</v>
      </c>
      <c r="D122" s="53" t="n">
        <f aca="true">NORMINV(RAND(),0,D$7)</f>
        <v>0.0519060981321907</v>
      </c>
      <c r="E122" s="53" t="n">
        <f aca="true">NORMINV(RAND(),0,E$7)</f>
        <v>0.0970702360148574</v>
      </c>
      <c r="F122" s="53" t="n">
        <f aca="true">NORMINV(RAND(),0,F$7)</f>
        <v>-0.062519069325092</v>
      </c>
      <c r="G122" s="53" t="n">
        <f aca="true">NORMINV(RAND(),0,G$7)</f>
        <v>-0.468934144000727</v>
      </c>
      <c r="H122" s="53" t="n">
        <f aca="true">NORMINV(RAND(),0,H$7)</f>
        <v>-0.368812702763934</v>
      </c>
      <c r="I122" s="53" t="n">
        <f aca="false">SUM(B122:H122)</f>
        <v>-2.29999819916437</v>
      </c>
      <c r="J122" s="53" t="n">
        <f aca="true">NORMINV(RAND(),0,J$7)</f>
        <v>-1.2054950002188</v>
      </c>
      <c r="K122" s="53" t="n">
        <f aca="true">NORMINV(RAND(),0,K$7)</f>
        <v>1.3816868606678</v>
      </c>
      <c r="L122" s="53" t="n">
        <f aca="true">NORMINV(RAND(),0,L$7)</f>
        <v>0.131472073828513</v>
      </c>
      <c r="M122" s="53" t="n">
        <f aca="true">NORMINV(RAND(),0,M$7)</f>
        <v>-0.00546496617888825</v>
      </c>
      <c r="N122" s="53" t="n">
        <f aca="true">NORMINV(RAND(),0,N$7)</f>
        <v>0.314811480906451</v>
      </c>
      <c r="O122" s="53" t="n">
        <f aca="false">SUM(J122:N122)</f>
        <v>0.617010449005077</v>
      </c>
    </row>
    <row r="123" customFormat="false" ht="15" hidden="false" customHeight="false" outlineLevel="0" collapsed="false">
      <c r="A123" s="2" t="n">
        <v>115</v>
      </c>
      <c r="B123" s="53" t="n">
        <f aca="true">NORMINV(RAND(),0,B$7)</f>
        <v>-0.069915369248707</v>
      </c>
      <c r="C123" s="53" t="n">
        <f aca="true">NORMINV(RAND(),0,C$7)</f>
        <v>1.7257436643087</v>
      </c>
      <c r="D123" s="53" t="n">
        <f aca="true">NORMINV(RAND(),0,D$7)</f>
        <v>-1.12169643199815</v>
      </c>
      <c r="E123" s="53" t="n">
        <f aca="true">NORMINV(RAND(),0,E$7)</f>
        <v>0.179125795009046</v>
      </c>
      <c r="F123" s="53" t="n">
        <f aca="true">NORMINV(RAND(),0,F$7)</f>
        <v>-0.0329639047811166</v>
      </c>
      <c r="G123" s="53" t="n">
        <f aca="true">NORMINV(RAND(),0,G$7)</f>
        <v>-0.161608464809919</v>
      </c>
      <c r="H123" s="53" t="n">
        <f aca="true">NORMINV(RAND(),0,H$7)</f>
        <v>-0.778202270237661</v>
      </c>
      <c r="I123" s="53" t="n">
        <f aca="false">SUM(B123:H123)</f>
        <v>-0.259516981757801</v>
      </c>
      <c r="J123" s="53" t="n">
        <f aca="true">NORMINV(RAND(),0,J$7)</f>
        <v>-0.531900281731651</v>
      </c>
      <c r="K123" s="53" t="n">
        <f aca="true">NORMINV(RAND(),0,K$7)</f>
        <v>0.442326884714599</v>
      </c>
      <c r="L123" s="53" t="n">
        <f aca="true">NORMINV(RAND(),0,L$7)</f>
        <v>-0.242068490835973</v>
      </c>
      <c r="M123" s="53" t="n">
        <f aca="true">NORMINV(RAND(),0,M$7)</f>
        <v>0.0383217026018514</v>
      </c>
      <c r="N123" s="53" t="n">
        <f aca="true">NORMINV(RAND(),0,N$7)</f>
        <v>0.28207173412037</v>
      </c>
      <c r="O123" s="53" t="n">
        <f aca="false">SUM(J123:N123)</f>
        <v>-0.0112484511308035</v>
      </c>
    </row>
    <row r="124" customFormat="false" ht="15" hidden="false" customHeight="false" outlineLevel="0" collapsed="false">
      <c r="A124" s="2" t="n">
        <v>116</v>
      </c>
      <c r="B124" s="53" t="n">
        <f aca="true">NORMINV(RAND(),0,B$7)</f>
        <v>0.929709639436493</v>
      </c>
      <c r="C124" s="53" t="n">
        <f aca="true">NORMINV(RAND(),0,C$7)</f>
        <v>2.09120673696985</v>
      </c>
      <c r="D124" s="53" t="n">
        <f aca="true">NORMINV(RAND(),0,D$7)</f>
        <v>2.09496983524648</v>
      </c>
      <c r="E124" s="53" t="n">
        <f aca="true">NORMINV(RAND(),0,E$7)</f>
        <v>0.595242675874423</v>
      </c>
      <c r="F124" s="53" t="n">
        <f aca="true">NORMINV(RAND(),0,F$7)</f>
        <v>0.328781911753033</v>
      </c>
      <c r="G124" s="53" t="n">
        <f aca="true">NORMINV(RAND(),0,G$7)</f>
        <v>-1.96640321569616</v>
      </c>
      <c r="H124" s="53" t="n">
        <f aca="true">NORMINV(RAND(),0,H$7)</f>
        <v>-0.149746522257156</v>
      </c>
      <c r="I124" s="53" t="n">
        <f aca="false">SUM(B124:H124)</f>
        <v>3.92376106132696</v>
      </c>
      <c r="J124" s="53" t="n">
        <f aca="true">NORMINV(RAND(),0,J$7)</f>
        <v>4.22467985117047</v>
      </c>
      <c r="K124" s="53" t="n">
        <f aca="true">NORMINV(RAND(),0,K$7)</f>
        <v>-0.832528196627834</v>
      </c>
      <c r="L124" s="53" t="n">
        <f aca="true">NORMINV(RAND(),0,L$7)</f>
        <v>0.224387627355803</v>
      </c>
      <c r="M124" s="53" t="n">
        <f aca="true">NORMINV(RAND(),0,M$7)</f>
        <v>0.0455656422381165</v>
      </c>
      <c r="N124" s="53" t="n">
        <f aca="true">NORMINV(RAND(),0,N$7)</f>
        <v>0.360417692662857</v>
      </c>
      <c r="O124" s="53" t="n">
        <f aca="false">SUM(J124:N124)</f>
        <v>4.02252261679941</v>
      </c>
    </row>
    <row r="125" customFormat="false" ht="15" hidden="false" customHeight="false" outlineLevel="0" collapsed="false">
      <c r="A125" s="2" t="n">
        <v>117</v>
      </c>
      <c r="B125" s="53" t="n">
        <f aca="true">NORMINV(RAND(),0,B$7)</f>
        <v>0.755481176979956</v>
      </c>
      <c r="C125" s="53" t="n">
        <f aca="true">NORMINV(RAND(),0,C$7)</f>
        <v>1.46632638025583</v>
      </c>
      <c r="D125" s="53" t="n">
        <f aca="true">NORMINV(RAND(),0,D$7)</f>
        <v>1.38934030642055</v>
      </c>
      <c r="E125" s="53" t="n">
        <f aca="true">NORMINV(RAND(),0,E$7)</f>
        <v>0.336974850274258</v>
      </c>
      <c r="F125" s="53" t="n">
        <f aca="true">NORMINV(RAND(),0,F$7)</f>
        <v>-0.598856824793204</v>
      </c>
      <c r="G125" s="53" t="n">
        <f aca="true">NORMINV(RAND(),0,G$7)</f>
        <v>1.68637111372193</v>
      </c>
      <c r="H125" s="53" t="n">
        <f aca="true">NORMINV(RAND(),0,H$7)</f>
        <v>-0.174638379859694</v>
      </c>
      <c r="I125" s="53" t="n">
        <f aca="false">SUM(B125:H125)</f>
        <v>4.86099862299962</v>
      </c>
      <c r="J125" s="53" t="n">
        <f aca="true">NORMINV(RAND(),0,J$7)</f>
        <v>-1.06846250370319</v>
      </c>
      <c r="K125" s="53" t="n">
        <f aca="true">NORMINV(RAND(),0,K$7)</f>
        <v>0.54485181402204</v>
      </c>
      <c r="L125" s="53" t="n">
        <f aca="true">NORMINV(RAND(),0,L$7)</f>
        <v>0.536671332046109</v>
      </c>
      <c r="M125" s="53" t="n">
        <f aca="true">NORMINV(RAND(),0,M$7)</f>
        <v>0.346539639223213</v>
      </c>
      <c r="N125" s="53" t="n">
        <f aca="true">NORMINV(RAND(),0,N$7)</f>
        <v>-0.266916417512652</v>
      </c>
      <c r="O125" s="53" t="n">
        <f aca="false">SUM(J125:N125)</f>
        <v>0.0926838640755191</v>
      </c>
    </row>
    <row r="126" customFormat="false" ht="15" hidden="false" customHeight="false" outlineLevel="0" collapsed="false">
      <c r="A126" s="2" t="n">
        <v>118</v>
      </c>
      <c r="B126" s="53" t="n">
        <f aca="true">NORMINV(RAND(),0,B$7)</f>
        <v>0.333539603902825</v>
      </c>
      <c r="C126" s="53" t="n">
        <f aca="true">NORMINV(RAND(),0,C$7)</f>
        <v>0.238514725233546</v>
      </c>
      <c r="D126" s="53" t="n">
        <f aca="true">NORMINV(RAND(),0,D$7)</f>
        <v>3.04430642564486</v>
      </c>
      <c r="E126" s="53" t="n">
        <f aca="true">NORMINV(RAND(),0,E$7)</f>
        <v>-0.362283450760653</v>
      </c>
      <c r="F126" s="53" t="n">
        <f aca="true">NORMINV(RAND(),0,F$7)</f>
        <v>0.146628314597674</v>
      </c>
      <c r="G126" s="53" t="n">
        <f aca="true">NORMINV(RAND(),0,G$7)</f>
        <v>-0.326930432242292</v>
      </c>
      <c r="H126" s="53" t="n">
        <f aca="true">NORMINV(RAND(),0,H$7)</f>
        <v>-0.137088135668594</v>
      </c>
      <c r="I126" s="53" t="n">
        <f aca="false">SUM(B126:H126)</f>
        <v>2.93668705070736</v>
      </c>
      <c r="J126" s="53" t="n">
        <f aca="true">NORMINV(RAND(),0,J$7)</f>
        <v>-3.05899363360343</v>
      </c>
      <c r="K126" s="53" t="n">
        <f aca="true">NORMINV(RAND(),0,K$7)</f>
        <v>-1.12818421872497</v>
      </c>
      <c r="L126" s="53" t="n">
        <f aca="true">NORMINV(RAND(),0,L$7)</f>
        <v>0.0192099488172195</v>
      </c>
      <c r="M126" s="53" t="n">
        <f aca="true">NORMINV(RAND(),0,M$7)</f>
        <v>-0.0691395120832591</v>
      </c>
      <c r="N126" s="53" t="n">
        <f aca="true">NORMINV(RAND(),0,N$7)</f>
        <v>0.935507416333459</v>
      </c>
      <c r="O126" s="53" t="n">
        <f aca="false">SUM(J126:N126)</f>
        <v>-3.30159999926099</v>
      </c>
    </row>
    <row r="127" customFormat="false" ht="15" hidden="false" customHeight="false" outlineLevel="0" collapsed="false">
      <c r="A127" s="2" t="n">
        <v>119</v>
      </c>
      <c r="B127" s="53" t="n">
        <f aca="true">NORMINV(RAND(),0,B$7)</f>
        <v>-2.75283057873883</v>
      </c>
      <c r="C127" s="53" t="n">
        <f aca="true">NORMINV(RAND(),0,C$7)</f>
        <v>-1.89340054095578</v>
      </c>
      <c r="D127" s="53" t="n">
        <f aca="true">NORMINV(RAND(),0,D$7)</f>
        <v>0.375985272444902</v>
      </c>
      <c r="E127" s="53" t="n">
        <f aca="true">NORMINV(RAND(),0,E$7)</f>
        <v>0.253524539334781</v>
      </c>
      <c r="F127" s="53" t="n">
        <f aca="true">NORMINV(RAND(),0,F$7)</f>
        <v>-0.599710658085803</v>
      </c>
      <c r="G127" s="53" t="n">
        <f aca="true">NORMINV(RAND(),0,G$7)</f>
        <v>1.34979629187096</v>
      </c>
      <c r="H127" s="53" t="n">
        <f aca="true">NORMINV(RAND(),0,H$7)</f>
        <v>-0.203972734117148</v>
      </c>
      <c r="I127" s="53" t="n">
        <f aca="false">SUM(B127:H127)</f>
        <v>-3.47060840824693</v>
      </c>
      <c r="J127" s="53" t="n">
        <f aca="true">NORMINV(RAND(),0,J$7)</f>
        <v>-0.685513140721932</v>
      </c>
      <c r="K127" s="53" t="n">
        <f aca="true">NORMINV(RAND(),0,K$7)</f>
        <v>0.379631788804936</v>
      </c>
      <c r="L127" s="53" t="n">
        <f aca="true">NORMINV(RAND(),0,L$7)</f>
        <v>-0.237826021100564</v>
      </c>
      <c r="M127" s="53" t="n">
        <f aca="true">NORMINV(RAND(),0,M$7)</f>
        <v>-0.00604902080094937</v>
      </c>
      <c r="N127" s="53" t="n">
        <f aca="true">NORMINV(RAND(),0,N$7)</f>
        <v>-0.170744088378732</v>
      </c>
      <c r="O127" s="53" t="n">
        <f aca="false">SUM(J127:N127)</f>
        <v>-0.720500482197241</v>
      </c>
    </row>
    <row r="128" customFormat="false" ht="15" hidden="false" customHeight="false" outlineLevel="0" collapsed="false">
      <c r="A128" s="2" t="n">
        <v>120</v>
      </c>
      <c r="B128" s="53" t="n">
        <f aca="true">NORMINV(RAND(),0,B$7)</f>
        <v>-1.96414684529996</v>
      </c>
      <c r="C128" s="53" t="n">
        <f aca="true">NORMINV(RAND(),0,C$7)</f>
        <v>0.373788449539283</v>
      </c>
      <c r="D128" s="53" t="n">
        <f aca="true">NORMINV(RAND(),0,D$7)</f>
        <v>1.41988611823841</v>
      </c>
      <c r="E128" s="53" t="n">
        <f aca="true">NORMINV(RAND(),0,E$7)</f>
        <v>0.21553611958476</v>
      </c>
      <c r="F128" s="53" t="n">
        <f aca="true">NORMINV(RAND(),0,F$7)</f>
        <v>-0.286004763077224</v>
      </c>
      <c r="G128" s="53" t="n">
        <f aca="true">NORMINV(RAND(),0,G$7)</f>
        <v>-1.6120047935941</v>
      </c>
      <c r="H128" s="53" t="n">
        <f aca="true">NORMINV(RAND(),0,H$7)</f>
        <v>-0.186777562446341</v>
      </c>
      <c r="I128" s="53" t="n">
        <f aca="false">SUM(B128:H128)</f>
        <v>-2.03972327705518</v>
      </c>
      <c r="J128" s="53" t="n">
        <f aca="true">NORMINV(RAND(),0,J$7)</f>
        <v>2.26069959511458</v>
      </c>
      <c r="K128" s="53" t="n">
        <f aca="true">NORMINV(RAND(),0,K$7)</f>
        <v>-0.0525914012180218</v>
      </c>
      <c r="L128" s="53" t="n">
        <f aca="true">NORMINV(RAND(),0,L$7)</f>
        <v>-0.309067755110642</v>
      </c>
      <c r="M128" s="53" t="n">
        <f aca="true">NORMINV(RAND(),0,M$7)</f>
        <v>0.052133296146993</v>
      </c>
      <c r="N128" s="53" t="n">
        <f aca="true">NORMINV(RAND(),0,N$7)</f>
        <v>0.0623079478122401</v>
      </c>
      <c r="O128" s="53" t="n">
        <f aca="false">SUM(J128:N128)</f>
        <v>2.01348168274515</v>
      </c>
    </row>
    <row r="129" customFormat="false" ht="15" hidden="false" customHeight="false" outlineLevel="0" collapsed="false">
      <c r="A129" s="2" t="n">
        <v>121</v>
      </c>
      <c r="B129" s="53" t="n">
        <f aca="true">NORMINV(RAND(),0,B$7)</f>
        <v>-0.171496217891433</v>
      </c>
      <c r="C129" s="53" t="n">
        <f aca="true">NORMINV(RAND(),0,C$7)</f>
        <v>-1.25654535836703</v>
      </c>
      <c r="D129" s="53" t="n">
        <f aca="true">NORMINV(RAND(),0,D$7)</f>
        <v>2.8531498801425</v>
      </c>
      <c r="E129" s="53" t="n">
        <f aca="true">NORMINV(RAND(),0,E$7)</f>
        <v>-0.120263281202308</v>
      </c>
      <c r="F129" s="53" t="n">
        <f aca="true">NORMINV(RAND(),0,F$7)</f>
        <v>-0.496031241685007</v>
      </c>
      <c r="G129" s="53" t="n">
        <f aca="true">NORMINV(RAND(),0,G$7)</f>
        <v>-1.45063631804552</v>
      </c>
      <c r="H129" s="53" t="n">
        <f aca="true">NORMINV(RAND(),0,H$7)</f>
        <v>0.172949805001398</v>
      </c>
      <c r="I129" s="53" t="n">
        <f aca="false">SUM(B129:H129)</f>
        <v>-0.468872732047392</v>
      </c>
      <c r="J129" s="53" t="n">
        <f aca="true">NORMINV(RAND(),0,J$7)</f>
        <v>1.69330117027395</v>
      </c>
      <c r="K129" s="53" t="n">
        <f aca="true">NORMINV(RAND(),0,K$7)</f>
        <v>-1.70640611654929</v>
      </c>
      <c r="L129" s="53" t="n">
        <f aca="true">NORMINV(RAND(),0,L$7)</f>
        <v>-0.229820351890155</v>
      </c>
      <c r="M129" s="53" t="n">
        <f aca="true">NORMINV(RAND(),0,M$7)</f>
        <v>-0.371031987207579</v>
      </c>
      <c r="N129" s="53" t="n">
        <f aca="true">NORMINV(RAND(),0,N$7)</f>
        <v>0.356588199199242</v>
      </c>
      <c r="O129" s="53" t="n">
        <f aca="false">SUM(J129:N129)</f>
        <v>-0.257369086173831</v>
      </c>
    </row>
    <row r="130" customFormat="false" ht="15" hidden="false" customHeight="false" outlineLevel="0" collapsed="false">
      <c r="A130" s="2" t="n">
        <v>122</v>
      </c>
      <c r="B130" s="53" t="n">
        <f aca="true">NORMINV(RAND(),0,B$7)</f>
        <v>1.20135041545807</v>
      </c>
      <c r="C130" s="53" t="n">
        <f aca="true">NORMINV(RAND(),0,C$7)</f>
        <v>-2.08179045791869</v>
      </c>
      <c r="D130" s="53" t="n">
        <f aca="true">NORMINV(RAND(),0,D$7)</f>
        <v>-0.595234557371843</v>
      </c>
      <c r="E130" s="53" t="n">
        <f aca="true">NORMINV(RAND(),0,E$7)</f>
        <v>0.238379293993861</v>
      </c>
      <c r="F130" s="53" t="n">
        <f aca="true">NORMINV(RAND(),0,F$7)</f>
        <v>-0.17509387693057</v>
      </c>
      <c r="G130" s="53" t="n">
        <f aca="true">NORMINV(RAND(),0,G$7)</f>
        <v>-0.440120782981488</v>
      </c>
      <c r="H130" s="53" t="n">
        <f aca="true">NORMINV(RAND(),0,H$7)</f>
        <v>-0.562930149558517</v>
      </c>
      <c r="I130" s="53" t="n">
        <f aca="false">SUM(B130:H130)</f>
        <v>-2.41544011530917</v>
      </c>
      <c r="J130" s="53" t="n">
        <f aca="true">NORMINV(RAND(),0,J$7)</f>
        <v>4.27197972774891</v>
      </c>
      <c r="K130" s="53" t="n">
        <f aca="true">NORMINV(RAND(),0,K$7)</f>
        <v>0.95538374126171</v>
      </c>
      <c r="L130" s="53" t="n">
        <f aca="true">NORMINV(RAND(),0,L$7)</f>
        <v>0.289294203711866</v>
      </c>
      <c r="M130" s="53" t="n">
        <f aca="true">NORMINV(RAND(),0,M$7)</f>
        <v>-0.139987970563214</v>
      </c>
      <c r="N130" s="53" t="n">
        <f aca="true">NORMINV(RAND(),0,N$7)</f>
        <v>-0.547225265732042</v>
      </c>
      <c r="O130" s="53" t="n">
        <f aca="false">SUM(J130:N130)</f>
        <v>4.82944443642722</v>
      </c>
    </row>
    <row r="131" customFormat="false" ht="15" hidden="false" customHeight="false" outlineLevel="0" collapsed="false">
      <c r="A131" s="2" t="n">
        <v>123</v>
      </c>
      <c r="B131" s="53" t="n">
        <f aca="true">NORMINV(RAND(),0,B$7)</f>
        <v>-2.03595275145654</v>
      </c>
      <c r="C131" s="53" t="n">
        <f aca="true">NORMINV(RAND(),0,C$7)</f>
        <v>1.86506728481781</v>
      </c>
      <c r="D131" s="53" t="n">
        <f aca="true">NORMINV(RAND(),0,D$7)</f>
        <v>0.508145215918303</v>
      </c>
      <c r="E131" s="53" t="n">
        <f aca="true">NORMINV(RAND(),0,E$7)</f>
        <v>-0.012844140366924</v>
      </c>
      <c r="F131" s="53" t="n">
        <f aca="true">NORMINV(RAND(),0,F$7)</f>
        <v>0.256298973240455</v>
      </c>
      <c r="G131" s="53" t="n">
        <f aca="true">NORMINV(RAND(),0,G$7)</f>
        <v>-0.212306465982804</v>
      </c>
      <c r="H131" s="53" t="n">
        <f aca="true">NORMINV(RAND(),0,H$7)</f>
        <v>0.0826643420584384</v>
      </c>
      <c r="I131" s="53" t="n">
        <f aca="false">SUM(B131:H131)</f>
        <v>0.451072458228745</v>
      </c>
      <c r="J131" s="53" t="n">
        <f aca="true">NORMINV(RAND(),0,J$7)</f>
        <v>1.57012838928204</v>
      </c>
      <c r="K131" s="53" t="n">
        <f aca="true">NORMINV(RAND(),0,K$7)</f>
        <v>0.804640666698111</v>
      </c>
      <c r="L131" s="53" t="n">
        <f aca="true">NORMINV(RAND(),0,L$7)</f>
        <v>-0.411509981296618</v>
      </c>
      <c r="M131" s="53" t="n">
        <f aca="true">NORMINV(RAND(),0,M$7)</f>
        <v>0.0171934935968998</v>
      </c>
      <c r="N131" s="53" t="n">
        <f aca="true">NORMINV(RAND(),0,N$7)</f>
        <v>0.368140047879734</v>
      </c>
      <c r="O131" s="53" t="n">
        <f aca="false">SUM(J131:N131)</f>
        <v>2.34859261616017</v>
      </c>
    </row>
    <row r="132" customFormat="false" ht="15" hidden="false" customHeight="false" outlineLevel="0" collapsed="false">
      <c r="A132" s="2" t="n">
        <v>124</v>
      </c>
      <c r="B132" s="53" t="n">
        <f aca="true">NORMINV(RAND(),0,B$7)</f>
        <v>0.860922854457318</v>
      </c>
      <c r="C132" s="53" t="n">
        <f aca="true">NORMINV(RAND(),0,C$7)</f>
        <v>1.46575027840422</v>
      </c>
      <c r="D132" s="53" t="n">
        <f aca="true">NORMINV(RAND(),0,D$7)</f>
        <v>-0.409327275094675</v>
      </c>
      <c r="E132" s="53" t="n">
        <f aca="true">NORMINV(RAND(),0,E$7)</f>
        <v>0.180050892512346</v>
      </c>
      <c r="F132" s="53" t="n">
        <f aca="true">NORMINV(RAND(),0,F$7)</f>
        <v>-0.101886412164751</v>
      </c>
      <c r="G132" s="53" t="n">
        <f aca="true">NORMINV(RAND(),0,G$7)</f>
        <v>0.20276200571089</v>
      </c>
      <c r="H132" s="53" t="n">
        <f aca="true">NORMINV(RAND(),0,H$7)</f>
        <v>0.494462207366824</v>
      </c>
      <c r="I132" s="53" t="n">
        <f aca="false">SUM(B132:H132)</f>
        <v>2.69273455119217</v>
      </c>
      <c r="J132" s="53" t="n">
        <f aca="true">NORMINV(RAND(),0,J$7)</f>
        <v>-3.05033409776593</v>
      </c>
      <c r="K132" s="53" t="n">
        <f aca="true">NORMINV(RAND(),0,K$7)</f>
        <v>0.503411599430716</v>
      </c>
      <c r="L132" s="53" t="n">
        <f aca="true">NORMINV(RAND(),0,L$7)</f>
        <v>0.22639576475293</v>
      </c>
      <c r="M132" s="53" t="n">
        <f aca="true">NORMINV(RAND(),0,M$7)</f>
        <v>-0.169750830327107</v>
      </c>
      <c r="N132" s="53" t="n">
        <f aca="true">NORMINV(RAND(),0,N$7)</f>
        <v>0.13775963360248</v>
      </c>
      <c r="O132" s="53" t="n">
        <f aca="false">SUM(J132:N132)</f>
        <v>-2.35251793030691</v>
      </c>
    </row>
    <row r="133" customFormat="false" ht="15" hidden="false" customHeight="false" outlineLevel="0" collapsed="false">
      <c r="A133" s="2" t="n">
        <v>125</v>
      </c>
      <c r="B133" s="53" t="n">
        <f aca="true">NORMINV(RAND(),0,B$7)</f>
        <v>-0.771221342526264</v>
      </c>
      <c r="C133" s="53" t="n">
        <f aca="true">NORMINV(RAND(),0,C$7)</f>
        <v>-0.298769920533009</v>
      </c>
      <c r="D133" s="53" t="n">
        <f aca="true">NORMINV(RAND(),0,D$7)</f>
        <v>0.497174847371035</v>
      </c>
      <c r="E133" s="53" t="n">
        <f aca="true">NORMINV(RAND(),0,E$7)</f>
        <v>-0.168223575895123</v>
      </c>
      <c r="F133" s="53" t="n">
        <f aca="true">NORMINV(RAND(),0,F$7)</f>
        <v>-0.241109326350671</v>
      </c>
      <c r="G133" s="53" t="n">
        <f aca="true">NORMINV(RAND(),0,G$7)</f>
        <v>3.51208460833845</v>
      </c>
      <c r="H133" s="53" t="n">
        <f aca="true">NORMINV(RAND(),0,H$7)</f>
        <v>-0.218869169054195</v>
      </c>
      <c r="I133" s="53" t="n">
        <f aca="false">SUM(B133:H133)</f>
        <v>2.31106612135023</v>
      </c>
      <c r="J133" s="53" t="n">
        <f aca="true">NORMINV(RAND(),0,J$7)</f>
        <v>-0.34310194289268</v>
      </c>
      <c r="K133" s="53" t="n">
        <f aca="true">NORMINV(RAND(),0,K$7)</f>
        <v>-0.398418723952138</v>
      </c>
      <c r="L133" s="53" t="n">
        <f aca="true">NORMINV(RAND(),0,L$7)</f>
        <v>0.112043418100756</v>
      </c>
      <c r="M133" s="53" t="n">
        <f aca="true">NORMINV(RAND(),0,M$7)</f>
        <v>-0.103764402976261</v>
      </c>
      <c r="N133" s="53" t="n">
        <f aca="true">NORMINV(RAND(),0,N$7)</f>
        <v>-0.155493629938434</v>
      </c>
      <c r="O133" s="53" t="n">
        <f aca="false">SUM(J133:N133)</f>
        <v>-0.888735281658757</v>
      </c>
    </row>
    <row r="134" customFormat="false" ht="15" hidden="false" customHeight="false" outlineLevel="0" collapsed="false">
      <c r="A134" s="2" t="n">
        <v>126</v>
      </c>
      <c r="B134" s="53" t="n">
        <f aca="true">NORMINV(RAND(),0,B$7)</f>
        <v>1.26846560033603</v>
      </c>
      <c r="C134" s="53" t="n">
        <f aca="true">NORMINV(RAND(),0,C$7)</f>
        <v>-0.501277636405144</v>
      </c>
      <c r="D134" s="53" t="n">
        <f aca="true">NORMINV(RAND(),0,D$7)</f>
        <v>0.971804276411367</v>
      </c>
      <c r="E134" s="53" t="n">
        <f aca="true">NORMINV(RAND(),0,E$7)</f>
        <v>0.0651320956789259</v>
      </c>
      <c r="F134" s="53" t="n">
        <f aca="true">NORMINV(RAND(),0,F$7)</f>
        <v>0.225442564109089</v>
      </c>
      <c r="G134" s="53" t="n">
        <f aca="true">NORMINV(RAND(),0,G$7)</f>
        <v>-4.37962023521661</v>
      </c>
      <c r="H134" s="53" t="n">
        <f aca="true">NORMINV(RAND(),0,H$7)</f>
        <v>0.135290425328253</v>
      </c>
      <c r="I134" s="53" t="n">
        <f aca="false">SUM(B134:H134)</f>
        <v>-2.21476290975809</v>
      </c>
      <c r="J134" s="53" t="n">
        <f aca="true">NORMINV(RAND(),0,J$7)</f>
        <v>0.164633175477978</v>
      </c>
      <c r="K134" s="53" t="n">
        <f aca="true">NORMINV(RAND(),0,K$7)</f>
        <v>-1.02647276811128</v>
      </c>
      <c r="L134" s="53" t="n">
        <f aca="true">NORMINV(RAND(),0,L$7)</f>
        <v>-0.0567542682432668</v>
      </c>
      <c r="M134" s="53" t="n">
        <f aca="true">NORMINV(RAND(),0,M$7)</f>
        <v>-0.269854172394926</v>
      </c>
      <c r="N134" s="53" t="n">
        <f aca="true">NORMINV(RAND(),0,N$7)</f>
        <v>-0.406641268248567</v>
      </c>
      <c r="O134" s="53" t="n">
        <f aca="false">SUM(J134:N134)</f>
        <v>-1.59508930152006</v>
      </c>
    </row>
    <row r="135" customFormat="false" ht="15" hidden="false" customHeight="false" outlineLevel="0" collapsed="false">
      <c r="A135" s="2" t="n">
        <v>127</v>
      </c>
      <c r="B135" s="53" t="n">
        <f aca="true">NORMINV(RAND(),0,B$7)</f>
        <v>0.933823589387209</v>
      </c>
      <c r="C135" s="53" t="n">
        <f aca="true">NORMINV(RAND(),0,C$7)</f>
        <v>1.49680074497711</v>
      </c>
      <c r="D135" s="53" t="n">
        <f aca="true">NORMINV(RAND(),0,D$7)</f>
        <v>0.429869245462339</v>
      </c>
      <c r="E135" s="53" t="n">
        <f aca="true">NORMINV(RAND(),0,E$7)</f>
        <v>-0.72543570062655</v>
      </c>
      <c r="F135" s="53" t="n">
        <f aca="true">NORMINV(RAND(),0,F$7)</f>
        <v>0.282302255489101</v>
      </c>
      <c r="G135" s="53" t="n">
        <f aca="true">NORMINV(RAND(),0,G$7)</f>
        <v>1.59624888160501</v>
      </c>
      <c r="H135" s="53" t="n">
        <f aca="true">NORMINV(RAND(),0,H$7)</f>
        <v>-0.372431826401317</v>
      </c>
      <c r="I135" s="53" t="n">
        <f aca="false">SUM(B135:H135)</f>
        <v>3.64117718989291</v>
      </c>
      <c r="J135" s="53" t="n">
        <f aca="true">NORMINV(RAND(),0,J$7)</f>
        <v>-0.451010866072676</v>
      </c>
      <c r="K135" s="53" t="n">
        <f aca="true">NORMINV(RAND(),0,K$7)</f>
        <v>0.516207993466686</v>
      </c>
      <c r="L135" s="53" t="n">
        <f aca="true">NORMINV(RAND(),0,L$7)</f>
        <v>-0.040080738563296</v>
      </c>
      <c r="M135" s="53" t="n">
        <f aca="true">NORMINV(RAND(),0,M$7)</f>
        <v>-0.0629351750348271</v>
      </c>
      <c r="N135" s="53" t="n">
        <f aca="true">NORMINV(RAND(),0,N$7)</f>
        <v>-0.23665671264639</v>
      </c>
      <c r="O135" s="53" t="n">
        <f aca="false">SUM(J135:N135)</f>
        <v>-0.274475498850503</v>
      </c>
    </row>
    <row r="136" customFormat="false" ht="15" hidden="false" customHeight="false" outlineLevel="0" collapsed="false">
      <c r="A136" s="2" t="n">
        <v>128</v>
      </c>
      <c r="B136" s="53" t="n">
        <f aca="true">NORMINV(RAND(),0,B$7)</f>
        <v>-1.61314540928075</v>
      </c>
      <c r="C136" s="53" t="n">
        <f aca="true">NORMINV(RAND(),0,C$7)</f>
        <v>1.31384821823039</v>
      </c>
      <c r="D136" s="53" t="n">
        <f aca="true">NORMINV(RAND(),0,D$7)</f>
        <v>2.23853292893292</v>
      </c>
      <c r="E136" s="53" t="n">
        <f aca="true">NORMINV(RAND(),0,E$7)</f>
        <v>-0.394736768490961</v>
      </c>
      <c r="F136" s="53" t="n">
        <f aca="true">NORMINV(RAND(),0,F$7)</f>
        <v>0.0870966351743627</v>
      </c>
      <c r="G136" s="53" t="n">
        <f aca="true">NORMINV(RAND(),0,G$7)</f>
        <v>0.0961105482788765</v>
      </c>
      <c r="H136" s="53" t="n">
        <f aca="true">NORMINV(RAND(),0,H$7)</f>
        <v>-0.0113358867094001</v>
      </c>
      <c r="I136" s="53" t="n">
        <f aca="false">SUM(B136:H136)</f>
        <v>1.71637026613544</v>
      </c>
      <c r="J136" s="53" t="n">
        <f aca="true">NORMINV(RAND(),0,J$7)</f>
        <v>0.682421665976935</v>
      </c>
      <c r="K136" s="53" t="n">
        <f aca="true">NORMINV(RAND(),0,K$7)</f>
        <v>0.356615931355408</v>
      </c>
      <c r="L136" s="53" t="n">
        <f aca="true">NORMINV(RAND(),0,L$7)</f>
        <v>0.0583008088438006</v>
      </c>
      <c r="M136" s="53" t="n">
        <f aca="true">NORMINV(RAND(),0,M$7)</f>
        <v>-0.150229697380229</v>
      </c>
      <c r="N136" s="53" t="n">
        <f aca="true">NORMINV(RAND(),0,N$7)</f>
        <v>0.354885259656108</v>
      </c>
      <c r="O136" s="53" t="n">
        <f aca="false">SUM(J136:N136)</f>
        <v>1.30199396845202</v>
      </c>
    </row>
    <row r="137" customFormat="false" ht="15" hidden="false" customHeight="false" outlineLevel="0" collapsed="false">
      <c r="A137" s="2" t="n">
        <v>129</v>
      </c>
      <c r="B137" s="53" t="n">
        <f aca="true">NORMINV(RAND(),0,B$7)</f>
        <v>0.787151292632934</v>
      </c>
      <c r="C137" s="53" t="n">
        <f aca="true">NORMINV(RAND(),0,C$7)</f>
        <v>0.155832303978409</v>
      </c>
      <c r="D137" s="53" t="n">
        <f aca="true">NORMINV(RAND(),0,D$7)</f>
        <v>-1.50176264082066</v>
      </c>
      <c r="E137" s="53" t="n">
        <f aca="true">NORMINV(RAND(),0,E$7)</f>
        <v>0.886754081938086</v>
      </c>
      <c r="F137" s="53" t="n">
        <f aca="true">NORMINV(RAND(),0,F$7)</f>
        <v>0.0876363976571544</v>
      </c>
      <c r="G137" s="53" t="n">
        <f aca="true">NORMINV(RAND(),0,G$7)</f>
        <v>-1.17706852026825</v>
      </c>
      <c r="H137" s="53" t="n">
        <f aca="true">NORMINV(RAND(),0,H$7)</f>
        <v>0.115097094006642</v>
      </c>
      <c r="I137" s="53" t="n">
        <f aca="false">SUM(B137:H137)</f>
        <v>-0.646359990875691</v>
      </c>
      <c r="J137" s="53" t="n">
        <f aca="true">NORMINV(RAND(),0,J$7)</f>
        <v>4.09094289163552</v>
      </c>
      <c r="K137" s="53" t="n">
        <f aca="true">NORMINV(RAND(),0,K$7)</f>
        <v>-0.624580486682315</v>
      </c>
      <c r="L137" s="53" t="n">
        <f aca="true">NORMINV(RAND(),0,L$7)</f>
        <v>-0.0759784757736741</v>
      </c>
      <c r="M137" s="53" t="n">
        <f aca="true">NORMINV(RAND(),0,M$7)</f>
        <v>-0.0579991826907814</v>
      </c>
      <c r="N137" s="53" t="n">
        <f aca="true">NORMINV(RAND(),0,N$7)</f>
        <v>-0.0204800570499554</v>
      </c>
      <c r="O137" s="53" t="n">
        <f aca="false">SUM(J137:N137)</f>
        <v>3.31190468943879</v>
      </c>
    </row>
    <row r="138" customFormat="false" ht="15" hidden="false" customHeight="false" outlineLevel="0" collapsed="false">
      <c r="A138" s="2" t="n">
        <v>130</v>
      </c>
      <c r="B138" s="53" t="n">
        <f aca="true">NORMINV(RAND(),0,B$7)</f>
        <v>-1.76240331691244</v>
      </c>
      <c r="C138" s="53" t="n">
        <f aca="true">NORMINV(RAND(),0,C$7)</f>
        <v>-1.75405265044709</v>
      </c>
      <c r="D138" s="53" t="n">
        <f aca="true">NORMINV(RAND(),0,D$7)</f>
        <v>-1.68180436076351</v>
      </c>
      <c r="E138" s="53" t="n">
        <f aca="true">NORMINV(RAND(),0,E$7)</f>
        <v>0.0459700268016075</v>
      </c>
      <c r="F138" s="53" t="n">
        <f aca="true">NORMINV(RAND(),0,F$7)</f>
        <v>-0.228849540405063</v>
      </c>
      <c r="G138" s="53" t="n">
        <f aca="true">NORMINV(RAND(),0,G$7)</f>
        <v>-0.465378764727918</v>
      </c>
      <c r="H138" s="53" t="n">
        <f aca="true">NORMINV(RAND(),0,H$7)</f>
        <v>0.0490931659304836</v>
      </c>
      <c r="I138" s="53" t="n">
        <f aca="false">SUM(B138:H138)</f>
        <v>-5.79742544052392</v>
      </c>
      <c r="J138" s="53" t="n">
        <f aca="true">NORMINV(RAND(),0,J$7)</f>
        <v>1.13185027198605</v>
      </c>
      <c r="K138" s="53" t="n">
        <f aca="true">NORMINV(RAND(),0,K$7)</f>
        <v>0.363118221868815</v>
      </c>
      <c r="L138" s="53" t="n">
        <f aca="true">NORMINV(RAND(),0,L$7)</f>
        <v>0.0361794438688092</v>
      </c>
      <c r="M138" s="53" t="n">
        <f aca="true">NORMINV(RAND(),0,M$7)</f>
        <v>0.138616818077251</v>
      </c>
      <c r="N138" s="53" t="n">
        <f aca="true">NORMINV(RAND(),0,N$7)</f>
        <v>0.262222175238593</v>
      </c>
      <c r="O138" s="53" t="n">
        <f aca="false">SUM(J138:N138)</f>
        <v>1.93198693103951</v>
      </c>
    </row>
    <row r="139" customFormat="false" ht="15" hidden="false" customHeight="false" outlineLevel="0" collapsed="false">
      <c r="A139" s="2" t="n">
        <v>131</v>
      </c>
      <c r="B139" s="53" t="n">
        <f aca="true">NORMINV(RAND(),0,B$7)</f>
        <v>-0.362106441714095</v>
      </c>
      <c r="C139" s="53" t="n">
        <f aca="true">NORMINV(RAND(),0,C$7)</f>
        <v>0.162387808932707</v>
      </c>
      <c r="D139" s="53" t="n">
        <f aca="true">NORMINV(RAND(),0,D$7)</f>
        <v>-1.30672621163284</v>
      </c>
      <c r="E139" s="53" t="n">
        <f aca="true">NORMINV(RAND(),0,E$7)</f>
        <v>0.0213742474140497</v>
      </c>
      <c r="F139" s="53" t="n">
        <f aca="true">NORMINV(RAND(),0,F$7)</f>
        <v>-0.016227958883441</v>
      </c>
      <c r="G139" s="53" t="n">
        <f aca="true">NORMINV(RAND(),0,G$7)</f>
        <v>-0.87088470961104</v>
      </c>
      <c r="H139" s="53" t="n">
        <f aca="true">NORMINV(RAND(),0,H$7)</f>
        <v>0.0464830553917544</v>
      </c>
      <c r="I139" s="53" t="n">
        <f aca="false">SUM(B139:H139)</f>
        <v>-2.32570021010291</v>
      </c>
      <c r="J139" s="53" t="n">
        <f aca="true">NORMINV(RAND(),0,J$7)</f>
        <v>-0.0523050782908806</v>
      </c>
      <c r="K139" s="53" t="n">
        <f aca="true">NORMINV(RAND(),0,K$7)</f>
        <v>0.0810924506573799</v>
      </c>
      <c r="L139" s="53" t="n">
        <f aca="true">NORMINV(RAND(),0,L$7)</f>
        <v>0.545872871877344</v>
      </c>
      <c r="M139" s="53" t="n">
        <f aca="true">NORMINV(RAND(),0,M$7)</f>
        <v>0.0928622189214428</v>
      </c>
      <c r="N139" s="53" t="n">
        <f aca="true">NORMINV(RAND(),0,N$7)</f>
        <v>-0.0188431451904445</v>
      </c>
      <c r="O139" s="53" t="n">
        <f aca="false">SUM(J139:N139)</f>
        <v>0.648679317974841</v>
      </c>
    </row>
    <row r="140" customFormat="false" ht="15" hidden="false" customHeight="false" outlineLevel="0" collapsed="false">
      <c r="A140" s="2" t="n">
        <v>132</v>
      </c>
      <c r="B140" s="53" t="n">
        <f aca="true">NORMINV(RAND(),0,B$7)</f>
        <v>-1.14356593543784</v>
      </c>
      <c r="C140" s="53" t="n">
        <f aca="true">NORMINV(RAND(),0,C$7)</f>
        <v>-0.354230792370034</v>
      </c>
      <c r="D140" s="53" t="n">
        <f aca="true">NORMINV(RAND(),0,D$7)</f>
        <v>-0.0398257876503017</v>
      </c>
      <c r="E140" s="53" t="n">
        <f aca="true">NORMINV(RAND(),0,E$7)</f>
        <v>0.290648734211575</v>
      </c>
      <c r="F140" s="53" t="n">
        <f aca="true">NORMINV(RAND(),0,F$7)</f>
        <v>0.0899013340744707</v>
      </c>
      <c r="G140" s="53" t="n">
        <f aca="true">NORMINV(RAND(),0,G$7)</f>
        <v>-1.48239722548254</v>
      </c>
      <c r="H140" s="53" t="n">
        <f aca="true">NORMINV(RAND(),0,H$7)</f>
        <v>0.504856777488541</v>
      </c>
      <c r="I140" s="53" t="n">
        <f aca="false">SUM(B140:H140)</f>
        <v>-2.13461289516613</v>
      </c>
      <c r="J140" s="53" t="n">
        <f aca="true">NORMINV(RAND(),0,J$7)</f>
        <v>-0.840949120550762</v>
      </c>
      <c r="K140" s="53" t="n">
        <f aca="true">NORMINV(RAND(),0,K$7)</f>
        <v>0.135039721397745</v>
      </c>
      <c r="L140" s="53" t="n">
        <f aca="true">NORMINV(RAND(),0,L$7)</f>
        <v>0.157779103739777</v>
      </c>
      <c r="M140" s="53" t="n">
        <f aca="true">NORMINV(RAND(),0,M$7)</f>
        <v>0.0297566719854508</v>
      </c>
      <c r="N140" s="53" t="n">
        <f aca="true">NORMINV(RAND(),0,N$7)</f>
        <v>-0.0518650015355244</v>
      </c>
      <c r="O140" s="53" t="n">
        <f aca="false">SUM(J140:N140)</f>
        <v>-0.570238624963314</v>
      </c>
    </row>
    <row r="141" customFormat="false" ht="15" hidden="false" customHeight="false" outlineLevel="0" collapsed="false">
      <c r="A141" s="2" t="n">
        <v>133</v>
      </c>
      <c r="B141" s="53" t="n">
        <f aca="true">NORMINV(RAND(),0,B$7)</f>
        <v>-0.37719024292297</v>
      </c>
      <c r="C141" s="53" t="n">
        <f aca="true">NORMINV(RAND(),0,C$7)</f>
        <v>-1.44828530440098</v>
      </c>
      <c r="D141" s="53" t="n">
        <f aca="true">NORMINV(RAND(),0,D$7)</f>
        <v>0.348011711538408</v>
      </c>
      <c r="E141" s="53" t="n">
        <f aca="true">NORMINV(RAND(),0,E$7)</f>
        <v>-0.0527786209712326</v>
      </c>
      <c r="F141" s="53" t="n">
        <f aca="true">NORMINV(RAND(),0,F$7)</f>
        <v>-0.231494473953361</v>
      </c>
      <c r="G141" s="53" t="n">
        <f aca="true">NORMINV(RAND(),0,G$7)</f>
        <v>-1.24355796289398</v>
      </c>
      <c r="H141" s="53" t="n">
        <f aca="true">NORMINV(RAND(),0,H$7)</f>
        <v>-0.455137329033566</v>
      </c>
      <c r="I141" s="53" t="n">
        <f aca="false">SUM(B141:H141)</f>
        <v>-3.46043222263768</v>
      </c>
      <c r="J141" s="53" t="n">
        <f aca="true">NORMINV(RAND(),0,J$7)</f>
        <v>-0.586422757204987</v>
      </c>
      <c r="K141" s="53" t="n">
        <f aca="true">NORMINV(RAND(),0,K$7)</f>
        <v>0.836002941861069</v>
      </c>
      <c r="L141" s="53" t="n">
        <f aca="true">NORMINV(RAND(),0,L$7)</f>
        <v>-0.533034566603604</v>
      </c>
      <c r="M141" s="53" t="n">
        <f aca="true">NORMINV(RAND(),0,M$7)</f>
        <v>-0.222047527726396</v>
      </c>
      <c r="N141" s="53" t="n">
        <f aca="true">NORMINV(RAND(),0,N$7)</f>
        <v>-0.31784535193039</v>
      </c>
      <c r="O141" s="53" t="n">
        <f aca="false">SUM(J141:N141)</f>
        <v>-0.823347261604308</v>
      </c>
    </row>
    <row r="142" customFormat="false" ht="15" hidden="false" customHeight="false" outlineLevel="0" collapsed="false">
      <c r="A142" s="2" t="n">
        <v>134</v>
      </c>
      <c r="B142" s="53" t="n">
        <f aca="true">NORMINV(RAND(),0,B$7)</f>
        <v>1.85496376301142</v>
      </c>
      <c r="C142" s="53" t="n">
        <f aca="true">NORMINV(RAND(),0,C$7)</f>
        <v>-0.238917848587293</v>
      </c>
      <c r="D142" s="53" t="n">
        <f aca="true">NORMINV(RAND(),0,D$7)</f>
        <v>0.879101707345641</v>
      </c>
      <c r="E142" s="53" t="n">
        <f aca="true">NORMINV(RAND(),0,E$7)</f>
        <v>-0.362580830248489</v>
      </c>
      <c r="F142" s="53" t="n">
        <f aca="true">NORMINV(RAND(),0,F$7)</f>
        <v>-0.0805886828587552</v>
      </c>
      <c r="G142" s="53" t="n">
        <f aca="true">NORMINV(RAND(),0,G$7)</f>
        <v>-1.34687040949971</v>
      </c>
      <c r="H142" s="53" t="n">
        <f aca="true">NORMINV(RAND(),0,H$7)</f>
        <v>0.789578411960573</v>
      </c>
      <c r="I142" s="53" t="n">
        <f aca="false">SUM(B142:H142)</f>
        <v>1.49468611112338</v>
      </c>
      <c r="J142" s="53" t="n">
        <f aca="true">NORMINV(RAND(),0,J$7)</f>
        <v>0.597563447304054</v>
      </c>
      <c r="K142" s="53" t="n">
        <f aca="true">NORMINV(RAND(),0,K$7)</f>
        <v>0.482075724915448</v>
      </c>
      <c r="L142" s="53" t="n">
        <f aca="true">NORMINV(RAND(),0,L$7)</f>
        <v>0.412562759360321</v>
      </c>
      <c r="M142" s="53" t="n">
        <f aca="true">NORMINV(RAND(),0,M$7)</f>
        <v>0.0664144665682918</v>
      </c>
      <c r="N142" s="53" t="n">
        <f aca="true">NORMINV(RAND(),0,N$7)</f>
        <v>0.0467804658814598</v>
      </c>
      <c r="O142" s="53" t="n">
        <f aca="false">SUM(J142:N142)</f>
        <v>1.60539686402957</v>
      </c>
    </row>
    <row r="143" customFormat="false" ht="15" hidden="false" customHeight="false" outlineLevel="0" collapsed="false">
      <c r="A143" s="2" t="n">
        <v>135</v>
      </c>
      <c r="B143" s="53" t="n">
        <f aca="true">NORMINV(RAND(),0,B$7)</f>
        <v>-1.00197759989707</v>
      </c>
      <c r="C143" s="53" t="n">
        <f aca="true">NORMINV(RAND(),0,C$7)</f>
        <v>-2.00019605203018</v>
      </c>
      <c r="D143" s="53" t="n">
        <f aca="true">NORMINV(RAND(),0,D$7)</f>
        <v>-0.587809492522505</v>
      </c>
      <c r="E143" s="53" t="n">
        <f aca="true">NORMINV(RAND(),0,E$7)</f>
        <v>0.112683433714672</v>
      </c>
      <c r="F143" s="53" t="n">
        <f aca="true">NORMINV(RAND(),0,F$7)</f>
        <v>-3.59214199544212E-005</v>
      </c>
      <c r="G143" s="53" t="n">
        <f aca="true">NORMINV(RAND(),0,G$7)</f>
        <v>1.26802351170619</v>
      </c>
      <c r="H143" s="53" t="n">
        <f aca="true">NORMINV(RAND(),0,H$7)</f>
        <v>-0.204112075500609</v>
      </c>
      <c r="I143" s="53" t="n">
        <f aca="false">SUM(B143:H143)</f>
        <v>-2.41342419594947</v>
      </c>
      <c r="J143" s="53" t="n">
        <f aca="true">NORMINV(RAND(),0,J$7)</f>
        <v>-2.35817601195769</v>
      </c>
      <c r="K143" s="53" t="n">
        <f aca="true">NORMINV(RAND(),0,K$7)</f>
        <v>-0.561207814537415</v>
      </c>
      <c r="L143" s="53" t="n">
        <f aca="true">NORMINV(RAND(),0,L$7)</f>
        <v>0.80062339800877</v>
      </c>
      <c r="M143" s="53" t="n">
        <f aca="true">NORMINV(RAND(),0,M$7)</f>
        <v>0.0709046733870465</v>
      </c>
      <c r="N143" s="53" t="n">
        <f aca="true">NORMINV(RAND(),0,N$7)</f>
        <v>-0.733673573406194</v>
      </c>
      <c r="O143" s="53" t="n">
        <f aca="false">SUM(J143:N143)</f>
        <v>-2.78152932850548</v>
      </c>
    </row>
    <row r="144" customFormat="false" ht="15" hidden="false" customHeight="false" outlineLevel="0" collapsed="false">
      <c r="A144" s="2" t="n">
        <v>136</v>
      </c>
      <c r="B144" s="53" t="n">
        <f aca="true">NORMINV(RAND(),0,B$7)</f>
        <v>-0.232660540060252</v>
      </c>
      <c r="C144" s="53" t="n">
        <f aca="true">NORMINV(RAND(),0,C$7)</f>
        <v>0.250932219333311</v>
      </c>
      <c r="D144" s="53" t="n">
        <f aca="true">NORMINV(RAND(),0,D$7)</f>
        <v>1.61028713726781</v>
      </c>
      <c r="E144" s="53" t="n">
        <f aca="true">NORMINV(RAND(),0,E$7)</f>
        <v>0.416517786102082</v>
      </c>
      <c r="F144" s="53" t="n">
        <f aca="true">NORMINV(RAND(),0,F$7)</f>
        <v>0.340425182481883</v>
      </c>
      <c r="G144" s="53" t="n">
        <f aca="true">NORMINV(RAND(),0,G$7)</f>
        <v>-1.29957559827748</v>
      </c>
      <c r="H144" s="53" t="n">
        <f aca="true">NORMINV(RAND(),0,H$7)</f>
        <v>-0.203735297867778</v>
      </c>
      <c r="I144" s="53" t="n">
        <f aca="false">SUM(B144:H144)</f>
        <v>0.882190888979573</v>
      </c>
      <c r="J144" s="53" t="n">
        <f aca="true">NORMINV(RAND(),0,J$7)</f>
        <v>2.38241184347459</v>
      </c>
      <c r="K144" s="53" t="n">
        <f aca="true">NORMINV(RAND(),0,K$7)</f>
        <v>0.212155930388966</v>
      </c>
      <c r="L144" s="53" t="n">
        <f aca="true">NORMINV(RAND(),0,L$7)</f>
        <v>0.353782849547491</v>
      </c>
      <c r="M144" s="53" t="n">
        <f aca="true">NORMINV(RAND(),0,M$7)</f>
        <v>0.0663418068235823</v>
      </c>
      <c r="N144" s="53" t="n">
        <f aca="true">NORMINV(RAND(),0,N$7)</f>
        <v>-0.300931398119712</v>
      </c>
      <c r="O144" s="53" t="n">
        <f aca="false">SUM(J144:N144)</f>
        <v>2.71376103211491</v>
      </c>
    </row>
    <row r="145" customFormat="false" ht="15" hidden="false" customHeight="false" outlineLevel="0" collapsed="false">
      <c r="A145" s="2" t="n">
        <v>137</v>
      </c>
      <c r="B145" s="53" t="n">
        <f aca="true">NORMINV(RAND(),0,B$7)</f>
        <v>-2.5836443870054</v>
      </c>
      <c r="C145" s="53" t="n">
        <f aca="true">NORMINV(RAND(),0,C$7)</f>
        <v>-1.49325863034645</v>
      </c>
      <c r="D145" s="53" t="n">
        <f aca="true">NORMINV(RAND(),0,D$7)</f>
        <v>-0.0725394917828372</v>
      </c>
      <c r="E145" s="53" t="n">
        <f aca="true">NORMINV(RAND(),0,E$7)</f>
        <v>-0.214970864221428</v>
      </c>
      <c r="F145" s="53" t="n">
        <f aca="true">NORMINV(RAND(),0,F$7)</f>
        <v>-0.438263065846071</v>
      </c>
      <c r="G145" s="53" t="n">
        <f aca="true">NORMINV(RAND(),0,G$7)</f>
        <v>2.37506588115369</v>
      </c>
      <c r="H145" s="53" t="n">
        <f aca="true">NORMINV(RAND(),0,H$7)</f>
        <v>0.295940041570384</v>
      </c>
      <c r="I145" s="53" t="n">
        <f aca="false">SUM(B145:H145)</f>
        <v>-2.13167051647811</v>
      </c>
      <c r="J145" s="53" t="n">
        <f aca="true">NORMINV(RAND(),0,J$7)</f>
        <v>-0.849724780802859</v>
      </c>
      <c r="K145" s="53" t="n">
        <f aca="true">NORMINV(RAND(),0,K$7)</f>
        <v>-0.0111023392281967</v>
      </c>
      <c r="L145" s="53" t="n">
        <f aca="true">NORMINV(RAND(),0,L$7)</f>
        <v>0.482578392358467</v>
      </c>
      <c r="M145" s="53" t="n">
        <f aca="true">NORMINV(RAND(),0,M$7)</f>
        <v>0.074741903276369</v>
      </c>
      <c r="N145" s="53" t="n">
        <f aca="true">NORMINV(RAND(),0,N$7)</f>
        <v>-0.143578988042521</v>
      </c>
      <c r="O145" s="53" t="n">
        <f aca="false">SUM(J145:N145)</f>
        <v>-0.44708581243874</v>
      </c>
    </row>
    <row r="146" customFormat="false" ht="15" hidden="false" customHeight="false" outlineLevel="0" collapsed="false">
      <c r="A146" s="2" t="n">
        <v>138</v>
      </c>
      <c r="B146" s="53" t="n">
        <f aca="true">NORMINV(RAND(),0,B$7)</f>
        <v>-2.0384884023881</v>
      </c>
      <c r="C146" s="53" t="n">
        <f aca="true">NORMINV(RAND(),0,C$7)</f>
        <v>-0.988675112030439</v>
      </c>
      <c r="D146" s="53" t="n">
        <f aca="true">NORMINV(RAND(),0,D$7)</f>
        <v>-2.2920941563668</v>
      </c>
      <c r="E146" s="53" t="n">
        <f aca="true">NORMINV(RAND(),0,E$7)</f>
        <v>-0.109934478736096</v>
      </c>
      <c r="F146" s="53" t="n">
        <f aca="true">NORMINV(RAND(),0,F$7)</f>
        <v>-0.57122589747957</v>
      </c>
      <c r="G146" s="53" t="n">
        <f aca="true">NORMINV(RAND(),0,G$7)</f>
        <v>0.424567441451323</v>
      </c>
      <c r="H146" s="53" t="n">
        <f aca="true">NORMINV(RAND(),0,H$7)</f>
        <v>-0.0780839007118381</v>
      </c>
      <c r="I146" s="53" t="n">
        <f aca="false">SUM(B146:H146)</f>
        <v>-5.65393450626152</v>
      </c>
      <c r="J146" s="53" t="n">
        <f aca="true">NORMINV(RAND(),0,J$7)</f>
        <v>0.644219675109085</v>
      </c>
      <c r="K146" s="53" t="n">
        <f aca="true">NORMINV(RAND(),0,K$7)</f>
        <v>0.329350636449418</v>
      </c>
      <c r="L146" s="53" t="n">
        <f aca="true">NORMINV(RAND(),0,L$7)</f>
        <v>0.189676996490396</v>
      </c>
      <c r="M146" s="53" t="n">
        <f aca="true">NORMINV(RAND(),0,M$7)</f>
        <v>0.0289878594372716</v>
      </c>
      <c r="N146" s="53" t="n">
        <f aca="true">NORMINV(RAND(),0,N$7)</f>
        <v>-0.662741333195778</v>
      </c>
      <c r="O146" s="53" t="n">
        <f aca="false">SUM(J146:N146)</f>
        <v>0.529493834290393</v>
      </c>
    </row>
    <row r="147" customFormat="false" ht="15" hidden="false" customHeight="false" outlineLevel="0" collapsed="false">
      <c r="A147" s="2" t="n">
        <v>139</v>
      </c>
      <c r="B147" s="53" t="n">
        <f aca="true">NORMINV(RAND(),0,B$7)</f>
        <v>0.112173647430425</v>
      </c>
      <c r="C147" s="53" t="n">
        <f aca="true">NORMINV(RAND(),0,C$7)</f>
        <v>-0.0140798808399797</v>
      </c>
      <c r="D147" s="53" t="n">
        <f aca="true">NORMINV(RAND(),0,D$7)</f>
        <v>-2.4392262388784</v>
      </c>
      <c r="E147" s="53" t="n">
        <f aca="true">NORMINV(RAND(),0,E$7)</f>
        <v>0.461477796116086</v>
      </c>
      <c r="F147" s="53" t="n">
        <f aca="true">NORMINV(RAND(),0,F$7)</f>
        <v>0.323986942601058</v>
      </c>
      <c r="G147" s="53" t="n">
        <f aca="true">NORMINV(RAND(),0,G$7)</f>
        <v>1.743687967869</v>
      </c>
      <c r="H147" s="53" t="n">
        <f aca="true">NORMINV(RAND(),0,H$7)</f>
        <v>-0.310798153065934</v>
      </c>
      <c r="I147" s="53" t="n">
        <f aca="false">SUM(B147:H147)</f>
        <v>-0.122777918767737</v>
      </c>
      <c r="J147" s="53" t="n">
        <f aca="true">NORMINV(RAND(),0,J$7)</f>
        <v>-2.89589243419401</v>
      </c>
      <c r="K147" s="53" t="n">
        <f aca="true">NORMINV(RAND(),0,K$7)</f>
        <v>-2.28241324189466</v>
      </c>
      <c r="L147" s="53" t="n">
        <f aca="true">NORMINV(RAND(),0,L$7)</f>
        <v>-0.10463841760252</v>
      </c>
      <c r="M147" s="53" t="n">
        <f aca="true">NORMINV(RAND(),0,M$7)</f>
        <v>-0.174599554547466</v>
      </c>
      <c r="N147" s="53" t="n">
        <f aca="true">NORMINV(RAND(),0,N$7)</f>
        <v>-0.338737685910504</v>
      </c>
      <c r="O147" s="53" t="n">
        <f aca="false">SUM(J147:N147)</f>
        <v>-5.79628133414916</v>
      </c>
    </row>
    <row r="148" customFormat="false" ht="15" hidden="false" customHeight="false" outlineLevel="0" collapsed="false">
      <c r="A148" s="2" t="n">
        <v>140</v>
      </c>
      <c r="B148" s="53" t="n">
        <f aca="true">NORMINV(RAND(),0,B$7)</f>
        <v>0.103626615987332</v>
      </c>
      <c r="C148" s="53" t="n">
        <f aca="true">NORMINV(RAND(),0,C$7)</f>
        <v>1.7749704921928</v>
      </c>
      <c r="D148" s="53" t="n">
        <f aca="true">NORMINV(RAND(),0,D$7)</f>
        <v>0.246206893808009</v>
      </c>
      <c r="E148" s="53" t="n">
        <f aca="true">NORMINV(RAND(),0,E$7)</f>
        <v>-0.342472641723937</v>
      </c>
      <c r="F148" s="53" t="n">
        <f aca="true">NORMINV(RAND(),0,F$7)</f>
        <v>-0.241844837469932</v>
      </c>
      <c r="G148" s="53" t="n">
        <f aca="true">NORMINV(RAND(),0,G$7)</f>
        <v>-1.36717965773509</v>
      </c>
      <c r="H148" s="53" t="n">
        <f aca="true">NORMINV(RAND(),0,H$7)</f>
        <v>1.47292455780052</v>
      </c>
      <c r="I148" s="53" t="n">
        <f aca="false">SUM(B148:H148)</f>
        <v>1.6462314228597</v>
      </c>
      <c r="J148" s="53" t="n">
        <f aca="true">NORMINV(RAND(),0,J$7)</f>
        <v>-5.72920491659729</v>
      </c>
      <c r="K148" s="53" t="n">
        <f aca="true">NORMINV(RAND(),0,K$7)</f>
        <v>-0.394478069240086</v>
      </c>
      <c r="L148" s="53" t="n">
        <f aca="true">NORMINV(RAND(),0,L$7)</f>
        <v>-0.630931485892945</v>
      </c>
      <c r="M148" s="53" t="n">
        <f aca="true">NORMINV(RAND(),0,M$7)</f>
        <v>0.0992367451638677</v>
      </c>
      <c r="N148" s="53" t="n">
        <f aca="true">NORMINV(RAND(),0,N$7)</f>
        <v>0.251550137009247</v>
      </c>
      <c r="O148" s="53" t="n">
        <f aca="false">SUM(J148:N148)</f>
        <v>-6.4038275895572</v>
      </c>
    </row>
    <row r="149" customFormat="false" ht="15" hidden="false" customHeight="false" outlineLevel="0" collapsed="false">
      <c r="A149" s="2" t="n">
        <v>141</v>
      </c>
      <c r="B149" s="53" t="n">
        <f aca="true">NORMINV(RAND(),0,B$7)</f>
        <v>-3.06214459305927</v>
      </c>
      <c r="C149" s="53" t="n">
        <f aca="true">NORMINV(RAND(),0,C$7)</f>
        <v>-2.58435745561609</v>
      </c>
      <c r="D149" s="53" t="n">
        <f aca="true">NORMINV(RAND(),0,D$7)</f>
        <v>-0.259878624739843</v>
      </c>
      <c r="E149" s="53" t="n">
        <f aca="true">NORMINV(RAND(),0,E$7)</f>
        <v>0.188702561035948</v>
      </c>
      <c r="F149" s="53" t="n">
        <f aca="true">NORMINV(RAND(),0,F$7)</f>
        <v>0.127440905595225</v>
      </c>
      <c r="G149" s="53" t="n">
        <f aca="true">NORMINV(RAND(),0,G$7)</f>
        <v>0.895277120062179</v>
      </c>
      <c r="H149" s="53" t="n">
        <f aca="true">NORMINV(RAND(),0,H$7)</f>
        <v>0.310969910986446</v>
      </c>
      <c r="I149" s="53" t="n">
        <f aca="false">SUM(B149:H149)</f>
        <v>-4.38399017573541</v>
      </c>
      <c r="J149" s="53" t="n">
        <f aca="true">NORMINV(RAND(),0,J$7)</f>
        <v>-1.14273644664457</v>
      </c>
      <c r="K149" s="53" t="n">
        <f aca="true">NORMINV(RAND(),0,K$7)</f>
        <v>0.8012045585714</v>
      </c>
      <c r="L149" s="53" t="n">
        <f aca="true">NORMINV(RAND(),0,L$7)</f>
        <v>-0.206435010591336</v>
      </c>
      <c r="M149" s="53" t="n">
        <f aca="true">NORMINV(RAND(),0,M$7)</f>
        <v>-0.176031763630947</v>
      </c>
      <c r="N149" s="53" t="n">
        <f aca="true">NORMINV(RAND(),0,N$7)</f>
        <v>0.136067148749002</v>
      </c>
      <c r="O149" s="53" t="n">
        <f aca="false">SUM(J149:N149)</f>
        <v>-0.587931513546448</v>
      </c>
    </row>
    <row r="150" customFormat="false" ht="15" hidden="false" customHeight="false" outlineLevel="0" collapsed="false">
      <c r="A150" s="2" t="n">
        <v>142</v>
      </c>
      <c r="B150" s="53" t="n">
        <f aca="true">NORMINV(RAND(),0,B$7)</f>
        <v>-2.0319988817345</v>
      </c>
      <c r="C150" s="53" t="n">
        <f aca="true">NORMINV(RAND(),0,C$7)</f>
        <v>1.24085281298841</v>
      </c>
      <c r="D150" s="53" t="n">
        <f aca="true">NORMINV(RAND(),0,D$7)</f>
        <v>-0.232682985230507</v>
      </c>
      <c r="E150" s="53" t="n">
        <f aca="true">NORMINV(RAND(),0,E$7)</f>
        <v>0.172728950354243</v>
      </c>
      <c r="F150" s="53" t="n">
        <f aca="true">NORMINV(RAND(),0,F$7)</f>
        <v>0.0225487106480917</v>
      </c>
      <c r="G150" s="53" t="n">
        <f aca="true">NORMINV(RAND(),0,G$7)</f>
        <v>-1.97718189266231</v>
      </c>
      <c r="H150" s="53" t="n">
        <f aca="true">NORMINV(RAND(),0,H$7)</f>
        <v>0.82188701866533</v>
      </c>
      <c r="I150" s="53" t="n">
        <f aca="false">SUM(B150:H150)</f>
        <v>-1.98384626697125</v>
      </c>
      <c r="J150" s="53" t="n">
        <f aca="true">NORMINV(RAND(),0,J$7)</f>
        <v>0.478923993892425</v>
      </c>
      <c r="K150" s="53" t="n">
        <f aca="true">NORMINV(RAND(),0,K$7)</f>
        <v>0.744177448883095</v>
      </c>
      <c r="L150" s="53" t="n">
        <f aca="true">NORMINV(RAND(),0,L$7)</f>
        <v>-0.405231786539461</v>
      </c>
      <c r="M150" s="53" t="n">
        <f aca="true">NORMINV(RAND(),0,M$7)</f>
        <v>-0.229720613978584</v>
      </c>
      <c r="N150" s="53" t="n">
        <f aca="true">NORMINV(RAND(),0,N$7)</f>
        <v>0.146254020212823</v>
      </c>
      <c r="O150" s="53" t="n">
        <f aca="false">SUM(J150:N150)</f>
        <v>0.734403062470299</v>
      </c>
    </row>
    <row r="151" customFormat="false" ht="15" hidden="false" customHeight="false" outlineLevel="0" collapsed="false">
      <c r="A151" s="2" t="n">
        <v>143</v>
      </c>
      <c r="B151" s="53" t="n">
        <f aca="true">NORMINV(RAND(),0,B$7)</f>
        <v>-2.70597412424382</v>
      </c>
      <c r="C151" s="53" t="n">
        <f aca="true">NORMINV(RAND(),0,C$7)</f>
        <v>-1.51695496134029</v>
      </c>
      <c r="D151" s="53" t="n">
        <f aca="true">NORMINV(RAND(),0,D$7)</f>
        <v>1.58135682614422</v>
      </c>
      <c r="E151" s="53" t="n">
        <f aca="true">NORMINV(RAND(),0,E$7)</f>
        <v>-0.096385541482288</v>
      </c>
      <c r="F151" s="53" t="n">
        <f aca="true">NORMINV(RAND(),0,F$7)</f>
        <v>0.0700131505342119</v>
      </c>
      <c r="G151" s="53" t="n">
        <f aca="true">NORMINV(RAND(),0,G$7)</f>
        <v>0.489519327523375</v>
      </c>
      <c r="H151" s="53" t="n">
        <f aca="true">NORMINV(RAND(),0,H$7)</f>
        <v>-0.0460391381082117</v>
      </c>
      <c r="I151" s="53" t="n">
        <f aca="false">SUM(B151:H151)</f>
        <v>-2.2244644609728</v>
      </c>
      <c r="J151" s="53" t="n">
        <f aca="true">NORMINV(RAND(),0,J$7)</f>
        <v>-2.15042181864494</v>
      </c>
      <c r="K151" s="53" t="n">
        <f aca="true">NORMINV(RAND(),0,K$7)</f>
        <v>-0.880962030313201</v>
      </c>
      <c r="L151" s="53" t="n">
        <f aca="true">NORMINV(RAND(),0,L$7)</f>
        <v>0.358217319447389</v>
      </c>
      <c r="M151" s="53" t="n">
        <f aca="true">NORMINV(RAND(),0,M$7)</f>
        <v>0.347449509516348</v>
      </c>
      <c r="N151" s="53" t="n">
        <f aca="true">NORMINV(RAND(),0,N$7)</f>
        <v>0.117769091503402</v>
      </c>
      <c r="O151" s="53" t="n">
        <f aca="false">SUM(J151:N151)</f>
        <v>-2.207947928491</v>
      </c>
    </row>
    <row r="152" customFormat="false" ht="15" hidden="false" customHeight="false" outlineLevel="0" collapsed="false">
      <c r="A152" s="2" t="n">
        <v>144</v>
      </c>
      <c r="B152" s="53" t="n">
        <f aca="true">NORMINV(RAND(),0,B$7)</f>
        <v>1.84056125235459</v>
      </c>
      <c r="C152" s="53" t="n">
        <f aca="true">NORMINV(RAND(),0,C$7)</f>
        <v>-1.99396538182973</v>
      </c>
      <c r="D152" s="53" t="n">
        <f aca="true">NORMINV(RAND(),0,D$7)</f>
        <v>-0.867828830468314</v>
      </c>
      <c r="E152" s="53" t="n">
        <f aca="true">NORMINV(RAND(),0,E$7)</f>
        <v>0.0317901553829921</v>
      </c>
      <c r="F152" s="53" t="n">
        <f aca="true">NORMINV(RAND(),0,F$7)</f>
        <v>-0.0459149993750607</v>
      </c>
      <c r="G152" s="53" t="n">
        <f aca="true">NORMINV(RAND(),0,G$7)</f>
        <v>-0.519432946919352</v>
      </c>
      <c r="H152" s="53" t="n">
        <f aca="true">NORMINV(RAND(),0,H$7)</f>
        <v>-0.348054006770075</v>
      </c>
      <c r="I152" s="53" t="n">
        <f aca="false">SUM(B152:H152)</f>
        <v>-1.90284475762496</v>
      </c>
      <c r="J152" s="53" t="n">
        <f aca="true">NORMINV(RAND(),0,J$7)</f>
        <v>-0.38564740893129</v>
      </c>
      <c r="K152" s="53" t="n">
        <f aca="true">NORMINV(RAND(),0,K$7)</f>
        <v>1.35594393177587</v>
      </c>
      <c r="L152" s="53" t="n">
        <f aca="true">NORMINV(RAND(),0,L$7)</f>
        <v>-0.457142473376545</v>
      </c>
      <c r="M152" s="53" t="n">
        <f aca="true">NORMINV(RAND(),0,M$7)</f>
        <v>0.140697997660201</v>
      </c>
      <c r="N152" s="53" t="n">
        <f aca="true">NORMINV(RAND(),0,N$7)</f>
        <v>0.32993059388907</v>
      </c>
      <c r="O152" s="53" t="n">
        <f aca="false">SUM(J152:N152)</f>
        <v>0.983782641017305</v>
      </c>
    </row>
    <row r="153" customFormat="false" ht="15" hidden="false" customHeight="false" outlineLevel="0" collapsed="false">
      <c r="A153" s="2" t="n">
        <v>145</v>
      </c>
      <c r="B153" s="53" t="n">
        <f aca="true">NORMINV(RAND(),0,B$7)</f>
        <v>0.550499878764976</v>
      </c>
      <c r="C153" s="53" t="n">
        <f aca="true">NORMINV(RAND(),0,C$7)</f>
        <v>0.988582971903391</v>
      </c>
      <c r="D153" s="53" t="n">
        <f aca="true">NORMINV(RAND(),0,D$7)</f>
        <v>-0.654216944429128</v>
      </c>
      <c r="E153" s="53" t="n">
        <f aca="true">NORMINV(RAND(),0,E$7)</f>
        <v>-0.565456001085853</v>
      </c>
      <c r="F153" s="53" t="n">
        <f aca="true">NORMINV(RAND(),0,F$7)</f>
        <v>-0.0656556297831463</v>
      </c>
      <c r="G153" s="53" t="n">
        <f aca="true">NORMINV(RAND(),0,G$7)</f>
        <v>0.721882997191822</v>
      </c>
      <c r="H153" s="53" t="n">
        <f aca="true">NORMINV(RAND(),0,H$7)</f>
        <v>-0.28206600787291</v>
      </c>
      <c r="I153" s="53" t="n">
        <f aca="false">SUM(B153:H153)</f>
        <v>0.693571264689151</v>
      </c>
      <c r="J153" s="53" t="n">
        <f aca="true">NORMINV(RAND(),0,J$7)</f>
        <v>4.16709517754808</v>
      </c>
      <c r="K153" s="53" t="n">
        <f aca="true">NORMINV(RAND(),0,K$7)</f>
        <v>0.576227099903889</v>
      </c>
      <c r="L153" s="53" t="n">
        <f aca="true">NORMINV(RAND(),0,L$7)</f>
        <v>-0.0423638749070876</v>
      </c>
      <c r="M153" s="53" t="n">
        <f aca="true">NORMINV(RAND(),0,M$7)</f>
        <v>0.0388662542327992</v>
      </c>
      <c r="N153" s="53" t="n">
        <f aca="true">NORMINV(RAND(),0,N$7)</f>
        <v>0.111763321861943</v>
      </c>
      <c r="O153" s="53" t="n">
        <f aca="false">SUM(J153:N153)</f>
        <v>4.85158797863963</v>
      </c>
    </row>
    <row r="154" customFormat="false" ht="15" hidden="false" customHeight="false" outlineLevel="0" collapsed="false">
      <c r="A154" s="2" t="n">
        <v>146</v>
      </c>
      <c r="B154" s="53" t="n">
        <f aca="true">NORMINV(RAND(),0,B$7)</f>
        <v>2.30603121975077</v>
      </c>
      <c r="C154" s="53" t="n">
        <f aca="true">NORMINV(RAND(),0,C$7)</f>
        <v>0.944103089061534</v>
      </c>
      <c r="D154" s="53" t="n">
        <f aca="true">NORMINV(RAND(),0,D$7)</f>
        <v>0.416283767842579</v>
      </c>
      <c r="E154" s="53" t="n">
        <f aca="true">NORMINV(RAND(),0,E$7)</f>
        <v>0.222340871626565</v>
      </c>
      <c r="F154" s="53" t="n">
        <f aca="true">NORMINV(RAND(),0,F$7)</f>
        <v>0.306978906752886</v>
      </c>
      <c r="G154" s="53" t="n">
        <f aca="true">NORMINV(RAND(),0,G$7)</f>
        <v>-0.877970426855774</v>
      </c>
      <c r="H154" s="53" t="n">
        <f aca="true">NORMINV(RAND(),0,H$7)</f>
        <v>-0.218063935528125</v>
      </c>
      <c r="I154" s="53" t="n">
        <f aca="false">SUM(B154:H154)</f>
        <v>3.09970349265043</v>
      </c>
      <c r="J154" s="53" t="n">
        <f aca="true">NORMINV(RAND(),0,J$7)</f>
        <v>-1.30064410987501</v>
      </c>
      <c r="K154" s="53" t="n">
        <f aca="true">NORMINV(RAND(),0,K$7)</f>
        <v>0.0977236659729835</v>
      </c>
      <c r="L154" s="53" t="n">
        <f aca="true">NORMINV(RAND(),0,L$7)</f>
        <v>-0.0859229934357984</v>
      </c>
      <c r="M154" s="53" t="n">
        <f aca="true">NORMINV(RAND(),0,M$7)</f>
        <v>0.368159756880609</v>
      </c>
      <c r="N154" s="53" t="n">
        <f aca="true">NORMINV(RAND(),0,N$7)</f>
        <v>-0.0049955315194159</v>
      </c>
      <c r="O154" s="53" t="n">
        <f aca="false">SUM(J154:N154)</f>
        <v>-0.925679211976632</v>
      </c>
    </row>
    <row r="155" customFormat="false" ht="15" hidden="false" customHeight="false" outlineLevel="0" collapsed="false">
      <c r="A155" s="2" t="n">
        <v>147</v>
      </c>
      <c r="B155" s="53" t="n">
        <f aca="true">NORMINV(RAND(),0,B$7)</f>
        <v>0.834538346023767</v>
      </c>
      <c r="C155" s="53" t="n">
        <f aca="true">NORMINV(RAND(),0,C$7)</f>
        <v>-0.249428677061141</v>
      </c>
      <c r="D155" s="53" t="n">
        <f aca="true">NORMINV(RAND(),0,D$7)</f>
        <v>0.0767794760150614</v>
      </c>
      <c r="E155" s="53" t="n">
        <f aca="true">NORMINV(RAND(),0,E$7)</f>
        <v>0.0556677830842505</v>
      </c>
      <c r="F155" s="53" t="n">
        <f aca="true">NORMINV(RAND(),0,F$7)</f>
        <v>-0.579363379042375</v>
      </c>
      <c r="G155" s="53" t="n">
        <f aca="true">NORMINV(RAND(),0,G$7)</f>
        <v>-0.0894155730284947</v>
      </c>
      <c r="H155" s="53" t="n">
        <f aca="true">NORMINV(RAND(),0,H$7)</f>
        <v>0.577177549302958</v>
      </c>
      <c r="I155" s="53" t="n">
        <f aca="false">SUM(B155:H155)</f>
        <v>0.625955525294026</v>
      </c>
      <c r="J155" s="53" t="n">
        <f aca="true">NORMINV(RAND(),0,J$7)</f>
        <v>-1.04542249226181</v>
      </c>
      <c r="K155" s="53" t="n">
        <f aca="true">NORMINV(RAND(),0,K$7)</f>
        <v>0.0387145275378034</v>
      </c>
      <c r="L155" s="53" t="n">
        <f aca="true">NORMINV(RAND(),0,L$7)</f>
        <v>0.294906261952411</v>
      </c>
      <c r="M155" s="53" t="n">
        <f aca="true">NORMINV(RAND(),0,M$7)</f>
        <v>0.00268765096116741</v>
      </c>
      <c r="N155" s="53" t="n">
        <f aca="true">NORMINV(RAND(),0,N$7)</f>
        <v>-0.660322740691783</v>
      </c>
      <c r="O155" s="53" t="n">
        <f aca="false">SUM(J155:N155)</f>
        <v>-1.36943679250221</v>
      </c>
    </row>
    <row r="156" customFormat="false" ht="15" hidden="false" customHeight="false" outlineLevel="0" collapsed="false">
      <c r="A156" s="2" t="n">
        <v>148</v>
      </c>
      <c r="B156" s="53" t="n">
        <f aca="true">NORMINV(RAND(),0,B$7)</f>
        <v>-1.41746289697433</v>
      </c>
      <c r="C156" s="53" t="n">
        <f aca="true">NORMINV(RAND(),0,C$7)</f>
        <v>-1.75261040748982</v>
      </c>
      <c r="D156" s="53" t="n">
        <f aca="true">NORMINV(RAND(),0,D$7)</f>
        <v>-2.55269986392951</v>
      </c>
      <c r="E156" s="53" t="n">
        <f aca="true">NORMINV(RAND(),0,E$7)</f>
        <v>-0.583921852480686</v>
      </c>
      <c r="F156" s="53" t="n">
        <f aca="true">NORMINV(RAND(),0,F$7)</f>
        <v>-0.186580940262726</v>
      </c>
      <c r="G156" s="53" t="n">
        <f aca="true">NORMINV(RAND(),0,G$7)</f>
        <v>-0.29785686813391</v>
      </c>
      <c r="H156" s="53" t="n">
        <f aca="true">NORMINV(RAND(),0,H$7)</f>
        <v>-0.268746690927568</v>
      </c>
      <c r="I156" s="53" t="n">
        <f aca="false">SUM(B156:H156)</f>
        <v>-7.05987952019855</v>
      </c>
      <c r="J156" s="53" t="n">
        <f aca="true">NORMINV(RAND(),0,J$7)</f>
        <v>3.22598842722384</v>
      </c>
      <c r="K156" s="53" t="n">
        <f aca="true">NORMINV(RAND(),0,K$7)</f>
        <v>0.280633495905657</v>
      </c>
      <c r="L156" s="53" t="n">
        <f aca="true">NORMINV(RAND(),0,L$7)</f>
        <v>0.521202657332482</v>
      </c>
      <c r="M156" s="53" t="n">
        <f aca="true">NORMINV(RAND(),0,M$7)</f>
        <v>0.314957592197486</v>
      </c>
      <c r="N156" s="53" t="n">
        <f aca="true">NORMINV(RAND(),0,N$7)</f>
        <v>0.313655622065036</v>
      </c>
      <c r="O156" s="53" t="n">
        <f aca="false">SUM(J156:N156)</f>
        <v>4.6564377947245</v>
      </c>
    </row>
    <row r="157" customFormat="false" ht="15" hidden="false" customHeight="false" outlineLevel="0" collapsed="false">
      <c r="A157" s="2" t="n">
        <v>149</v>
      </c>
      <c r="B157" s="53" t="n">
        <f aca="true">NORMINV(RAND(),0,B$7)</f>
        <v>-0.591838520188189</v>
      </c>
      <c r="C157" s="53" t="n">
        <f aca="true">NORMINV(RAND(),0,C$7)</f>
        <v>-1.70720542777066</v>
      </c>
      <c r="D157" s="53" t="n">
        <f aca="true">NORMINV(RAND(),0,D$7)</f>
        <v>-1.69519359866443</v>
      </c>
      <c r="E157" s="53" t="n">
        <f aca="true">NORMINV(RAND(),0,E$7)</f>
        <v>0.431807109125573</v>
      </c>
      <c r="F157" s="53" t="n">
        <f aca="true">NORMINV(RAND(),0,F$7)</f>
        <v>0.100903380559377</v>
      </c>
      <c r="G157" s="53" t="n">
        <f aca="true">NORMINV(RAND(),0,G$7)</f>
        <v>-0.857503464858122</v>
      </c>
      <c r="H157" s="53" t="n">
        <f aca="true">NORMINV(RAND(),0,H$7)</f>
        <v>0.503967353745638</v>
      </c>
      <c r="I157" s="53" t="n">
        <f aca="false">SUM(B157:H157)</f>
        <v>-3.81506316805081</v>
      </c>
      <c r="J157" s="53" t="n">
        <f aca="true">NORMINV(RAND(),0,J$7)</f>
        <v>-0.291414280444099</v>
      </c>
      <c r="K157" s="53" t="n">
        <f aca="true">NORMINV(RAND(),0,K$7)</f>
        <v>0.173053135611213</v>
      </c>
      <c r="L157" s="53" t="n">
        <f aca="true">NORMINV(RAND(),0,L$7)</f>
        <v>-0.807840499781547</v>
      </c>
      <c r="M157" s="53" t="n">
        <f aca="true">NORMINV(RAND(),0,M$7)</f>
        <v>0.34944303847428</v>
      </c>
      <c r="N157" s="53" t="n">
        <f aca="true">NORMINV(RAND(),0,N$7)</f>
        <v>0.21071164506116</v>
      </c>
      <c r="O157" s="53" t="n">
        <f aca="false">SUM(J157:N157)</f>
        <v>-0.366046961078994</v>
      </c>
    </row>
    <row r="158" customFormat="false" ht="15" hidden="false" customHeight="false" outlineLevel="0" collapsed="false">
      <c r="A158" s="2" t="n">
        <v>150</v>
      </c>
      <c r="B158" s="53" t="n">
        <f aca="true">NORMINV(RAND(),0,B$7)</f>
        <v>-0.334610085756848</v>
      </c>
      <c r="C158" s="53" t="n">
        <f aca="true">NORMINV(RAND(),0,C$7)</f>
        <v>-0.591235766543178</v>
      </c>
      <c r="D158" s="53" t="n">
        <f aca="true">NORMINV(RAND(),0,D$7)</f>
        <v>-0.416296706293592</v>
      </c>
      <c r="E158" s="53" t="n">
        <f aca="true">NORMINV(RAND(),0,E$7)</f>
        <v>0.216335276841454</v>
      </c>
      <c r="F158" s="53" t="n">
        <f aca="true">NORMINV(RAND(),0,F$7)</f>
        <v>-0.412560663719474</v>
      </c>
      <c r="G158" s="53" t="n">
        <f aca="true">NORMINV(RAND(),0,G$7)</f>
        <v>0.625754494168202</v>
      </c>
      <c r="H158" s="53" t="n">
        <f aca="true">NORMINV(RAND(),0,H$7)</f>
        <v>-0.199688489185831</v>
      </c>
      <c r="I158" s="53" t="n">
        <f aca="false">SUM(B158:H158)</f>
        <v>-1.11230194048927</v>
      </c>
      <c r="J158" s="53" t="n">
        <f aca="true">NORMINV(RAND(),0,J$7)</f>
        <v>-0.718649145338268</v>
      </c>
      <c r="K158" s="53" t="n">
        <f aca="true">NORMINV(RAND(),0,K$7)</f>
        <v>-0.0375484619772404</v>
      </c>
      <c r="L158" s="53" t="n">
        <f aca="true">NORMINV(RAND(),0,L$7)</f>
        <v>0.00891952862302978</v>
      </c>
      <c r="M158" s="53" t="n">
        <f aca="true">NORMINV(RAND(),0,M$7)</f>
        <v>-0.483058504136859</v>
      </c>
      <c r="N158" s="53" t="n">
        <f aca="true">NORMINV(RAND(),0,N$7)</f>
        <v>0.203639642191455</v>
      </c>
      <c r="O158" s="53" t="n">
        <f aca="false">SUM(J158:N158)</f>
        <v>-1.02669694063788</v>
      </c>
    </row>
    <row r="159" customFormat="false" ht="15" hidden="false" customHeight="false" outlineLevel="0" collapsed="false">
      <c r="A159" s="2" t="n">
        <v>151</v>
      </c>
      <c r="B159" s="53" t="n">
        <f aca="true">NORMINV(RAND(),0,B$7)</f>
        <v>-1.71929366700858</v>
      </c>
      <c r="C159" s="53" t="n">
        <f aca="true">NORMINV(RAND(),0,C$7)</f>
        <v>0.767098698870975</v>
      </c>
      <c r="D159" s="53" t="n">
        <f aca="true">NORMINV(RAND(),0,D$7)</f>
        <v>1.41074024741033</v>
      </c>
      <c r="E159" s="53" t="n">
        <f aca="true">NORMINV(RAND(),0,E$7)</f>
        <v>-0.238326224227141</v>
      </c>
      <c r="F159" s="53" t="n">
        <f aca="true">NORMINV(RAND(),0,F$7)</f>
        <v>0.104251978237907</v>
      </c>
      <c r="G159" s="53" t="n">
        <f aca="true">NORMINV(RAND(),0,G$7)</f>
        <v>1.00681045362374</v>
      </c>
      <c r="H159" s="53" t="n">
        <f aca="true">NORMINV(RAND(),0,H$7)</f>
        <v>0.0165801258677982</v>
      </c>
      <c r="I159" s="53" t="n">
        <f aca="false">SUM(B159:H159)</f>
        <v>1.34786161277504</v>
      </c>
      <c r="J159" s="53" t="n">
        <f aca="true">NORMINV(RAND(),0,J$7)</f>
        <v>0.444034878589163</v>
      </c>
      <c r="K159" s="53" t="n">
        <f aca="true">NORMINV(RAND(),0,K$7)</f>
        <v>-0.5444654987992</v>
      </c>
      <c r="L159" s="53" t="n">
        <f aca="true">NORMINV(RAND(),0,L$7)</f>
        <v>-0.287240756598341</v>
      </c>
      <c r="M159" s="53" t="n">
        <f aca="true">NORMINV(RAND(),0,M$7)</f>
        <v>-0.0148515544194762</v>
      </c>
      <c r="N159" s="53" t="n">
        <f aca="true">NORMINV(RAND(),0,N$7)</f>
        <v>0.0590945191396478</v>
      </c>
      <c r="O159" s="53" t="n">
        <f aca="false">SUM(J159:N159)</f>
        <v>-0.343428412088206</v>
      </c>
    </row>
    <row r="160" customFormat="false" ht="15" hidden="false" customHeight="false" outlineLevel="0" collapsed="false">
      <c r="A160" s="2" t="n">
        <v>152</v>
      </c>
      <c r="B160" s="53" t="n">
        <f aca="true">NORMINV(RAND(),0,B$7)</f>
        <v>0.314803868835434</v>
      </c>
      <c r="C160" s="53" t="n">
        <f aca="true">NORMINV(RAND(),0,C$7)</f>
        <v>-3.07785821392596</v>
      </c>
      <c r="D160" s="53" t="n">
        <f aca="true">NORMINV(RAND(),0,D$7)</f>
        <v>2.52555455751873</v>
      </c>
      <c r="E160" s="53" t="n">
        <f aca="true">NORMINV(RAND(),0,E$7)</f>
        <v>0.238549101643765</v>
      </c>
      <c r="F160" s="53" t="n">
        <f aca="true">NORMINV(RAND(),0,F$7)</f>
        <v>0.133493054902414</v>
      </c>
      <c r="G160" s="53" t="n">
        <f aca="true">NORMINV(RAND(),0,G$7)</f>
        <v>-0.593646182701228</v>
      </c>
      <c r="H160" s="53" t="n">
        <f aca="true">NORMINV(RAND(),0,H$7)</f>
        <v>0.0361387098056352</v>
      </c>
      <c r="I160" s="53" t="n">
        <f aca="false">SUM(B160:H160)</f>
        <v>-0.422965103921217</v>
      </c>
      <c r="J160" s="53" t="n">
        <f aca="true">NORMINV(RAND(),0,J$7)</f>
        <v>2.77623684867994</v>
      </c>
      <c r="K160" s="53" t="n">
        <f aca="true">NORMINV(RAND(),0,K$7)</f>
        <v>0.851321135656084</v>
      </c>
      <c r="L160" s="53" t="n">
        <f aca="true">NORMINV(RAND(),0,L$7)</f>
        <v>-0.324197433814108</v>
      </c>
      <c r="M160" s="53" t="n">
        <f aca="true">NORMINV(RAND(),0,M$7)</f>
        <v>-0.0411660005410588</v>
      </c>
      <c r="N160" s="53" t="n">
        <f aca="true">NORMINV(RAND(),0,N$7)</f>
        <v>0.252226997255158</v>
      </c>
      <c r="O160" s="53" t="n">
        <f aca="false">SUM(J160:N160)</f>
        <v>3.51442154723602</v>
      </c>
    </row>
    <row r="161" customFormat="false" ht="15" hidden="false" customHeight="false" outlineLevel="0" collapsed="false">
      <c r="A161" s="2" t="n">
        <v>153</v>
      </c>
      <c r="B161" s="53" t="n">
        <f aca="true">NORMINV(RAND(),0,B$7)</f>
        <v>-0.680774780260427</v>
      </c>
      <c r="C161" s="53" t="n">
        <f aca="true">NORMINV(RAND(),0,C$7)</f>
        <v>-1.01943203288663</v>
      </c>
      <c r="D161" s="53" t="n">
        <f aca="true">NORMINV(RAND(),0,D$7)</f>
        <v>0.200557521944614</v>
      </c>
      <c r="E161" s="53" t="n">
        <f aca="true">NORMINV(RAND(),0,E$7)</f>
        <v>-0.304884254468501</v>
      </c>
      <c r="F161" s="53" t="n">
        <f aca="true">NORMINV(RAND(),0,F$7)</f>
        <v>0.139779183947599</v>
      </c>
      <c r="G161" s="53" t="n">
        <f aca="true">NORMINV(RAND(),0,G$7)</f>
        <v>-1.08800192556208</v>
      </c>
      <c r="H161" s="53" t="n">
        <f aca="true">NORMINV(RAND(),0,H$7)</f>
        <v>-0.617502344267305</v>
      </c>
      <c r="I161" s="53" t="n">
        <f aca="false">SUM(B161:H161)</f>
        <v>-3.37025863155274</v>
      </c>
      <c r="J161" s="53" t="n">
        <f aca="true">NORMINV(RAND(),0,J$7)</f>
        <v>1.0529457014111</v>
      </c>
      <c r="K161" s="53" t="n">
        <f aca="true">NORMINV(RAND(),0,K$7)</f>
        <v>-1.28022685156732</v>
      </c>
      <c r="L161" s="53" t="n">
        <f aca="true">NORMINV(RAND(),0,L$7)</f>
        <v>0.207256393083085</v>
      </c>
      <c r="M161" s="53" t="n">
        <f aca="true">NORMINV(RAND(),0,M$7)</f>
        <v>0.0992890611147919</v>
      </c>
      <c r="N161" s="53" t="n">
        <f aca="true">NORMINV(RAND(),0,N$7)</f>
        <v>0.169059649509654</v>
      </c>
      <c r="O161" s="53" t="n">
        <f aca="false">SUM(J161:N161)</f>
        <v>0.248323953551314</v>
      </c>
    </row>
    <row r="162" customFormat="false" ht="15" hidden="false" customHeight="false" outlineLevel="0" collapsed="false">
      <c r="A162" s="2" t="n">
        <v>154</v>
      </c>
      <c r="B162" s="53" t="n">
        <f aca="true">NORMINV(RAND(),0,B$7)</f>
        <v>1.84743078334949</v>
      </c>
      <c r="C162" s="53" t="n">
        <f aca="true">NORMINV(RAND(),0,C$7)</f>
        <v>-1.01730017461688</v>
      </c>
      <c r="D162" s="53" t="n">
        <f aca="true">NORMINV(RAND(),0,D$7)</f>
        <v>-0.504953504487116</v>
      </c>
      <c r="E162" s="53" t="n">
        <f aca="true">NORMINV(RAND(),0,E$7)</f>
        <v>0.258791633195156</v>
      </c>
      <c r="F162" s="53" t="n">
        <f aca="true">NORMINV(RAND(),0,F$7)</f>
        <v>0.135121913965201</v>
      </c>
      <c r="G162" s="53" t="n">
        <f aca="true">NORMINV(RAND(),0,G$7)</f>
        <v>0.337463790056012</v>
      </c>
      <c r="H162" s="53" t="n">
        <f aca="true">NORMINV(RAND(),0,H$7)</f>
        <v>-0.112745117532043</v>
      </c>
      <c r="I162" s="53" t="n">
        <f aca="false">SUM(B162:H162)</f>
        <v>0.943809323929822</v>
      </c>
      <c r="J162" s="53" t="n">
        <f aca="true">NORMINV(RAND(),0,J$7)</f>
        <v>1.71586246385412</v>
      </c>
      <c r="K162" s="53" t="n">
        <f aca="true">NORMINV(RAND(),0,K$7)</f>
        <v>-1.03459681809961</v>
      </c>
      <c r="L162" s="53" t="n">
        <f aca="true">NORMINV(RAND(),0,L$7)</f>
        <v>0.480411250669004</v>
      </c>
      <c r="M162" s="53" t="n">
        <f aca="true">NORMINV(RAND(),0,M$7)</f>
        <v>-0.639885184310443</v>
      </c>
      <c r="N162" s="53" t="n">
        <f aca="true">NORMINV(RAND(),0,N$7)</f>
        <v>-0.523011680930662</v>
      </c>
      <c r="O162" s="53" t="n">
        <f aca="false">SUM(J162:N162)</f>
        <v>-0.00121996881759368</v>
      </c>
    </row>
    <row r="163" customFormat="false" ht="15" hidden="false" customHeight="false" outlineLevel="0" collapsed="false">
      <c r="A163" s="2" t="n">
        <v>155</v>
      </c>
      <c r="B163" s="53" t="n">
        <f aca="true">NORMINV(RAND(),0,B$7)</f>
        <v>-2.39584933925901</v>
      </c>
      <c r="C163" s="53" t="n">
        <f aca="true">NORMINV(RAND(),0,C$7)</f>
        <v>0.406839338942699</v>
      </c>
      <c r="D163" s="53" t="n">
        <f aca="true">NORMINV(RAND(),0,D$7)</f>
        <v>-2.71888160388653</v>
      </c>
      <c r="E163" s="53" t="n">
        <f aca="true">NORMINV(RAND(),0,E$7)</f>
        <v>-0.585068691990696</v>
      </c>
      <c r="F163" s="53" t="n">
        <f aca="true">NORMINV(RAND(),0,F$7)</f>
        <v>0.147355180697338</v>
      </c>
      <c r="G163" s="53" t="n">
        <f aca="true">NORMINV(RAND(),0,G$7)</f>
        <v>0.377801355394262</v>
      </c>
      <c r="H163" s="53" t="n">
        <f aca="true">NORMINV(RAND(),0,H$7)</f>
        <v>0.279798089060143</v>
      </c>
      <c r="I163" s="53" t="n">
        <f aca="false">SUM(B163:H163)</f>
        <v>-4.48800567104179</v>
      </c>
      <c r="J163" s="53" t="n">
        <f aca="true">NORMINV(RAND(),0,J$7)</f>
        <v>-0.184830399456644</v>
      </c>
      <c r="K163" s="53" t="n">
        <f aca="true">NORMINV(RAND(),0,K$7)</f>
        <v>-0.0443108497916255</v>
      </c>
      <c r="L163" s="53" t="n">
        <f aca="true">NORMINV(RAND(),0,L$7)</f>
        <v>0.0836558590065846</v>
      </c>
      <c r="M163" s="53" t="n">
        <f aca="true">NORMINV(RAND(),0,M$7)</f>
        <v>0.0577384236441975</v>
      </c>
      <c r="N163" s="53" t="n">
        <f aca="true">NORMINV(RAND(),0,N$7)</f>
        <v>-0.795081439295339</v>
      </c>
      <c r="O163" s="53" t="n">
        <f aca="false">SUM(J163:N163)</f>
        <v>-0.882828405892826</v>
      </c>
    </row>
    <row r="164" customFormat="false" ht="15" hidden="false" customHeight="false" outlineLevel="0" collapsed="false">
      <c r="A164" s="2" t="n">
        <v>156</v>
      </c>
      <c r="B164" s="53" t="n">
        <f aca="true">NORMINV(RAND(),0,B$7)</f>
        <v>0.833428152315217</v>
      </c>
      <c r="C164" s="53" t="n">
        <f aca="true">NORMINV(RAND(),0,C$7)</f>
        <v>0.561660412725322</v>
      </c>
      <c r="D164" s="53" t="n">
        <f aca="true">NORMINV(RAND(),0,D$7)</f>
        <v>0.628971038096743</v>
      </c>
      <c r="E164" s="53" t="n">
        <f aca="true">NORMINV(RAND(),0,E$7)</f>
        <v>0.294959689800242</v>
      </c>
      <c r="F164" s="53" t="n">
        <f aca="true">NORMINV(RAND(),0,F$7)</f>
        <v>-0.356174379786782</v>
      </c>
      <c r="G164" s="53" t="n">
        <f aca="true">NORMINV(RAND(),0,G$7)</f>
        <v>0.143972257217994</v>
      </c>
      <c r="H164" s="53" t="n">
        <f aca="true">NORMINV(RAND(),0,H$7)</f>
        <v>-0.0503593783249742</v>
      </c>
      <c r="I164" s="53" t="n">
        <f aca="false">SUM(B164:H164)</f>
        <v>2.05645779204376</v>
      </c>
      <c r="J164" s="53" t="n">
        <f aca="true">NORMINV(RAND(),0,J$7)</f>
        <v>-1.63478876244542</v>
      </c>
      <c r="K164" s="53" t="n">
        <f aca="true">NORMINV(RAND(),0,K$7)</f>
        <v>-0.628498785090148</v>
      </c>
      <c r="L164" s="53" t="n">
        <f aca="true">NORMINV(RAND(),0,L$7)</f>
        <v>0.287346584594227</v>
      </c>
      <c r="M164" s="53" t="n">
        <f aca="true">NORMINV(RAND(),0,M$7)</f>
        <v>0.0291177734835049</v>
      </c>
      <c r="N164" s="53" t="n">
        <f aca="true">NORMINV(RAND(),0,N$7)</f>
        <v>-0.208109271715416</v>
      </c>
      <c r="O164" s="53" t="n">
        <f aca="false">SUM(J164:N164)</f>
        <v>-2.15493246117325</v>
      </c>
    </row>
    <row r="165" customFormat="false" ht="15" hidden="false" customHeight="false" outlineLevel="0" collapsed="false">
      <c r="A165" s="2" t="n">
        <v>157</v>
      </c>
      <c r="B165" s="53" t="n">
        <f aca="true">NORMINV(RAND(),0,B$7)</f>
        <v>0.725460567654256</v>
      </c>
      <c r="C165" s="53" t="n">
        <f aca="true">NORMINV(RAND(),0,C$7)</f>
        <v>-3.02205114726141</v>
      </c>
      <c r="D165" s="53" t="n">
        <f aca="true">NORMINV(RAND(),0,D$7)</f>
        <v>4.164616840196</v>
      </c>
      <c r="E165" s="53" t="n">
        <f aca="true">NORMINV(RAND(),0,E$7)</f>
        <v>-0.524489292946535</v>
      </c>
      <c r="F165" s="53" t="n">
        <f aca="true">NORMINV(RAND(),0,F$7)</f>
        <v>-0.167680942802109</v>
      </c>
      <c r="G165" s="53" t="n">
        <f aca="true">NORMINV(RAND(),0,G$7)</f>
        <v>-0.788760683712241</v>
      </c>
      <c r="H165" s="53" t="n">
        <f aca="true">NORMINV(RAND(),0,H$7)</f>
        <v>0.248560791125018</v>
      </c>
      <c r="I165" s="53" t="n">
        <f aca="false">SUM(B165:H165)</f>
        <v>0.635656132252983</v>
      </c>
      <c r="J165" s="53" t="n">
        <f aca="true">NORMINV(RAND(),0,J$7)</f>
        <v>1.27605943345458</v>
      </c>
      <c r="K165" s="53" t="n">
        <f aca="true">NORMINV(RAND(),0,K$7)</f>
        <v>1.01599012162131</v>
      </c>
      <c r="L165" s="53" t="n">
        <f aca="true">NORMINV(RAND(),0,L$7)</f>
        <v>0.308652337371724</v>
      </c>
      <c r="M165" s="53" t="n">
        <f aca="true">NORMINV(RAND(),0,M$7)</f>
        <v>-0.0122371159768672</v>
      </c>
      <c r="N165" s="53" t="n">
        <f aca="true">NORMINV(RAND(),0,N$7)</f>
        <v>0.721351289233589</v>
      </c>
      <c r="O165" s="53" t="n">
        <f aca="false">SUM(J165:N165)</f>
        <v>3.30981606570434</v>
      </c>
    </row>
    <row r="166" customFormat="false" ht="15" hidden="false" customHeight="false" outlineLevel="0" collapsed="false">
      <c r="A166" s="2" t="n">
        <v>158</v>
      </c>
      <c r="B166" s="53" t="n">
        <f aca="true">NORMINV(RAND(),0,B$7)</f>
        <v>-2.6185859650616</v>
      </c>
      <c r="C166" s="53" t="n">
        <f aca="true">NORMINV(RAND(),0,C$7)</f>
        <v>2.19376273108884</v>
      </c>
      <c r="D166" s="53" t="n">
        <f aca="true">NORMINV(RAND(),0,D$7)</f>
        <v>1.41721528736194</v>
      </c>
      <c r="E166" s="53" t="n">
        <f aca="true">NORMINV(RAND(),0,E$7)</f>
        <v>-0.442164900822639</v>
      </c>
      <c r="F166" s="53" t="n">
        <f aca="true">NORMINV(RAND(),0,F$7)</f>
        <v>0.152817765856594</v>
      </c>
      <c r="G166" s="53" t="n">
        <f aca="true">NORMINV(RAND(),0,G$7)</f>
        <v>-2.08594118249321</v>
      </c>
      <c r="H166" s="53" t="n">
        <f aca="true">NORMINV(RAND(),0,H$7)</f>
        <v>0.41369534610651</v>
      </c>
      <c r="I166" s="53" t="n">
        <f aca="false">SUM(B166:H166)</f>
        <v>-0.969200917963561</v>
      </c>
      <c r="J166" s="53" t="n">
        <f aca="true">NORMINV(RAND(),0,J$7)</f>
        <v>1.80619539945068</v>
      </c>
      <c r="K166" s="53" t="n">
        <f aca="true">NORMINV(RAND(),0,K$7)</f>
        <v>-0.133260567872949</v>
      </c>
      <c r="L166" s="53" t="n">
        <f aca="true">NORMINV(RAND(),0,L$7)</f>
        <v>-0.202125523098539</v>
      </c>
      <c r="M166" s="53" t="n">
        <f aca="true">NORMINV(RAND(),0,M$7)</f>
        <v>0.12385279926059</v>
      </c>
      <c r="N166" s="53" t="n">
        <f aca="true">NORMINV(RAND(),0,N$7)</f>
        <v>-0.801693842779549</v>
      </c>
      <c r="O166" s="53" t="n">
        <f aca="false">SUM(J166:N166)</f>
        <v>0.792968264960237</v>
      </c>
    </row>
    <row r="167" customFormat="false" ht="15" hidden="false" customHeight="false" outlineLevel="0" collapsed="false">
      <c r="A167" s="2" t="n">
        <v>159</v>
      </c>
      <c r="B167" s="53" t="n">
        <f aca="true">NORMINV(RAND(),0,B$7)</f>
        <v>-0.509098238839273</v>
      </c>
      <c r="C167" s="53" t="n">
        <f aca="true">NORMINV(RAND(),0,C$7)</f>
        <v>-2.23735963674993</v>
      </c>
      <c r="D167" s="53" t="n">
        <f aca="true">NORMINV(RAND(),0,D$7)</f>
        <v>-0.0733897600607414</v>
      </c>
      <c r="E167" s="53" t="n">
        <f aca="true">NORMINV(RAND(),0,E$7)</f>
        <v>0.142842654151485</v>
      </c>
      <c r="F167" s="53" t="n">
        <f aca="true">NORMINV(RAND(),0,F$7)</f>
        <v>0.118965756829159</v>
      </c>
      <c r="G167" s="53" t="n">
        <f aca="true">NORMINV(RAND(),0,G$7)</f>
        <v>2.40262167249753</v>
      </c>
      <c r="H167" s="53" t="n">
        <f aca="true">NORMINV(RAND(),0,H$7)</f>
        <v>0.133249231122931</v>
      </c>
      <c r="I167" s="53" t="n">
        <f aca="false">SUM(B167:H167)</f>
        <v>-0.0221683210488355</v>
      </c>
      <c r="J167" s="53" t="n">
        <f aca="true">NORMINV(RAND(),0,J$7)</f>
        <v>1.99434259259967</v>
      </c>
      <c r="K167" s="53" t="n">
        <f aca="true">NORMINV(RAND(),0,K$7)</f>
        <v>0.118796437622672</v>
      </c>
      <c r="L167" s="53" t="n">
        <f aca="true">NORMINV(RAND(),0,L$7)</f>
        <v>-0.538785039976102</v>
      </c>
      <c r="M167" s="53" t="n">
        <f aca="true">NORMINV(RAND(),0,M$7)</f>
        <v>-0.158527278869395</v>
      </c>
      <c r="N167" s="53" t="n">
        <f aca="true">NORMINV(RAND(),0,N$7)</f>
        <v>-0.397293046305211</v>
      </c>
      <c r="O167" s="53" t="n">
        <f aca="false">SUM(J167:N167)</f>
        <v>1.01853366507164</v>
      </c>
    </row>
    <row r="168" customFormat="false" ht="15" hidden="false" customHeight="false" outlineLevel="0" collapsed="false">
      <c r="A168" s="2" t="n">
        <v>160</v>
      </c>
      <c r="B168" s="53" t="n">
        <f aca="true">NORMINV(RAND(),0,B$7)</f>
        <v>-1.92932263687468</v>
      </c>
      <c r="C168" s="53" t="n">
        <f aca="true">NORMINV(RAND(),0,C$7)</f>
        <v>1.17707206919587</v>
      </c>
      <c r="D168" s="53" t="n">
        <f aca="true">NORMINV(RAND(),0,D$7)</f>
        <v>2.44775838342165</v>
      </c>
      <c r="E168" s="53" t="n">
        <f aca="true">NORMINV(RAND(),0,E$7)</f>
        <v>-0.405105812975625</v>
      </c>
      <c r="F168" s="53" t="n">
        <f aca="true">NORMINV(RAND(),0,F$7)</f>
        <v>-0.585870646314194</v>
      </c>
      <c r="G168" s="53" t="n">
        <f aca="true">NORMINV(RAND(),0,G$7)</f>
        <v>-0.0713918721552436</v>
      </c>
      <c r="H168" s="53" t="n">
        <f aca="true">NORMINV(RAND(),0,H$7)</f>
        <v>-0.0659497319611855</v>
      </c>
      <c r="I168" s="53" t="n">
        <f aca="false">SUM(B168:H168)</f>
        <v>0.567189752336593</v>
      </c>
      <c r="J168" s="53" t="n">
        <f aca="true">NORMINV(RAND(),0,J$7)</f>
        <v>-0.643929516913846</v>
      </c>
      <c r="K168" s="53" t="n">
        <f aca="true">NORMINV(RAND(),0,K$7)</f>
        <v>-0.658685509841597</v>
      </c>
      <c r="L168" s="53" t="n">
        <f aca="true">NORMINV(RAND(),0,L$7)</f>
        <v>0.156603446959973</v>
      </c>
      <c r="M168" s="53" t="n">
        <f aca="true">NORMINV(RAND(),0,M$7)</f>
        <v>-0.27291123056585</v>
      </c>
      <c r="N168" s="53" t="n">
        <f aca="true">NORMINV(RAND(),0,N$7)</f>
        <v>-0.0521654896911101</v>
      </c>
      <c r="O168" s="53" t="n">
        <f aca="false">SUM(J168:N168)</f>
        <v>-1.47108830005243</v>
      </c>
    </row>
    <row r="169" customFormat="false" ht="15" hidden="false" customHeight="false" outlineLevel="0" collapsed="false">
      <c r="A169" s="2" t="n">
        <v>161</v>
      </c>
      <c r="B169" s="53" t="n">
        <f aca="true">NORMINV(RAND(),0,B$7)</f>
        <v>1.56535230973591</v>
      </c>
      <c r="C169" s="53" t="n">
        <f aca="true">NORMINV(RAND(),0,C$7)</f>
        <v>0.0639800579483515</v>
      </c>
      <c r="D169" s="53" t="n">
        <f aca="true">NORMINV(RAND(),0,D$7)</f>
        <v>0.190443447905837</v>
      </c>
      <c r="E169" s="53" t="n">
        <f aca="true">NORMINV(RAND(),0,E$7)</f>
        <v>0.196839517972106</v>
      </c>
      <c r="F169" s="53" t="n">
        <f aca="true">NORMINV(RAND(),0,F$7)</f>
        <v>-0.221497269542981</v>
      </c>
      <c r="G169" s="53" t="n">
        <f aca="true">NORMINV(RAND(),0,G$7)</f>
        <v>0.604237506288583</v>
      </c>
      <c r="H169" s="53" t="n">
        <f aca="true">NORMINV(RAND(),0,H$7)</f>
        <v>-0.31368293287562</v>
      </c>
      <c r="I169" s="53" t="n">
        <f aca="false">SUM(B169:H169)</f>
        <v>2.08567263743218</v>
      </c>
      <c r="J169" s="53" t="n">
        <f aca="true">NORMINV(RAND(),0,J$7)</f>
        <v>-2.93110968126012</v>
      </c>
      <c r="K169" s="53" t="n">
        <f aca="true">NORMINV(RAND(),0,K$7)</f>
        <v>-0.518463202727403</v>
      </c>
      <c r="L169" s="53" t="n">
        <f aca="true">NORMINV(RAND(),0,L$7)</f>
        <v>0.047548065637931</v>
      </c>
      <c r="M169" s="53" t="n">
        <f aca="true">NORMINV(RAND(),0,M$7)</f>
        <v>-0.391740137623639</v>
      </c>
      <c r="N169" s="53" t="n">
        <f aca="true">NORMINV(RAND(),0,N$7)</f>
        <v>-0.237291963350734</v>
      </c>
      <c r="O169" s="53" t="n">
        <f aca="false">SUM(J169:N169)</f>
        <v>-4.03105691932396</v>
      </c>
    </row>
    <row r="170" customFormat="false" ht="15" hidden="false" customHeight="false" outlineLevel="0" collapsed="false">
      <c r="A170" s="2" t="n">
        <v>162</v>
      </c>
      <c r="B170" s="53" t="n">
        <f aca="true">NORMINV(RAND(),0,B$7)</f>
        <v>1.21153484495902</v>
      </c>
      <c r="C170" s="53" t="n">
        <f aca="true">NORMINV(RAND(),0,C$7)</f>
        <v>-0.696493438210804</v>
      </c>
      <c r="D170" s="53" t="n">
        <f aca="true">NORMINV(RAND(),0,D$7)</f>
        <v>1.52240952565727</v>
      </c>
      <c r="E170" s="53" t="n">
        <f aca="true">NORMINV(RAND(),0,E$7)</f>
        <v>-0.184852619737911</v>
      </c>
      <c r="F170" s="53" t="n">
        <f aca="true">NORMINV(RAND(),0,F$7)</f>
        <v>0.0981244323554806</v>
      </c>
      <c r="G170" s="53" t="n">
        <f aca="true">NORMINV(RAND(),0,G$7)</f>
        <v>-0.0726231292575164</v>
      </c>
      <c r="H170" s="53" t="n">
        <f aca="true">NORMINV(RAND(),0,H$7)</f>
        <v>-0.191374345432899</v>
      </c>
      <c r="I170" s="53" t="n">
        <f aca="false">SUM(B170:H170)</f>
        <v>1.68672527033264</v>
      </c>
      <c r="J170" s="53" t="n">
        <f aca="true">NORMINV(RAND(),0,J$7)</f>
        <v>-0.271065831444706</v>
      </c>
      <c r="K170" s="53" t="n">
        <f aca="true">NORMINV(RAND(),0,K$7)</f>
        <v>0.290538979219981</v>
      </c>
      <c r="L170" s="53" t="n">
        <f aca="true">NORMINV(RAND(),0,L$7)</f>
        <v>-0.0492811721471657</v>
      </c>
      <c r="M170" s="53" t="n">
        <f aca="true">NORMINV(RAND(),0,M$7)</f>
        <v>0.121563510298238</v>
      </c>
      <c r="N170" s="53" t="n">
        <f aca="true">NORMINV(RAND(),0,N$7)</f>
        <v>-0.910261280010048</v>
      </c>
      <c r="O170" s="53" t="n">
        <f aca="false">SUM(J170:N170)</f>
        <v>-0.818505794083702</v>
      </c>
    </row>
    <row r="171" customFormat="false" ht="15" hidden="false" customHeight="false" outlineLevel="0" collapsed="false">
      <c r="A171" s="2" t="n">
        <v>163</v>
      </c>
      <c r="B171" s="53" t="n">
        <f aca="true">NORMINV(RAND(),0,B$7)</f>
        <v>2.30308893071451</v>
      </c>
      <c r="C171" s="53" t="n">
        <f aca="true">NORMINV(RAND(),0,C$7)</f>
        <v>0.995742372877238</v>
      </c>
      <c r="D171" s="53" t="n">
        <f aca="true">NORMINV(RAND(),0,D$7)</f>
        <v>-1.03341210722624</v>
      </c>
      <c r="E171" s="53" t="n">
        <f aca="true">NORMINV(RAND(),0,E$7)</f>
        <v>0.386655670451359</v>
      </c>
      <c r="F171" s="53" t="n">
        <f aca="true">NORMINV(RAND(),0,F$7)</f>
        <v>-0.402245002343449</v>
      </c>
      <c r="G171" s="53" t="n">
        <f aca="true">NORMINV(RAND(),0,G$7)</f>
        <v>-1.34047535740636</v>
      </c>
      <c r="H171" s="53" t="n">
        <f aca="true">NORMINV(RAND(),0,H$7)</f>
        <v>-0.339639738632236</v>
      </c>
      <c r="I171" s="53" t="n">
        <f aca="false">SUM(B171:H171)</f>
        <v>0.569714768434818</v>
      </c>
      <c r="J171" s="53" t="n">
        <f aca="true">NORMINV(RAND(),0,J$7)</f>
        <v>-0.289452463117507</v>
      </c>
      <c r="K171" s="53" t="n">
        <f aca="true">NORMINV(RAND(),0,K$7)</f>
        <v>0.503746975917635</v>
      </c>
      <c r="L171" s="53" t="n">
        <f aca="true">NORMINV(RAND(),0,L$7)</f>
        <v>0.24640522549158</v>
      </c>
      <c r="M171" s="53" t="n">
        <f aca="true">NORMINV(RAND(),0,M$7)</f>
        <v>0.0331644065512644</v>
      </c>
      <c r="N171" s="53" t="n">
        <f aca="true">NORMINV(RAND(),0,N$7)</f>
        <v>-0.036602296035877</v>
      </c>
      <c r="O171" s="53" t="n">
        <f aca="false">SUM(J171:N171)</f>
        <v>0.457261848807095</v>
      </c>
    </row>
    <row r="172" customFormat="false" ht="15" hidden="false" customHeight="false" outlineLevel="0" collapsed="false">
      <c r="A172" s="2" t="n">
        <v>164</v>
      </c>
      <c r="B172" s="53" t="n">
        <f aca="true">NORMINV(RAND(),0,B$7)</f>
        <v>0.353587511415476</v>
      </c>
      <c r="C172" s="53" t="n">
        <f aca="true">NORMINV(RAND(),0,C$7)</f>
        <v>-0.342287435991524</v>
      </c>
      <c r="D172" s="53" t="n">
        <f aca="true">NORMINV(RAND(),0,D$7)</f>
        <v>2.59143864865169</v>
      </c>
      <c r="E172" s="53" t="n">
        <f aca="true">NORMINV(RAND(),0,E$7)</f>
        <v>0.120836505580808</v>
      </c>
      <c r="F172" s="53" t="n">
        <f aca="true">NORMINV(RAND(),0,F$7)</f>
        <v>0.354574814456289</v>
      </c>
      <c r="G172" s="53" t="n">
        <f aca="true">NORMINV(RAND(),0,G$7)</f>
        <v>-0.23378736905401</v>
      </c>
      <c r="H172" s="53" t="n">
        <f aca="true">NORMINV(RAND(),0,H$7)</f>
        <v>0.305774705974641</v>
      </c>
      <c r="I172" s="53" t="n">
        <f aca="false">SUM(B172:H172)</f>
        <v>3.15013738103337</v>
      </c>
      <c r="J172" s="53" t="n">
        <f aca="true">NORMINV(RAND(),0,J$7)</f>
        <v>-1.01738238439195</v>
      </c>
      <c r="K172" s="53" t="n">
        <f aca="true">NORMINV(RAND(),0,K$7)</f>
        <v>-0.208827518797657</v>
      </c>
      <c r="L172" s="53" t="n">
        <f aca="true">NORMINV(RAND(),0,L$7)</f>
        <v>-0.312746903955363</v>
      </c>
      <c r="M172" s="53" t="n">
        <f aca="true">NORMINV(RAND(),0,M$7)</f>
        <v>0.0510042954478069</v>
      </c>
      <c r="N172" s="53" t="n">
        <f aca="true">NORMINV(RAND(),0,N$7)</f>
        <v>-0.7797732289581</v>
      </c>
      <c r="O172" s="53" t="n">
        <f aca="false">SUM(J172:N172)</f>
        <v>-2.26772574065526</v>
      </c>
    </row>
    <row r="173" customFormat="false" ht="15" hidden="false" customHeight="false" outlineLevel="0" collapsed="false">
      <c r="A173" s="2" t="n">
        <v>165</v>
      </c>
      <c r="B173" s="53" t="n">
        <f aca="true">NORMINV(RAND(),0,B$7)</f>
        <v>-1.3981009796384</v>
      </c>
      <c r="C173" s="53" t="n">
        <f aca="true">NORMINV(RAND(),0,C$7)</f>
        <v>-0.113712032421674</v>
      </c>
      <c r="D173" s="53" t="n">
        <f aca="true">NORMINV(RAND(),0,D$7)</f>
        <v>2.29553867213156</v>
      </c>
      <c r="E173" s="53" t="n">
        <f aca="true">NORMINV(RAND(),0,E$7)</f>
        <v>0.150602572599143</v>
      </c>
      <c r="F173" s="53" t="n">
        <f aca="true">NORMINV(RAND(),0,F$7)</f>
        <v>-0.222597161421514</v>
      </c>
      <c r="G173" s="53" t="n">
        <f aca="true">NORMINV(RAND(),0,G$7)</f>
        <v>0.169362671314647</v>
      </c>
      <c r="H173" s="53" t="n">
        <f aca="true">NORMINV(RAND(),0,H$7)</f>
        <v>-0.487657138517021</v>
      </c>
      <c r="I173" s="53" t="n">
        <f aca="false">SUM(B173:H173)</f>
        <v>0.39343660404674</v>
      </c>
      <c r="J173" s="53" t="n">
        <f aca="true">NORMINV(RAND(),0,J$7)</f>
        <v>3.8164975559429</v>
      </c>
      <c r="K173" s="53" t="n">
        <f aca="true">NORMINV(RAND(),0,K$7)</f>
        <v>0.698307396026734</v>
      </c>
      <c r="L173" s="53" t="n">
        <f aca="true">NORMINV(RAND(),0,L$7)</f>
        <v>-0.202167234667923</v>
      </c>
      <c r="M173" s="53" t="n">
        <f aca="true">NORMINV(RAND(),0,M$7)</f>
        <v>-0.0604230750238796</v>
      </c>
      <c r="N173" s="53" t="n">
        <f aca="true">NORMINV(RAND(),0,N$7)</f>
        <v>0.360200321638404</v>
      </c>
      <c r="O173" s="53" t="n">
        <f aca="false">SUM(J173:N173)</f>
        <v>4.61241496391623</v>
      </c>
    </row>
    <row r="174" customFormat="false" ht="15" hidden="false" customHeight="false" outlineLevel="0" collapsed="false">
      <c r="A174" s="2" t="n">
        <v>166</v>
      </c>
      <c r="B174" s="53" t="n">
        <f aca="true">NORMINV(RAND(),0,B$7)</f>
        <v>1.012850961402</v>
      </c>
      <c r="C174" s="53" t="n">
        <f aca="true">NORMINV(RAND(),0,C$7)</f>
        <v>1.55490735945692</v>
      </c>
      <c r="D174" s="53" t="n">
        <f aca="true">NORMINV(RAND(),0,D$7)</f>
        <v>-0.830635809205848</v>
      </c>
      <c r="E174" s="53" t="n">
        <f aca="true">NORMINV(RAND(),0,E$7)</f>
        <v>-0.557865943401361</v>
      </c>
      <c r="F174" s="53" t="n">
        <f aca="true">NORMINV(RAND(),0,F$7)</f>
        <v>-0.151443833696876</v>
      </c>
      <c r="G174" s="53" t="n">
        <f aca="true">NORMINV(RAND(),0,G$7)</f>
        <v>1.33602186058408</v>
      </c>
      <c r="H174" s="53" t="n">
        <f aca="true">NORMINV(RAND(),0,H$7)</f>
        <v>0.202351685306176</v>
      </c>
      <c r="I174" s="53" t="n">
        <f aca="false">SUM(B174:H174)</f>
        <v>2.56618628044508</v>
      </c>
      <c r="J174" s="53" t="n">
        <f aca="true">NORMINV(RAND(),0,J$7)</f>
        <v>0.780076872156831</v>
      </c>
      <c r="K174" s="53" t="n">
        <f aca="true">NORMINV(RAND(),0,K$7)</f>
        <v>0.522057131290649</v>
      </c>
      <c r="L174" s="53" t="n">
        <f aca="true">NORMINV(RAND(),0,L$7)</f>
        <v>0.0671374647563645</v>
      </c>
      <c r="M174" s="53" t="n">
        <f aca="true">NORMINV(RAND(),0,M$7)</f>
        <v>0.0273155497721484</v>
      </c>
      <c r="N174" s="53" t="n">
        <f aca="true">NORMINV(RAND(),0,N$7)</f>
        <v>-0.236592739893535</v>
      </c>
      <c r="O174" s="53" t="n">
        <f aca="false">SUM(J174:N174)</f>
        <v>1.15999427808246</v>
      </c>
    </row>
    <row r="175" customFormat="false" ht="15" hidden="false" customHeight="false" outlineLevel="0" collapsed="false">
      <c r="A175" s="2" t="n">
        <v>167</v>
      </c>
      <c r="B175" s="53" t="n">
        <f aca="true">NORMINV(RAND(),0,B$7)</f>
        <v>1.14025776756186</v>
      </c>
      <c r="C175" s="53" t="n">
        <f aca="true">NORMINV(RAND(),0,C$7)</f>
        <v>-0.416703202999877</v>
      </c>
      <c r="D175" s="53" t="n">
        <f aca="true">NORMINV(RAND(),0,D$7)</f>
        <v>1.85870414027502</v>
      </c>
      <c r="E175" s="53" t="n">
        <f aca="true">NORMINV(RAND(),0,E$7)</f>
        <v>0.813498409613599</v>
      </c>
      <c r="F175" s="53" t="n">
        <f aca="true">NORMINV(RAND(),0,F$7)</f>
        <v>0.310838665025684</v>
      </c>
      <c r="G175" s="53" t="n">
        <f aca="true">NORMINV(RAND(),0,G$7)</f>
        <v>0.00759098813727106</v>
      </c>
      <c r="H175" s="53" t="n">
        <f aca="true">NORMINV(RAND(),0,H$7)</f>
        <v>-0.357385919986968</v>
      </c>
      <c r="I175" s="53" t="n">
        <f aca="false">SUM(B175:H175)</f>
        <v>3.35680084762659</v>
      </c>
      <c r="J175" s="53" t="n">
        <f aca="true">NORMINV(RAND(),0,J$7)</f>
        <v>0.56854000619655</v>
      </c>
      <c r="K175" s="53" t="n">
        <f aca="true">NORMINV(RAND(),0,K$7)</f>
        <v>-0.540611826981901</v>
      </c>
      <c r="L175" s="53" t="n">
        <f aca="true">NORMINV(RAND(),0,L$7)</f>
        <v>-0.323246457666376</v>
      </c>
      <c r="M175" s="53" t="n">
        <f aca="true">NORMINV(RAND(),0,M$7)</f>
        <v>-0.133780762147501</v>
      </c>
      <c r="N175" s="53" t="n">
        <f aca="true">NORMINV(RAND(),0,N$7)</f>
        <v>0.248419339186029</v>
      </c>
      <c r="O175" s="53" t="n">
        <f aca="false">SUM(J175:N175)</f>
        <v>-0.1806797014132</v>
      </c>
    </row>
    <row r="176" customFormat="false" ht="15" hidden="false" customHeight="false" outlineLevel="0" collapsed="false">
      <c r="A176" s="2" t="n">
        <v>168</v>
      </c>
      <c r="B176" s="53" t="n">
        <f aca="true">NORMINV(RAND(),0,B$7)</f>
        <v>-0.502772102448489</v>
      </c>
      <c r="C176" s="53" t="n">
        <f aca="true">NORMINV(RAND(),0,C$7)</f>
        <v>1.56276114148295</v>
      </c>
      <c r="D176" s="53" t="n">
        <f aca="true">NORMINV(RAND(),0,D$7)</f>
        <v>-5.95901734661104</v>
      </c>
      <c r="E176" s="53" t="n">
        <f aca="true">NORMINV(RAND(),0,E$7)</f>
        <v>0.267075415276507</v>
      </c>
      <c r="F176" s="53" t="n">
        <f aca="true">NORMINV(RAND(),0,F$7)</f>
        <v>0.0392435103504349</v>
      </c>
      <c r="G176" s="53" t="n">
        <f aca="true">NORMINV(RAND(),0,G$7)</f>
        <v>-3.6768120484744</v>
      </c>
      <c r="H176" s="53" t="n">
        <f aca="true">NORMINV(RAND(),0,H$7)</f>
        <v>-0.409432112014213</v>
      </c>
      <c r="I176" s="53" t="n">
        <f aca="false">SUM(B176:H176)</f>
        <v>-8.67895354243825</v>
      </c>
      <c r="J176" s="53" t="n">
        <f aca="true">NORMINV(RAND(),0,J$7)</f>
        <v>1.4459627089588</v>
      </c>
      <c r="K176" s="53" t="n">
        <f aca="true">NORMINV(RAND(),0,K$7)</f>
        <v>0.423961302243102</v>
      </c>
      <c r="L176" s="53" t="n">
        <f aca="true">NORMINV(RAND(),0,L$7)</f>
        <v>0.181910367738138</v>
      </c>
      <c r="M176" s="53" t="n">
        <f aca="true">NORMINV(RAND(),0,M$7)</f>
        <v>-0.0451133806318451</v>
      </c>
      <c r="N176" s="53" t="n">
        <f aca="true">NORMINV(RAND(),0,N$7)</f>
        <v>0.605099594859013</v>
      </c>
      <c r="O176" s="53" t="n">
        <f aca="false">SUM(J176:N176)</f>
        <v>2.61182059316721</v>
      </c>
    </row>
    <row r="177" customFormat="false" ht="15" hidden="false" customHeight="false" outlineLevel="0" collapsed="false">
      <c r="A177" s="2" t="n">
        <v>169</v>
      </c>
      <c r="B177" s="53" t="n">
        <f aca="true">NORMINV(RAND(),0,B$7)</f>
        <v>-0.401927595123814</v>
      </c>
      <c r="C177" s="53" t="n">
        <f aca="true">NORMINV(RAND(),0,C$7)</f>
        <v>-0.025076272406046</v>
      </c>
      <c r="D177" s="53" t="n">
        <f aca="true">NORMINV(RAND(),0,D$7)</f>
        <v>-1.82297535034485</v>
      </c>
      <c r="E177" s="53" t="n">
        <f aca="true">NORMINV(RAND(),0,E$7)</f>
        <v>-0.0324059634123881</v>
      </c>
      <c r="F177" s="53" t="n">
        <f aca="true">NORMINV(RAND(),0,F$7)</f>
        <v>-0.288388585124942</v>
      </c>
      <c r="G177" s="53" t="n">
        <f aca="true">NORMINV(RAND(),0,G$7)</f>
        <v>0.142234653976751</v>
      </c>
      <c r="H177" s="53" t="n">
        <f aca="true">NORMINV(RAND(),0,H$7)</f>
        <v>0.0888394391034709</v>
      </c>
      <c r="I177" s="53" t="n">
        <f aca="false">SUM(B177:H177)</f>
        <v>-2.33969967333182</v>
      </c>
      <c r="J177" s="53" t="n">
        <f aca="true">NORMINV(RAND(),0,J$7)</f>
        <v>0.352030295010973</v>
      </c>
      <c r="K177" s="53" t="n">
        <f aca="true">NORMINV(RAND(),0,K$7)</f>
        <v>-0.0301822245065186</v>
      </c>
      <c r="L177" s="53" t="n">
        <f aca="true">NORMINV(RAND(),0,L$7)</f>
        <v>0.11094051258862</v>
      </c>
      <c r="M177" s="53" t="n">
        <f aca="true">NORMINV(RAND(),0,M$7)</f>
        <v>-0.000839108408659793</v>
      </c>
      <c r="N177" s="53" t="n">
        <f aca="true">NORMINV(RAND(),0,N$7)</f>
        <v>0.611827611607924</v>
      </c>
      <c r="O177" s="53" t="n">
        <f aca="false">SUM(J177:N177)</f>
        <v>1.04377708629234</v>
      </c>
    </row>
    <row r="178" customFormat="false" ht="15" hidden="false" customHeight="false" outlineLevel="0" collapsed="false">
      <c r="A178" s="2" t="n">
        <v>170</v>
      </c>
      <c r="B178" s="53" t="n">
        <f aca="true">NORMINV(RAND(),0,B$7)</f>
        <v>-0.33903347169936</v>
      </c>
      <c r="C178" s="53" t="n">
        <f aca="true">NORMINV(RAND(),0,C$7)</f>
        <v>-1.71529583909402</v>
      </c>
      <c r="D178" s="53" t="n">
        <f aca="true">NORMINV(RAND(),0,D$7)</f>
        <v>2.11694317679295</v>
      </c>
      <c r="E178" s="53" t="n">
        <f aca="true">NORMINV(RAND(),0,E$7)</f>
        <v>0.0554188469983085</v>
      </c>
      <c r="F178" s="53" t="n">
        <f aca="true">NORMINV(RAND(),0,F$7)</f>
        <v>0.0740716724482255</v>
      </c>
      <c r="G178" s="53" t="n">
        <f aca="true">NORMINV(RAND(),0,G$7)</f>
        <v>0.921656427716325</v>
      </c>
      <c r="H178" s="53" t="n">
        <f aca="true">NORMINV(RAND(),0,H$7)</f>
        <v>-0.000422372509047443</v>
      </c>
      <c r="I178" s="53" t="n">
        <f aca="false">SUM(B178:H178)</f>
        <v>1.11333844065338</v>
      </c>
      <c r="J178" s="53" t="n">
        <f aca="true">NORMINV(RAND(),0,J$7)</f>
        <v>-1.67377679041322</v>
      </c>
      <c r="K178" s="53" t="n">
        <f aca="true">NORMINV(RAND(),0,K$7)</f>
        <v>-0.0548760347329782</v>
      </c>
      <c r="L178" s="53" t="n">
        <f aca="true">NORMINV(RAND(),0,L$7)</f>
        <v>0.810131037579299</v>
      </c>
      <c r="M178" s="53" t="n">
        <f aca="true">NORMINV(RAND(),0,M$7)</f>
        <v>-0.0721419842316139</v>
      </c>
      <c r="N178" s="53" t="n">
        <f aca="true">NORMINV(RAND(),0,N$7)</f>
        <v>0.0868547570771668</v>
      </c>
      <c r="O178" s="53" t="n">
        <f aca="false">SUM(J178:N178)</f>
        <v>-0.903809014721346</v>
      </c>
    </row>
    <row r="179" customFormat="false" ht="15" hidden="false" customHeight="false" outlineLevel="0" collapsed="false">
      <c r="A179" s="2" t="n">
        <v>171</v>
      </c>
      <c r="B179" s="53" t="n">
        <f aca="true">NORMINV(RAND(),0,B$7)</f>
        <v>-2.69220485080644</v>
      </c>
      <c r="C179" s="53" t="n">
        <f aca="true">NORMINV(RAND(),0,C$7)</f>
        <v>0.573917374265213</v>
      </c>
      <c r="D179" s="53" t="n">
        <f aca="true">NORMINV(RAND(),0,D$7)</f>
        <v>3.58239627897267</v>
      </c>
      <c r="E179" s="53" t="n">
        <f aca="true">NORMINV(RAND(),0,E$7)</f>
        <v>0.558508404419264</v>
      </c>
      <c r="F179" s="53" t="n">
        <f aca="true">NORMINV(RAND(),0,F$7)</f>
        <v>-0.207238780710722</v>
      </c>
      <c r="G179" s="53" t="n">
        <f aca="true">NORMINV(RAND(),0,G$7)</f>
        <v>0.664528245869267</v>
      </c>
      <c r="H179" s="53" t="n">
        <f aca="true">NORMINV(RAND(),0,H$7)</f>
        <v>-0.858614041144159</v>
      </c>
      <c r="I179" s="53" t="n">
        <f aca="false">SUM(B179:H179)</f>
        <v>1.6212926308651</v>
      </c>
      <c r="J179" s="53" t="n">
        <f aca="true">NORMINV(RAND(),0,J$7)</f>
        <v>-1.50058507808305</v>
      </c>
      <c r="K179" s="53" t="n">
        <f aca="true">NORMINV(RAND(),0,K$7)</f>
        <v>0.365629264644283</v>
      </c>
      <c r="L179" s="53" t="n">
        <f aca="true">NORMINV(RAND(),0,L$7)</f>
        <v>0.4280329927544</v>
      </c>
      <c r="M179" s="53" t="n">
        <f aca="true">NORMINV(RAND(),0,M$7)</f>
        <v>-0.0285576973919268</v>
      </c>
      <c r="N179" s="53" t="n">
        <f aca="true">NORMINV(RAND(),0,N$7)</f>
        <v>-0.343810149586584</v>
      </c>
      <c r="O179" s="53" t="n">
        <f aca="false">SUM(J179:N179)</f>
        <v>-1.07929066766287</v>
      </c>
    </row>
    <row r="180" customFormat="false" ht="15" hidden="false" customHeight="false" outlineLevel="0" collapsed="false">
      <c r="A180" s="2" t="n">
        <v>172</v>
      </c>
      <c r="B180" s="53" t="n">
        <f aca="true">NORMINV(RAND(),0,B$7)</f>
        <v>2.28841888916113</v>
      </c>
      <c r="C180" s="53" t="n">
        <f aca="true">NORMINV(RAND(),0,C$7)</f>
        <v>-0.514133368527675</v>
      </c>
      <c r="D180" s="53" t="n">
        <f aca="true">NORMINV(RAND(),0,D$7)</f>
        <v>-0.603089126275019</v>
      </c>
      <c r="E180" s="53" t="n">
        <f aca="true">NORMINV(RAND(),0,E$7)</f>
        <v>0.299644167939513</v>
      </c>
      <c r="F180" s="53" t="n">
        <f aca="true">NORMINV(RAND(),0,F$7)</f>
        <v>-0.202134788585779</v>
      </c>
      <c r="G180" s="53" t="n">
        <f aca="true">NORMINV(RAND(),0,G$7)</f>
        <v>-0.670116744774278</v>
      </c>
      <c r="H180" s="53" t="n">
        <f aca="true">NORMINV(RAND(),0,H$7)</f>
        <v>0.0584368555073709</v>
      </c>
      <c r="I180" s="53" t="n">
        <f aca="false">SUM(B180:H180)</f>
        <v>0.657025884445265</v>
      </c>
      <c r="J180" s="53" t="n">
        <f aca="true">NORMINV(RAND(),0,J$7)</f>
        <v>0.66857322677344</v>
      </c>
      <c r="K180" s="53" t="n">
        <f aca="true">NORMINV(RAND(),0,K$7)</f>
        <v>-0.173915878409437</v>
      </c>
      <c r="L180" s="53" t="n">
        <f aca="true">NORMINV(RAND(),0,L$7)</f>
        <v>-0.291553633016471</v>
      </c>
      <c r="M180" s="53" t="n">
        <f aca="true">NORMINV(RAND(),0,M$7)</f>
        <v>-0.0838303684435255</v>
      </c>
      <c r="N180" s="53" t="n">
        <f aca="true">NORMINV(RAND(),0,N$7)</f>
        <v>-0.155654739765433</v>
      </c>
      <c r="O180" s="53" t="n">
        <f aca="false">SUM(J180:N180)</f>
        <v>-0.0363813928614272</v>
      </c>
    </row>
    <row r="181" customFormat="false" ht="15" hidden="false" customHeight="false" outlineLevel="0" collapsed="false">
      <c r="A181" s="2" t="n">
        <v>173</v>
      </c>
      <c r="B181" s="53" t="n">
        <f aca="true">NORMINV(RAND(),0,B$7)</f>
        <v>-2.70595118997716</v>
      </c>
      <c r="C181" s="53" t="n">
        <f aca="true">NORMINV(RAND(),0,C$7)</f>
        <v>-1.22438496039609</v>
      </c>
      <c r="D181" s="53" t="n">
        <f aca="true">NORMINV(RAND(),0,D$7)</f>
        <v>1.12867842534442</v>
      </c>
      <c r="E181" s="53" t="n">
        <f aca="true">NORMINV(RAND(),0,E$7)</f>
        <v>0.127610397167042</v>
      </c>
      <c r="F181" s="53" t="n">
        <f aca="true">NORMINV(RAND(),0,F$7)</f>
        <v>-0.954407867947998</v>
      </c>
      <c r="G181" s="53" t="n">
        <f aca="true">NORMINV(RAND(),0,G$7)</f>
        <v>-0.914123072232282</v>
      </c>
      <c r="H181" s="53" t="n">
        <f aca="true">NORMINV(RAND(),0,H$7)</f>
        <v>-0.1572139675267</v>
      </c>
      <c r="I181" s="53" t="n">
        <f aca="false">SUM(B181:H181)</f>
        <v>-4.69979223556877</v>
      </c>
      <c r="J181" s="53" t="n">
        <f aca="true">NORMINV(RAND(),0,J$7)</f>
        <v>-0.641047282002654</v>
      </c>
      <c r="K181" s="53" t="n">
        <f aca="true">NORMINV(RAND(),0,K$7)</f>
        <v>-1.04115675291504</v>
      </c>
      <c r="L181" s="53" t="n">
        <f aca="true">NORMINV(RAND(),0,L$7)</f>
        <v>0.0260060849963945</v>
      </c>
      <c r="M181" s="53" t="n">
        <f aca="true">NORMINV(RAND(),0,M$7)</f>
        <v>-0.0794256362501614</v>
      </c>
      <c r="N181" s="53" t="n">
        <f aca="true">NORMINV(RAND(),0,N$7)</f>
        <v>0.222619618371035</v>
      </c>
      <c r="O181" s="53" t="n">
        <f aca="false">SUM(J181:N181)</f>
        <v>-1.51300396780042</v>
      </c>
    </row>
    <row r="182" customFormat="false" ht="15" hidden="false" customHeight="false" outlineLevel="0" collapsed="false">
      <c r="A182" s="2" t="n">
        <v>174</v>
      </c>
      <c r="B182" s="53" t="n">
        <f aca="true">NORMINV(RAND(),0,B$7)</f>
        <v>0.154145726419581</v>
      </c>
      <c r="C182" s="53" t="n">
        <f aca="true">NORMINV(RAND(),0,C$7)</f>
        <v>-0.93493446368501</v>
      </c>
      <c r="D182" s="53" t="n">
        <f aca="true">NORMINV(RAND(),0,D$7)</f>
        <v>0.664253527742411</v>
      </c>
      <c r="E182" s="53" t="n">
        <f aca="true">NORMINV(RAND(),0,E$7)</f>
        <v>-0.214288122831349</v>
      </c>
      <c r="F182" s="53" t="n">
        <f aca="true">NORMINV(RAND(),0,F$7)</f>
        <v>0.153267507760579</v>
      </c>
      <c r="G182" s="53" t="n">
        <f aca="true">NORMINV(RAND(),0,G$7)</f>
        <v>1.64899551688474</v>
      </c>
      <c r="H182" s="53" t="n">
        <f aca="true">NORMINV(RAND(),0,H$7)</f>
        <v>0.167724453141319</v>
      </c>
      <c r="I182" s="53" t="n">
        <f aca="false">SUM(B182:H182)</f>
        <v>1.63916414543227</v>
      </c>
      <c r="J182" s="53" t="n">
        <f aca="true">NORMINV(RAND(),0,J$7)</f>
        <v>-0.601023858415375</v>
      </c>
      <c r="K182" s="53" t="n">
        <f aca="true">NORMINV(RAND(),0,K$7)</f>
        <v>0.0261076897806344</v>
      </c>
      <c r="L182" s="53" t="n">
        <f aca="true">NORMINV(RAND(),0,L$7)</f>
        <v>-0.0963339203143882</v>
      </c>
      <c r="M182" s="53" t="n">
        <f aca="true">NORMINV(RAND(),0,M$7)</f>
        <v>-0.0462845332776053</v>
      </c>
      <c r="N182" s="53" t="n">
        <f aca="true">NORMINV(RAND(),0,N$7)</f>
        <v>0.234616093929598</v>
      </c>
      <c r="O182" s="53" t="n">
        <f aca="false">SUM(J182:N182)</f>
        <v>-0.482918528297137</v>
      </c>
    </row>
    <row r="183" customFormat="false" ht="15" hidden="false" customHeight="false" outlineLevel="0" collapsed="false">
      <c r="A183" s="2" t="n">
        <v>175</v>
      </c>
      <c r="B183" s="53" t="n">
        <f aca="true">NORMINV(RAND(),0,B$7)</f>
        <v>-0.394124446190283</v>
      </c>
      <c r="C183" s="53" t="n">
        <f aca="true">NORMINV(RAND(),0,C$7)</f>
        <v>-1.30615397751846</v>
      </c>
      <c r="D183" s="53" t="n">
        <f aca="true">NORMINV(RAND(),0,D$7)</f>
        <v>-2.59064666067104</v>
      </c>
      <c r="E183" s="53" t="n">
        <f aca="true">NORMINV(RAND(),0,E$7)</f>
        <v>-0.654901886336387</v>
      </c>
      <c r="F183" s="53" t="n">
        <f aca="true">NORMINV(RAND(),0,F$7)</f>
        <v>0.0153459330082889</v>
      </c>
      <c r="G183" s="53" t="n">
        <f aca="true">NORMINV(RAND(),0,G$7)</f>
        <v>0.200692228923667</v>
      </c>
      <c r="H183" s="53" t="n">
        <f aca="true">NORMINV(RAND(),0,H$7)</f>
        <v>0.526480033476785</v>
      </c>
      <c r="I183" s="53" t="n">
        <f aca="false">SUM(B183:H183)</f>
        <v>-4.20330877530743</v>
      </c>
      <c r="J183" s="53" t="n">
        <f aca="true">NORMINV(RAND(),0,J$7)</f>
        <v>3.08449929716299</v>
      </c>
      <c r="K183" s="53" t="n">
        <f aca="true">NORMINV(RAND(),0,K$7)</f>
        <v>-0.685136492968331</v>
      </c>
      <c r="L183" s="53" t="n">
        <f aca="true">NORMINV(RAND(),0,L$7)</f>
        <v>0.201003949965052</v>
      </c>
      <c r="M183" s="53" t="n">
        <f aca="true">NORMINV(RAND(),0,M$7)</f>
        <v>-0.149846999976808</v>
      </c>
      <c r="N183" s="53" t="n">
        <f aca="true">NORMINV(RAND(),0,N$7)</f>
        <v>0.162730910339873</v>
      </c>
      <c r="O183" s="53" t="n">
        <f aca="false">SUM(J183:N183)</f>
        <v>2.61325066452278</v>
      </c>
    </row>
    <row r="184" customFormat="false" ht="15" hidden="false" customHeight="false" outlineLevel="0" collapsed="false">
      <c r="A184" s="2" t="n">
        <v>176</v>
      </c>
      <c r="B184" s="53" t="n">
        <f aca="true">NORMINV(RAND(),0,B$7)</f>
        <v>2.57783207726697</v>
      </c>
      <c r="C184" s="53" t="n">
        <f aca="true">NORMINV(RAND(),0,C$7)</f>
        <v>1.09273732487514</v>
      </c>
      <c r="D184" s="53" t="n">
        <f aca="true">NORMINV(RAND(),0,D$7)</f>
        <v>-0.501938671123415</v>
      </c>
      <c r="E184" s="53" t="n">
        <f aca="true">NORMINV(RAND(),0,E$7)</f>
        <v>-0.0526624428348472</v>
      </c>
      <c r="F184" s="53" t="n">
        <f aca="true">NORMINV(RAND(),0,F$7)</f>
        <v>-0.0158124729913019</v>
      </c>
      <c r="G184" s="53" t="n">
        <f aca="true">NORMINV(RAND(),0,G$7)</f>
        <v>-0.430482889736914</v>
      </c>
      <c r="H184" s="53" t="n">
        <f aca="true">NORMINV(RAND(),0,H$7)</f>
        <v>-0.467919904702394</v>
      </c>
      <c r="I184" s="53" t="n">
        <f aca="false">SUM(B184:H184)</f>
        <v>2.20175302075324</v>
      </c>
      <c r="J184" s="53" t="n">
        <f aca="true">NORMINV(RAND(),0,J$7)</f>
        <v>3.17729723116877</v>
      </c>
      <c r="K184" s="53" t="n">
        <f aca="true">NORMINV(RAND(),0,K$7)</f>
        <v>0.750301393023674</v>
      </c>
      <c r="L184" s="53" t="n">
        <f aca="true">NORMINV(RAND(),0,L$7)</f>
        <v>-0.443040026870723</v>
      </c>
      <c r="M184" s="53" t="n">
        <f aca="true">NORMINV(RAND(),0,M$7)</f>
        <v>0.270923121718152</v>
      </c>
      <c r="N184" s="53" t="n">
        <f aca="true">NORMINV(RAND(),0,N$7)</f>
        <v>-0.0289875507182066</v>
      </c>
      <c r="O184" s="53" t="n">
        <f aca="false">SUM(J184:N184)</f>
        <v>3.72649416832167</v>
      </c>
    </row>
    <row r="185" customFormat="false" ht="15" hidden="false" customHeight="false" outlineLevel="0" collapsed="false">
      <c r="A185" s="2" t="n">
        <v>177</v>
      </c>
      <c r="B185" s="53" t="n">
        <f aca="true">NORMINV(RAND(),0,B$7)</f>
        <v>-0.712247506107056</v>
      </c>
      <c r="C185" s="53" t="n">
        <f aca="true">NORMINV(RAND(),0,C$7)</f>
        <v>1.56518824126425</v>
      </c>
      <c r="D185" s="53" t="n">
        <f aca="true">NORMINV(RAND(),0,D$7)</f>
        <v>0.623666806482261</v>
      </c>
      <c r="E185" s="53" t="n">
        <f aca="true">NORMINV(RAND(),0,E$7)</f>
        <v>-0.102139717994374</v>
      </c>
      <c r="F185" s="53" t="n">
        <f aca="true">NORMINV(RAND(),0,F$7)</f>
        <v>-0.109083816693376</v>
      </c>
      <c r="G185" s="53" t="n">
        <f aca="true">NORMINV(RAND(),0,G$7)</f>
        <v>-0.192887967061005</v>
      </c>
      <c r="H185" s="53" t="n">
        <f aca="true">NORMINV(RAND(),0,H$7)</f>
        <v>0.234492328757005</v>
      </c>
      <c r="I185" s="53" t="n">
        <f aca="false">SUM(B185:H185)</f>
        <v>1.3069883686477</v>
      </c>
      <c r="J185" s="53" t="n">
        <f aca="true">NORMINV(RAND(),0,J$7)</f>
        <v>-2.03859218152158</v>
      </c>
      <c r="K185" s="53" t="n">
        <f aca="true">NORMINV(RAND(),0,K$7)</f>
        <v>-1.19447264912901</v>
      </c>
      <c r="L185" s="53" t="n">
        <f aca="true">NORMINV(RAND(),0,L$7)</f>
        <v>0.674978076924745</v>
      </c>
      <c r="M185" s="53" t="n">
        <f aca="true">NORMINV(RAND(),0,M$7)</f>
        <v>0.0436595674176598</v>
      </c>
      <c r="N185" s="53" t="n">
        <f aca="true">NORMINV(RAND(),0,N$7)</f>
        <v>-0.0086184220788475</v>
      </c>
      <c r="O185" s="53" t="n">
        <f aca="false">SUM(J185:N185)</f>
        <v>-2.52304560838703</v>
      </c>
    </row>
    <row r="186" customFormat="false" ht="15" hidden="false" customHeight="false" outlineLevel="0" collapsed="false">
      <c r="A186" s="2" t="n">
        <v>178</v>
      </c>
      <c r="B186" s="53" t="n">
        <f aca="true">NORMINV(RAND(),0,B$7)</f>
        <v>-0.805871571492731</v>
      </c>
      <c r="C186" s="53" t="n">
        <f aca="true">NORMINV(RAND(),0,C$7)</f>
        <v>-0.65122581374322</v>
      </c>
      <c r="D186" s="53" t="n">
        <f aca="true">NORMINV(RAND(),0,D$7)</f>
        <v>-0.560391522682509</v>
      </c>
      <c r="E186" s="53" t="n">
        <f aca="true">NORMINV(RAND(),0,E$7)</f>
        <v>0.00864486055413347</v>
      </c>
      <c r="F186" s="53" t="n">
        <f aca="true">NORMINV(RAND(),0,F$7)</f>
        <v>0.135125184725598</v>
      </c>
      <c r="G186" s="53" t="n">
        <f aca="true">NORMINV(RAND(),0,G$7)</f>
        <v>0.517212851230252</v>
      </c>
      <c r="H186" s="53" t="n">
        <f aca="true">NORMINV(RAND(),0,H$7)</f>
        <v>0.0937184088934411</v>
      </c>
      <c r="I186" s="53" t="n">
        <f aca="false">SUM(B186:H186)</f>
        <v>-1.26278760251503</v>
      </c>
      <c r="J186" s="53" t="n">
        <f aca="true">NORMINV(RAND(),0,J$7)</f>
        <v>-3.21013767196417</v>
      </c>
      <c r="K186" s="53" t="n">
        <f aca="true">NORMINV(RAND(),0,K$7)</f>
        <v>0.068745104526398</v>
      </c>
      <c r="L186" s="53" t="n">
        <f aca="true">NORMINV(RAND(),0,L$7)</f>
        <v>0.179546398353536</v>
      </c>
      <c r="M186" s="53" t="n">
        <f aca="true">NORMINV(RAND(),0,M$7)</f>
        <v>-0.154090567980071</v>
      </c>
      <c r="N186" s="53" t="n">
        <f aca="true">NORMINV(RAND(),0,N$7)</f>
        <v>0.558020105741972</v>
      </c>
      <c r="O186" s="53" t="n">
        <f aca="false">SUM(J186:N186)</f>
        <v>-2.55791663132234</v>
      </c>
    </row>
    <row r="187" customFormat="false" ht="15" hidden="false" customHeight="false" outlineLevel="0" collapsed="false">
      <c r="A187" s="2" t="n">
        <v>179</v>
      </c>
      <c r="B187" s="53" t="n">
        <f aca="true">NORMINV(RAND(),0,B$7)</f>
        <v>-0.76638793439132</v>
      </c>
      <c r="C187" s="53" t="n">
        <f aca="true">NORMINV(RAND(),0,C$7)</f>
        <v>-0.705103092442835</v>
      </c>
      <c r="D187" s="53" t="n">
        <f aca="true">NORMINV(RAND(),0,D$7)</f>
        <v>-1.04993959847876</v>
      </c>
      <c r="E187" s="53" t="n">
        <f aca="true">NORMINV(RAND(),0,E$7)</f>
        <v>0.0623035510854928</v>
      </c>
      <c r="F187" s="53" t="n">
        <f aca="true">NORMINV(RAND(),0,F$7)</f>
        <v>0.230825412245111</v>
      </c>
      <c r="G187" s="53" t="n">
        <f aca="true">NORMINV(RAND(),0,G$7)</f>
        <v>-0.2432210947889</v>
      </c>
      <c r="H187" s="53" t="n">
        <f aca="true">NORMINV(RAND(),0,H$7)</f>
        <v>-0.617517244509708</v>
      </c>
      <c r="I187" s="53" t="n">
        <f aca="false">SUM(B187:H187)</f>
        <v>-3.08904000128092</v>
      </c>
      <c r="J187" s="53" t="n">
        <f aca="true">NORMINV(RAND(),0,J$7)</f>
        <v>-0.171141560796459</v>
      </c>
      <c r="K187" s="53" t="n">
        <f aca="true">NORMINV(RAND(),0,K$7)</f>
        <v>0.610675972446508</v>
      </c>
      <c r="L187" s="53" t="n">
        <f aca="true">NORMINV(RAND(),0,L$7)</f>
        <v>-0.0572029051290976</v>
      </c>
      <c r="M187" s="53" t="n">
        <f aca="true">NORMINV(RAND(),0,M$7)</f>
        <v>0.396137724639156</v>
      </c>
      <c r="N187" s="53" t="n">
        <f aca="true">NORMINV(RAND(),0,N$7)</f>
        <v>-0.3661197518944</v>
      </c>
      <c r="O187" s="53" t="n">
        <f aca="false">SUM(J187:N187)</f>
        <v>0.412349479265707</v>
      </c>
    </row>
    <row r="188" customFormat="false" ht="15" hidden="false" customHeight="false" outlineLevel="0" collapsed="false">
      <c r="A188" s="2" t="n">
        <v>180</v>
      </c>
      <c r="B188" s="53" t="n">
        <f aca="true">NORMINV(RAND(),0,B$7)</f>
        <v>0.935357590897167</v>
      </c>
      <c r="C188" s="53" t="n">
        <f aca="true">NORMINV(RAND(),0,C$7)</f>
        <v>-2.64492499261602</v>
      </c>
      <c r="D188" s="53" t="n">
        <f aca="true">NORMINV(RAND(),0,D$7)</f>
        <v>0.456096985252945</v>
      </c>
      <c r="E188" s="53" t="n">
        <f aca="true">NORMINV(RAND(),0,E$7)</f>
        <v>-0.479129708221777</v>
      </c>
      <c r="F188" s="53" t="n">
        <f aca="true">NORMINV(RAND(),0,F$7)</f>
        <v>0.545081149285611</v>
      </c>
      <c r="G188" s="53" t="n">
        <f aca="true">NORMINV(RAND(),0,G$7)</f>
        <v>-0.343063102564791</v>
      </c>
      <c r="H188" s="53" t="n">
        <f aca="true">NORMINV(RAND(),0,H$7)</f>
        <v>-0.253562227599427</v>
      </c>
      <c r="I188" s="53" t="n">
        <f aca="false">SUM(B188:H188)</f>
        <v>-1.78414430556629</v>
      </c>
      <c r="J188" s="53" t="n">
        <f aca="true">NORMINV(RAND(),0,J$7)</f>
        <v>-1.67920962004702</v>
      </c>
      <c r="K188" s="53" t="n">
        <f aca="true">NORMINV(RAND(),0,K$7)</f>
        <v>0.0018419604860617</v>
      </c>
      <c r="L188" s="53" t="n">
        <f aca="true">NORMINV(RAND(),0,L$7)</f>
        <v>0.388538726229909</v>
      </c>
      <c r="M188" s="53" t="n">
        <f aca="true">NORMINV(RAND(),0,M$7)</f>
        <v>-0.00876922314243629</v>
      </c>
      <c r="N188" s="53" t="n">
        <f aca="true">NORMINV(RAND(),0,N$7)</f>
        <v>0.272484159810411</v>
      </c>
      <c r="O188" s="53" t="n">
        <f aca="false">SUM(J188:N188)</f>
        <v>-1.02511399666308</v>
      </c>
    </row>
    <row r="189" customFormat="false" ht="15" hidden="false" customHeight="false" outlineLevel="0" collapsed="false">
      <c r="A189" s="2" t="n">
        <v>181</v>
      </c>
      <c r="B189" s="53" t="n">
        <f aca="true">NORMINV(RAND(),0,B$7)</f>
        <v>-0.625439242833082</v>
      </c>
      <c r="C189" s="53" t="n">
        <f aca="true">NORMINV(RAND(),0,C$7)</f>
        <v>1.99781440443938</v>
      </c>
      <c r="D189" s="53" t="n">
        <f aca="true">NORMINV(RAND(),0,D$7)</f>
        <v>-3.79679001848174</v>
      </c>
      <c r="E189" s="53" t="n">
        <f aca="true">NORMINV(RAND(),0,E$7)</f>
        <v>-0.358351642936417</v>
      </c>
      <c r="F189" s="53" t="n">
        <f aca="true">NORMINV(RAND(),0,F$7)</f>
        <v>-0.452144195244572</v>
      </c>
      <c r="G189" s="53" t="n">
        <f aca="true">NORMINV(RAND(),0,G$7)</f>
        <v>-0.982430279878856</v>
      </c>
      <c r="H189" s="53" t="n">
        <f aca="true">NORMINV(RAND(),0,H$7)</f>
        <v>-0.309373082872573</v>
      </c>
      <c r="I189" s="53" t="n">
        <f aca="false">SUM(B189:H189)</f>
        <v>-4.52671405780787</v>
      </c>
      <c r="J189" s="53" t="n">
        <f aca="true">NORMINV(RAND(),0,J$7)</f>
        <v>-2.88976821582354</v>
      </c>
      <c r="K189" s="53" t="n">
        <f aca="true">NORMINV(RAND(),0,K$7)</f>
        <v>0.882441635470339</v>
      </c>
      <c r="L189" s="53" t="n">
        <f aca="true">NORMINV(RAND(),0,L$7)</f>
        <v>-0.403158757729878</v>
      </c>
      <c r="M189" s="53" t="n">
        <f aca="true">NORMINV(RAND(),0,M$7)</f>
        <v>-0.301829410440362</v>
      </c>
      <c r="N189" s="53" t="n">
        <f aca="true">NORMINV(RAND(),0,N$7)</f>
        <v>0.521061628232766</v>
      </c>
      <c r="O189" s="53" t="n">
        <f aca="false">SUM(J189:N189)</f>
        <v>-2.19125312029068</v>
      </c>
    </row>
    <row r="190" customFormat="false" ht="15" hidden="false" customHeight="false" outlineLevel="0" collapsed="false">
      <c r="A190" s="2" t="n">
        <v>182</v>
      </c>
      <c r="B190" s="53" t="n">
        <f aca="true">NORMINV(RAND(),0,B$7)</f>
        <v>1.1688774827471</v>
      </c>
      <c r="C190" s="53" t="n">
        <f aca="true">NORMINV(RAND(),0,C$7)</f>
        <v>-0.431390102481103</v>
      </c>
      <c r="D190" s="53" t="n">
        <f aca="true">NORMINV(RAND(),0,D$7)</f>
        <v>-3.29437351083294</v>
      </c>
      <c r="E190" s="53" t="n">
        <f aca="true">NORMINV(RAND(),0,E$7)</f>
        <v>0.125697306529384</v>
      </c>
      <c r="F190" s="53" t="n">
        <f aca="true">NORMINV(RAND(),0,F$7)</f>
        <v>0.129474107033425</v>
      </c>
      <c r="G190" s="53" t="n">
        <f aca="true">NORMINV(RAND(),0,G$7)</f>
        <v>1.76238511553252</v>
      </c>
      <c r="H190" s="53" t="n">
        <f aca="true">NORMINV(RAND(),0,H$7)</f>
        <v>-0.0456628533941273</v>
      </c>
      <c r="I190" s="53" t="n">
        <f aca="false">SUM(B190:H190)</f>
        <v>-0.584992454865746</v>
      </c>
      <c r="J190" s="53" t="n">
        <f aca="true">NORMINV(RAND(),0,J$7)</f>
        <v>1.36243758373904</v>
      </c>
      <c r="K190" s="53" t="n">
        <f aca="true">NORMINV(RAND(),0,K$7)</f>
        <v>-0.228344238979674</v>
      </c>
      <c r="L190" s="53" t="n">
        <f aca="true">NORMINV(RAND(),0,L$7)</f>
        <v>-0.343712364341852</v>
      </c>
      <c r="M190" s="53" t="n">
        <f aca="true">NORMINV(RAND(),0,M$7)</f>
        <v>0.106718039191016</v>
      </c>
      <c r="N190" s="53" t="n">
        <f aca="true">NORMINV(RAND(),0,N$7)</f>
        <v>-0.358118311947364</v>
      </c>
      <c r="O190" s="53" t="n">
        <f aca="false">SUM(J190:N190)</f>
        <v>0.538980707661165</v>
      </c>
    </row>
    <row r="191" customFormat="false" ht="15" hidden="false" customHeight="false" outlineLevel="0" collapsed="false">
      <c r="A191" s="2" t="n">
        <v>183</v>
      </c>
      <c r="B191" s="53" t="n">
        <f aca="true">NORMINV(RAND(),0,B$7)</f>
        <v>0.0512514548256787</v>
      </c>
      <c r="C191" s="53" t="n">
        <f aca="true">NORMINV(RAND(),0,C$7)</f>
        <v>-0.646720376914509</v>
      </c>
      <c r="D191" s="53" t="n">
        <f aca="true">NORMINV(RAND(),0,D$7)</f>
        <v>-0.219374817844889</v>
      </c>
      <c r="E191" s="53" t="n">
        <f aca="true">NORMINV(RAND(),0,E$7)</f>
        <v>-0.194620445877611</v>
      </c>
      <c r="F191" s="53" t="n">
        <f aca="true">NORMINV(RAND(),0,F$7)</f>
        <v>-0.473804568325516</v>
      </c>
      <c r="G191" s="53" t="n">
        <f aca="true">NORMINV(RAND(),0,G$7)</f>
        <v>1.73007685513348</v>
      </c>
      <c r="H191" s="53" t="n">
        <f aca="true">NORMINV(RAND(),0,H$7)</f>
        <v>-0.265659338607164</v>
      </c>
      <c r="I191" s="53" t="n">
        <f aca="false">SUM(B191:H191)</f>
        <v>-0.0188512376105354</v>
      </c>
      <c r="J191" s="53" t="n">
        <f aca="true">NORMINV(RAND(),0,J$7)</f>
        <v>0.572872921384158</v>
      </c>
      <c r="K191" s="53" t="n">
        <f aca="true">NORMINV(RAND(),0,K$7)</f>
        <v>0.00198953529927973</v>
      </c>
      <c r="L191" s="53" t="n">
        <f aca="true">NORMINV(RAND(),0,L$7)</f>
        <v>0.0482059145374582</v>
      </c>
      <c r="M191" s="53" t="n">
        <f aca="true">NORMINV(RAND(),0,M$7)</f>
        <v>0.141205893391574</v>
      </c>
      <c r="N191" s="53" t="n">
        <f aca="true">NORMINV(RAND(),0,N$7)</f>
        <v>-0.146040768792828</v>
      </c>
      <c r="O191" s="53" t="n">
        <f aca="false">SUM(J191:N191)</f>
        <v>0.618233495819641</v>
      </c>
    </row>
    <row r="192" customFormat="false" ht="15" hidden="false" customHeight="false" outlineLevel="0" collapsed="false">
      <c r="A192" s="2" t="n">
        <v>184</v>
      </c>
      <c r="B192" s="53" t="n">
        <f aca="true">NORMINV(RAND(),0,B$7)</f>
        <v>-2.06218881654005</v>
      </c>
      <c r="C192" s="53" t="n">
        <f aca="true">NORMINV(RAND(),0,C$7)</f>
        <v>-0.353020507499368</v>
      </c>
      <c r="D192" s="53" t="n">
        <f aca="true">NORMINV(RAND(),0,D$7)</f>
        <v>1.91348735371931</v>
      </c>
      <c r="E192" s="53" t="n">
        <f aca="true">NORMINV(RAND(),0,E$7)</f>
        <v>-0.0127258650707865</v>
      </c>
      <c r="F192" s="53" t="n">
        <f aca="true">NORMINV(RAND(),0,F$7)</f>
        <v>-0.430179925441324</v>
      </c>
      <c r="G192" s="53" t="n">
        <f aca="true">NORMINV(RAND(),0,G$7)</f>
        <v>0.913578155974657</v>
      </c>
      <c r="H192" s="53" t="n">
        <f aca="true">NORMINV(RAND(),0,H$7)</f>
        <v>-0.0446107704708147</v>
      </c>
      <c r="I192" s="53" t="n">
        <f aca="false">SUM(B192:H192)</f>
        <v>-0.0756603753283726</v>
      </c>
      <c r="J192" s="53" t="n">
        <f aca="true">NORMINV(RAND(),0,J$7)</f>
        <v>-0.323772076664159</v>
      </c>
      <c r="K192" s="53" t="n">
        <f aca="true">NORMINV(RAND(),0,K$7)</f>
        <v>-0.365609240893732</v>
      </c>
      <c r="L192" s="53" t="n">
        <f aca="true">NORMINV(RAND(),0,L$7)</f>
        <v>1.26068762376169</v>
      </c>
      <c r="M192" s="53" t="n">
        <f aca="true">NORMINV(RAND(),0,M$7)</f>
        <v>-0.0973659221219532</v>
      </c>
      <c r="N192" s="53" t="n">
        <f aca="true">NORMINV(RAND(),0,N$7)</f>
        <v>-0.28545956741924</v>
      </c>
      <c r="O192" s="53" t="n">
        <f aca="false">SUM(J192:N192)</f>
        <v>0.188480816662609</v>
      </c>
    </row>
    <row r="193" customFormat="false" ht="15" hidden="false" customHeight="false" outlineLevel="0" collapsed="false">
      <c r="A193" s="2" t="n">
        <v>185</v>
      </c>
      <c r="B193" s="53" t="n">
        <f aca="true">NORMINV(RAND(),0,B$7)</f>
        <v>1.41229635892573</v>
      </c>
      <c r="C193" s="53" t="n">
        <f aca="true">NORMINV(RAND(),0,C$7)</f>
        <v>2.2228275851519</v>
      </c>
      <c r="D193" s="53" t="n">
        <f aca="true">NORMINV(RAND(),0,D$7)</f>
        <v>-1.47372598423447</v>
      </c>
      <c r="E193" s="53" t="n">
        <f aca="true">NORMINV(RAND(),0,E$7)</f>
        <v>-0.147117480159428</v>
      </c>
      <c r="F193" s="53" t="n">
        <f aca="true">NORMINV(RAND(),0,F$7)</f>
        <v>0.209443927736259</v>
      </c>
      <c r="G193" s="53" t="n">
        <f aca="true">NORMINV(RAND(),0,G$7)</f>
        <v>-2.91986464150684</v>
      </c>
      <c r="H193" s="53" t="n">
        <f aca="true">NORMINV(RAND(),0,H$7)</f>
        <v>0.359326833277378</v>
      </c>
      <c r="I193" s="53" t="n">
        <f aca="false">SUM(B193:H193)</f>
        <v>-0.336813400809476</v>
      </c>
      <c r="J193" s="53" t="n">
        <f aca="true">NORMINV(RAND(),0,J$7)</f>
        <v>1.37485392056223</v>
      </c>
      <c r="K193" s="53" t="n">
        <f aca="true">NORMINV(RAND(),0,K$7)</f>
        <v>1.05589810042438</v>
      </c>
      <c r="L193" s="53" t="n">
        <f aca="true">NORMINV(RAND(),0,L$7)</f>
        <v>-0.215279085699151</v>
      </c>
      <c r="M193" s="53" t="n">
        <f aca="true">NORMINV(RAND(),0,M$7)</f>
        <v>0.0207305758730423</v>
      </c>
      <c r="N193" s="53" t="n">
        <f aca="true">NORMINV(RAND(),0,N$7)</f>
        <v>-0.0249495624098153</v>
      </c>
      <c r="O193" s="53" t="n">
        <f aca="false">SUM(J193:N193)</f>
        <v>2.21125394875068</v>
      </c>
    </row>
    <row r="194" customFormat="false" ht="15" hidden="false" customHeight="false" outlineLevel="0" collapsed="false">
      <c r="A194" s="2" t="n">
        <v>186</v>
      </c>
      <c r="B194" s="53" t="n">
        <f aca="true">NORMINV(RAND(),0,B$7)</f>
        <v>-0.715235661394227</v>
      </c>
      <c r="C194" s="53" t="n">
        <f aca="true">NORMINV(RAND(),0,C$7)</f>
        <v>-0.00506845139064012</v>
      </c>
      <c r="D194" s="53" t="n">
        <f aca="true">NORMINV(RAND(),0,D$7)</f>
        <v>-1.91056152711844</v>
      </c>
      <c r="E194" s="53" t="n">
        <f aca="true">NORMINV(RAND(),0,E$7)</f>
        <v>-0.246206351451664</v>
      </c>
      <c r="F194" s="53" t="n">
        <f aca="true">NORMINV(RAND(),0,F$7)</f>
        <v>0.0715816674730036</v>
      </c>
      <c r="G194" s="53" t="n">
        <f aca="true">NORMINV(RAND(),0,G$7)</f>
        <v>2.28369130567761</v>
      </c>
      <c r="H194" s="53" t="n">
        <f aca="true">NORMINV(RAND(),0,H$7)</f>
        <v>0.268993105097599</v>
      </c>
      <c r="I194" s="53" t="n">
        <f aca="false">SUM(B194:H194)</f>
        <v>-0.25280591310676</v>
      </c>
      <c r="J194" s="53" t="n">
        <f aca="true">NORMINV(RAND(),0,J$7)</f>
        <v>0.850184933264957</v>
      </c>
      <c r="K194" s="53" t="n">
        <f aca="true">NORMINV(RAND(),0,K$7)</f>
        <v>0.169257420449123</v>
      </c>
      <c r="L194" s="53" t="n">
        <f aca="true">NORMINV(RAND(),0,L$7)</f>
        <v>0.124738841131011</v>
      </c>
      <c r="M194" s="53" t="n">
        <f aca="true">NORMINV(RAND(),0,M$7)</f>
        <v>0.0246434733671231</v>
      </c>
      <c r="N194" s="53" t="n">
        <f aca="true">NORMINV(RAND(),0,N$7)</f>
        <v>-0.0165174505397897</v>
      </c>
      <c r="O194" s="53" t="n">
        <f aca="false">SUM(J194:N194)</f>
        <v>1.15230721767242</v>
      </c>
    </row>
    <row r="195" customFormat="false" ht="15" hidden="false" customHeight="false" outlineLevel="0" collapsed="false">
      <c r="A195" s="2" t="n">
        <v>187</v>
      </c>
      <c r="B195" s="53" t="n">
        <f aca="true">NORMINV(RAND(),0,B$7)</f>
        <v>0.873042867296472</v>
      </c>
      <c r="C195" s="53" t="n">
        <f aca="true">NORMINV(RAND(),0,C$7)</f>
        <v>-0.532606651998186</v>
      </c>
      <c r="D195" s="53" t="n">
        <f aca="true">NORMINV(RAND(),0,D$7)</f>
        <v>-1.83193393605614</v>
      </c>
      <c r="E195" s="53" t="n">
        <f aca="true">NORMINV(RAND(),0,E$7)</f>
        <v>0.1771389376597</v>
      </c>
      <c r="F195" s="53" t="n">
        <f aca="true">NORMINV(RAND(),0,F$7)</f>
        <v>-0.149654345461513</v>
      </c>
      <c r="G195" s="53" t="n">
        <f aca="true">NORMINV(RAND(),0,G$7)</f>
        <v>0.401494732437045</v>
      </c>
      <c r="H195" s="53" t="n">
        <f aca="true">NORMINV(RAND(),0,H$7)</f>
        <v>0.28318298486333</v>
      </c>
      <c r="I195" s="53" t="n">
        <f aca="false">SUM(B195:H195)</f>
        <v>-0.779335411259291</v>
      </c>
      <c r="J195" s="53" t="n">
        <f aca="true">NORMINV(RAND(),0,J$7)</f>
        <v>-1.88087683504827</v>
      </c>
      <c r="K195" s="53" t="n">
        <f aca="true">NORMINV(RAND(),0,K$7)</f>
        <v>0.0122349925628529</v>
      </c>
      <c r="L195" s="53" t="n">
        <f aca="true">NORMINV(RAND(),0,L$7)</f>
        <v>-0.33502128868289</v>
      </c>
      <c r="M195" s="53" t="n">
        <f aca="true">NORMINV(RAND(),0,M$7)</f>
        <v>-0.21764084650892</v>
      </c>
      <c r="N195" s="53" t="n">
        <f aca="true">NORMINV(RAND(),0,N$7)</f>
        <v>0.0205728342610803</v>
      </c>
      <c r="O195" s="53" t="n">
        <f aca="false">SUM(J195:N195)</f>
        <v>-2.40073114341615</v>
      </c>
    </row>
    <row r="196" customFormat="false" ht="15" hidden="false" customHeight="false" outlineLevel="0" collapsed="false">
      <c r="A196" s="2" t="n">
        <v>188</v>
      </c>
      <c r="B196" s="53" t="n">
        <f aca="true">NORMINV(RAND(),0,B$7)</f>
        <v>-1.06735783232268</v>
      </c>
      <c r="C196" s="53" t="n">
        <f aca="true">NORMINV(RAND(),0,C$7)</f>
        <v>-0.531610441422873</v>
      </c>
      <c r="D196" s="53" t="n">
        <f aca="true">NORMINV(RAND(),0,D$7)</f>
        <v>-1.60669387720912</v>
      </c>
      <c r="E196" s="53" t="n">
        <f aca="true">NORMINV(RAND(),0,E$7)</f>
        <v>0.636622972776442</v>
      </c>
      <c r="F196" s="53" t="n">
        <f aca="true">NORMINV(RAND(),0,F$7)</f>
        <v>-0.518867758523523</v>
      </c>
      <c r="G196" s="53" t="n">
        <f aca="true">NORMINV(RAND(),0,G$7)</f>
        <v>-3.0981743700373</v>
      </c>
      <c r="H196" s="53" t="n">
        <f aca="true">NORMINV(RAND(),0,H$7)</f>
        <v>-0.808239001253797</v>
      </c>
      <c r="I196" s="53" t="n">
        <f aca="false">SUM(B196:H196)</f>
        <v>-6.99432030799285</v>
      </c>
      <c r="J196" s="53" t="n">
        <f aca="true">NORMINV(RAND(),0,J$7)</f>
        <v>-2.083078312235</v>
      </c>
      <c r="K196" s="53" t="n">
        <f aca="true">NORMINV(RAND(),0,K$7)</f>
        <v>-0.39197464180406</v>
      </c>
      <c r="L196" s="53" t="n">
        <f aca="true">NORMINV(RAND(),0,L$7)</f>
        <v>0.637405081631101</v>
      </c>
      <c r="M196" s="53" t="n">
        <f aca="true">NORMINV(RAND(),0,M$7)</f>
        <v>0.273579982885366</v>
      </c>
      <c r="N196" s="53" t="n">
        <f aca="true">NORMINV(RAND(),0,N$7)</f>
        <v>0.913021304252093</v>
      </c>
      <c r="O196" s="53" t="n">
        <f aca="false">SUM(J196:N196)</f>
        <v>-0.651046585270503</v>
      </c>
    </row>
    <row r="197" customFormat="false" ht="15" hidden="false" customHeight="false" outlineLevel="0" collapsed="false">
      <c r="A197" s="2" t="n">
        <v>189</v>
      </c>
      <c r="B197" s="53" t="n">
        <f aca="true">NORMINV(RAND(),0,B$7)</f>
        <v>-2.12258008628733</v>
      </c>
      <c r="C197" s="53" t="n">
        <f aca="true">NORMINV(RAND(),0,C$7)</f>
        <v>-1.07959825852546</v>
      </c>
      <c r="D197" s="53" t="n">
        <f aca="true">NORMINV(RAND(),0,D$7)</f>
        <v>-1.21353150229039</v>
      </c>
      <c r="E197" s="53" t="n">
        <f aca="true">NORMINV(RAND(),0,E$7)</f>
        <v>-0.64450485064276</v>
      </c>
      <c r="F197" s="53" t="n">
        <f aca="true">NORMINV(RAND(),0,F$7)</f>
        <v>-0.0469324382013123</v>
      </c>
      <c r="G197" s="53" t="n">
        <f aca="true">NORMINV(RAND(),0,G$7)</f>
        <v>-1.55111514989207</v>
      </c>
      <c r="H197" s="53" t="n">
        <f aca="true">NORMINV(RAND(),0,H$7)</f>
        <v>0.142391015619523</v>
      </c>
      <c r="I197" s="53" t="n">
        <f aca="false">SUM(B197:H197)</f>
        <v>-6.5158712702198</v>
      </c>
      <c r="J197" s="53" t="n">
        <f aca="true">NORMINV(RAND(),0,J$7)</f>
        <v>2.49391856292984</v>
      </c>
      <c r="K197" s="53" t="n">
        <f aca="true">NORMINV(RAND(),0,K$7)</f>
        <v>0.407502386499501</v>
      </c>
      <c r="L197" s="53" t="n">
        <f aca="true">NORMINV(RAND(),0,L$7)</f>
        <v>0.54185084339788</v>
      </c>
      <c r="M197" s="53" t="n">
        <f aca="true">NORMINV(RAND(),0,M$7)</f>
        <v>-0.299259293891118</v>
      </c>
      <c r="N197" s="53" t="n">
        <f aca="true">NORMINV(RAND(),0,N$7)</f>
        <v>0.0922067268845035</v>
      </c>
      <c r="O197" s="53" t="n">
        <f aca="false">SUM(J197:N197)</f>
        <v>3.23621922582061</v>
      </c>
    </row>
    <row r="198" customFormat="false" ht="15" hidden="false" customHeight="false" outlineLevel="0" collapsed="false">
      <c r="A198" s="2" t="n">
        <v>190</v>
      </c>
      <c r="B198" s="53" t="n">
        <f aca="true">NORMINV(RAND(),0,B$7)</f>
        <v>-0.681545025961315</v>
      </c>
      <c r="C198" s="53" t="n">
        <f aca="true">NORMINV(RAND(),0,C$7)</f>
        <v>1.41419315005076</v>
      </c>
      <c r="D198" s="53" t="n">
        <f aca="true">NORMINV(RAND(),0,D$7)</f>
        <v>1.87400562337973</v>
      </c>
      <c r="E198" s="53" t="n">
        <f aca="true">NORMINV(RAND(),0,E$7)</f>
        <v>0.0512827575178988</v>
      </c>
      <c r="F198" s="53" t="n">
        <f aca="true">NORMINV(RAND(),0,F$7)</f>
        <v>-0.0193296728298808</v>
      </c>
      <c r="G198" s="53" t="n">
        <f aca="true">NORMINV(RAND(),0,G$7)</f>
        <v>-0.198577275725381</v>
      </c>
      <c r="H198" s="53" t="n">
        <f aca="true">NORMINV(RAND(),0,H$7)</f>
        <v>1.54711048286703</v>
      </c>
      <c r="I198" s="53" t="n">
        <f aca="false">SUM(B198:H198)</f>
        <v>3.98714003929884</v>
      </c>
      <c r="J198" s="53" t="n">
        <f aca="true">NORMINV(RAND(),0,J$7)</f>
        <v>1.46724285649826</v>
      </c>
      <c r="K198" s="53" t="n">
        <f aca="true">NORMINV(RAND(),0,K$7)</f>
        <v>-0.570400988696401</v>
      </c>
      <c r="L198" s="53" t="n">
        <f aca="true">NORMINV(RAND(),0,L$7)</f>
        <v>0.343943731517512</v>
      </c>
      <c r="M198" s="53" t="n">
        <f aca="true">NORMINV(RAND(),0,M$7)</f>
        <v>-0.148104744417096</v>
      </c>
      <c r="N198" s="53" t="n">
        <f aca="true">NORMINV(RAND(),0,N$7)</f>
        <v>-0.204964018909937</v>
      </c>
      <c r="O198" s="53" t="n">
        <f aca="false">SUM(J198:N198)</f>
        <v>0.887716835992338</v>
      </c>
    </row>
    <row r="199" customFormat="false" ht="15" hidden="false" customHeight="false" outlineLevel="0" collapsed="false">
      <c r="A199" s="2" t="n">
        <v>191</v>
      </c>
      <c r="B199" s="53" t="n">
        <f aca="true">NORMINV(RAND(),0,B$7)</f>
        <v>-0.07147789940948</v>
      </c>
      <c r="C199" s="53" t="n">
        <f aca="true">NORMINV(RAND(),0,C$7)</f>
        <v>0.171997805381983</v>
      </c>
      <c r="D199" s="53" t="n">
        <f aca="true">NORMINV(RAND(),0,D$7)</f>
        <v>2.62025839213405</v>
      </c>
      <c r="E199" s="53" t="n">
        <f aca="true">NORMINV(RAND(),0,E$7)</f>
        <v>0.0280996659983667</v>
      </c>
      <c r="F199" s="53" t="n">
        <f aca="true">NORMINV(RAND(),0,F$7)</f>
        <v>0.00409301708152228</v>
      </c>
      <c r="G199" s="53" t="n">
        <f aca="true">NORMINV(RAND(),0,G$7)</f>
        <v>-1.26355576321897</v>
      </c>
      <c r="H199" s="53" t="n">
        <f aca="true">NORMINV(RAND(),0,H$7)</f>
        <v>0.391879627435652</v>
      </c>
      <c r="I199" s="53" t="n">
        <f aca="false">SUM(B199:H199)</f>
        <v>1.88129484540312</v>
      </c>
      <c r="J199" s="53" t="n">
        <f aca="true">NORMINV(RAND(),0,J$7)</f>
        <v>-0.705233362074848</v>
      </c>
      <c r="K199" s="53" t="n">
        <f aca="true">NORMINV(RAND(),0,K$7)</f>
        <v>0.176678821475841</v>
      </c>
      <c r="L199" s="53" t="n">
        <f aca="true">NORMINV(RAND(),0,L$7)</f>
        <v>-0.489699443674257</v>
      </c>
      <c r="M199" s="53" t="n">
        <f aca="true">NORMINV(RAND(),0,M$7)</f>
        <v>0.0283611877367351</v>
      </c>
      <c r="N199" s="53" t="n">
        <f aca="true">NORMINV(RAND(),0,N$7)</f>
        <v>0.274184645590758</v>
      </c>
      <c r="O199" s="53" t="n">
        <f aca="false">SUM(J199:N199)</f>
        <v>-0.715708150945771</v>
      </c>
    </row>
    <row r="200" customFormat="false" ht="15" hidden="false" customHeight="false" outlineLevel="0" collapsed="false">
      <c r="A200" s="2" t="n">
        <v>192</v>
      </c>
      <c r="B200" s="53" t="n">
        <f aca="true">NORMINV(RAND(),0,B$7)</f>
        <v>-3.31717229188765</v>
      </c>
      <c r="C200" s="53" t="n">
        <f aca="true">NORMINV(RAND(),0,C$7)</f>
        <v>-0.810657614170246</v>
      </c>
      <c r="D200" s="53" t="n">
        <f aca="true">NORMINV(RAND(),0,D$7)</f>
        <v>1.1616276214562</v>
      </c>
      <c r="E200" s="53" t="n">
        <f aca="true">NORMINV(RAND(),0,E$7)</f>
        <v>0.39830748523575</v>
      </c>
      <c r="F200" s="53" t="n">
        <f aca="true">NORMINV(RAND(),0,F$7)</f>
        <v>0.288224200768228</v>
      </c>
      <c r="G200" s="53" t="n">
        <f aca="true">NORMINV(RAND(),0,G$7)</f>
        <v>0.985535490598597</v>
      </c>
      <c r="H200" s="53" t="n">
        <f aca="true">NORMINV(RAND(),0,H$7)</f>
        <v>0.11667981393811</v>
      </c>
      <c r="I200" s="53" t="n">
        <f aca="false">SUM(B200:H200)</f>
        <v>-1.17745529406101</v>
      </c>
      <c r="J200" s="53" t="n">
        <f aca="true">NORMINV(RAND(),0,J$7)</f>
        <v>-2.8891494768843</v>
      </c>
      <c r="K200" s="53" t="n">
        <f aca="true">NORMINV(RAND(),0,K$7)</f>
        <v>0.0235882791969513</v>
      </c>
      <c r="L200" s="53" t="n">
        <f aca="true">NORMINV(RAND(),0,L$7)</f>
        <v>0.356996765536877</v>
      </c>
      <c r="M200" s="53" t="n">
        <f aca="true">NORMINV(RAND(),0,M$7)</f>
        <v>0.401680559688175</v>
      </c>
      <c r="N200" s="53" t="n">
        <f aca="true">NORMINV(RAND(),0,N$7)</f>
        <v>0.208813439405902</v>
      </c>
      <c r="O200" s="53" t="n">
        <f aca="false">SUM(J200:N200)</f>
        <v>-1.89807043305639</v>
      </c>
    </row>
    <row r="201" customFormat="false" ht="15" hidden="false" customHeight="false" outlineLevel="0" collapsed="false">
      <c r="A201" s="2" t="n">
        <v>193</v>
      </c>
      <c r="B201" s="53" t="n">
        <f aca="true">NORMINV(RAND(),0,B$7)</f>
        <v>-3.46390832959351</v>
      </c>
      <c r="C201" s="53" t="n">
        <f aca="true">NORMINV(RAND(),0,C$7)</f>
        <v>-2.63453603271044</v>
      </c>
      <c r="D201" s="53" t="n">
        <f aca="true">NORMINV(RAND(),0,D$7)</f>
        <v>2.82739532368426</v>
      </c>
      <c r="E201" s="53" t="n">
        <f aca="true">NORMINV(RAND(),0,E$7)</f>
        <v>-0.0709830396715392</v>
      </c>
      <c r="F201" s="53" t="n">
        <f aca="true">NORMINV(RAND(),0,F$7)</f>
        <v>0.0672203540767306</v>
      </c>
      <c r="G201" s="53" t="n">
        <f aca="true">NORMINV(RAND(),0,G$7)</f>
        <v>0.0391943365081114</v>
      </c>
      <c r="H201" s="53" t="n">
        <f aca="true">NORMINV(RAND(),0,H$7)</f>
        <v>0.0775011919446874</v>
      </c>
      <c r="I201" s="53" t="n">
        <f aca="false">SUM(B201:H201)</f>
        <v>-3.1581161957617</v>
      </c>
      <c r="J201" s="53" t="n">
        <f aca="true">NORMINV(RAND(),0,J$7)</f>
        <v>3.84147259128222</v>
      </c>
      <c r="K201" s="53" t="n">
        <f aca="true">NORMINV(RAND(),0,K$7)</f>
        <v>-0.437725849696051</v>
      </c>
      <c r="L201" s="53" t="n">
        <f aca="true">NORMINV(RAND(),0,L$7)</f>
        <v>-0.716332865290033</v>
      </c>
      <c r="M201" s="53" t="n">
        <f aca="true">NORMINV(RAND(),0,M$7)</f>
        <v>-0.209136496854512</v>
      </c>
      <c r="N201" s="53" t="n">
        <f aca="true">NORMINV(RAND(),0,N$7)</f>
        <v>-0.137763342377012</v>
      </c>
      <c r="O201" s="53" t="n">
        <f aca="false">SUM(J201:N201)</f>
        <v>2.34051403706461</v>
      </c>
    </row>
    <row r="202" customFormat="false" ht="15" hidden="false" customHeight="false" outlineLevel="0" collapsed="false">
      <c r="A202" s="2" t="n">
        <v>194</v>
      </c>
      <c r="B202" s="53" t="n">
        <f aca="true">NORMINV(RAND(),0,B$7)</f>
        <v>-1.93384524423086</v>
      </c>
      <c r="C202" s="53" t="n">
        <f aca="true">NORMINV(RAND(),0,C$7)</f>
        <v>-0.891374269801109</v>
      </c>
      <c r="D202" s="53" t="n">
        <f aca="true">NORMINV(RAND(),0,D$7)</f>
        <v>-2.4055495729501</v>
      </c>
      <c r="E202" s="53" t="n">
        <f aca="true">NORMINV(RAND(),0,E$7)</f>
        <v>0.327740137630408</v>
      </c>
      <c r="F202" s="53" t="n">
        <f aca="true">NORMINV(RAND(),0,F$7)</f>
        <v>0.124640763459202</v>
      </c>
      <c r="G202" s="53" t="n">
        <f aca="true">NORMINV(RAND(),0,G$7)</f>
        <v>0.887627458059655</v>
      </c>
      <c r="H202" s="53" t="n">
        <f aca="true">NORMINV(RAND(),0,H$7)</f>
        <v>-0.0316730679799052</v>
      </c>
      <c r="I202" s="53" t="n">
        <f aca="false">SUM(B202:H202)</f>
        <v>-3.9224337958127</v>
      </c>
      <c r="J202" s="53" t="n">
        <f aca="true">NORMINV(RAND(),0,J$7)</f>
        <v>0.156079759045749</v>
      </c>
      <c r="K202" s="53" t="n">
        <f aca="true">NORMINV(RAND(),0,K$7)</f>
        <v>0.963672353868202</v>
      </c>
      <c r="L202" s="53" t="n">
        <f aca="true">NORMINV(RAND(),0,L$7)</f>
        <v>-0.143809046276712</v>
      </c>
      <c r="M202" s="53" t="n">
        <f aca="true">NORMINV(RAND(),0,M$7)</f>
        <v>0.133057969103995</v>
      </c>
      <c r="N202" s="53" t="n">
        <f aca="true">NORMINV(RAND(),0,N$7)</f>
        <v>-0.33058808093755</v>
      </c>
      <c r="O202" s="53" t="n">
        <f aca="false">SUM(J202:N202)</f>
        <v>0.778412954803684</v>
      </c>
    </row>
    <row r="203" customFormat="false" ht="15" hidden="false" customHeight="false" outlineLevel="0" collapsed="false">
      <c r="A203" s="2" t="n">
        <v>195</v>
      </c>
      <c r="B203" s="53" t="n">
        <f aca="true">NORMINV(RAND(),0,B$7)</f>
        <v>0.992863613844095</v>
      </c>
      <c r="C203" s="53" t="n">
        <f aca="true">NORMINV(RAND(),0,C$7)</f>
        <v>-2.57873497071891</v>
      </c>
      <c r="D203" s="53" t="n">
        <f aca="true">NORMINV(RAND(),0,D$7)</f>
        <v>-0.504610028533956</v>
      </c>
      <c r="E203" s="53" t="n">
        <f aca="true">NORMINV(RAND(),0,E$7)</f>
        <v>0.133521741221758</v>
      </c>
      <c r="F203" s="53" t="n">
        <f aca="true">NORMINV(RAND(),0,F$7)</f>
        <v>0.290335209499665</v>
      </c>
      <c r="G203" s="53" t="n">
        <f aca="true">NORMINV(RAND(),0,G$7)</f>
        <v>-0.708666071776541</v>
      </c>
      <c r="H203" s="53" t="n">
        <f aca="true">NORMINV(RAND(),0,H$7)</f>
        <v>-0.175608592468383</v>
      </c>
      <c r="I203" s="53" t="n">
        <f aca="false">SUM(B203:H203)</f>
        <v>-2.55089909893227</v>
      </c>
      <c r="J203" s="53" t="n">
        <f aca="true">NORMINV(RAND(),0,J$7)</f>
        <v>-1.33984572000729</v>
      </c>
      <c r="K203" s="53" t="n">
        <f aca="true">NORMINV(RAND(),0,K$7)</f>
        <v>-1.47562006041123</v>
      </c>
      <c r="L203" s="53" t="n">
        <f aca="true">NORMINV(RAND(),0,L$7)</f>
        <v>-0.415187326384909</v>
      </c>
      <c r="M203" s="53" t="n">
        <f aca="true">NORMINV(RAND(),0,M$7)</f>
        <v>-0.353568912341986</v>
      </c>
      <c r="N203" s="53" t="n">
        <f aca="true">NORMINV(RAND(),0,N$7)</f>
        <v>0.18727523456893</v>
      </c>
      <c r="O203" s="53" t="n">
        <f aca="false">SUM(J203:N203)</f>
        <v>-3.39694678457649</v>
      </c>
    </row>
    <row r="204" customFormat="false" ht="15" hidden="false" customHeight="false" outlineLevel="0" collapsed="false">
      <c r="A204" s="2" t="n">
        <v>196</v>
      </c>
      <c r="B204" s="53" t="n">
        <f aca="true">NORMINV(RAND(),0,B$7)</f>
        <v>3.18428460704334</v>
      </c>
      <c r="C204" s="53" t="n">
        <f aca="true">NORMINV(RAND(),0,C$7)</f>
        <v>-3.03393028039509</v>
      </c>
      <c r="D204" s="53" t="n">
        <f aca="true">NORMINV(RAND(),0,D$7)</f>
        <v>0.532398790040457</v>
      </c>
      <c r="E204" s="53" t="n">
        <f aca="true">NORMINV(RAND(),0,E$7)</f>
        <v>0.200103707253916</v>
      </c>
      <c r="F204" s="53" t="n">
        <f aca="true">NORMINV(RAND(),0,F$7)</f>
        <v>-0.191937957058364</v>
      </c>
      <c r="G204" s="53" t="n">
        <f aca="true">NORMINV(RAND(),0,G$7)</f>
        <v>1.94531418101713</v>
      </c>
      <c r="H204" s="53" t="n">
        <f aca="true">NORMINV(RAND(),0,H$7)</f>
        <v>0.0884493710172219</v>
      </c>
      <c r="I204" s="53" t="n">
        <f aca="false">SUM(B204:H204)</f>
        <v>2.72468241891861</v>
      </c>
      <c r="J204" s="53" t="n">
        <f aca="true">NORMINV(RAND(),0,J$7)</f>
        <v>-0.537287960384334</v>
      </c>
      <c r="K204" s="53" t="n">
        <f aca="true">NORMINV(RAND(),0,K$7)</f>
        <v>-1.64653279033886</v>
      </c>
      <c r="L204" s="53" t="n">
        <f aca="true">NORMINV(RAND(),0,L$7)</f>
        <v>-0.287894485861898</v>
      </c>
      <c r="M204" s="53" t="n">
        <f aca="true">NORMINV(RAND(),0,M$7)</f>
        <v>0.236136015558913</v>
      </c>
      <c r="N204" s="53" t="n">
        <f aca="true">NORMINV(RAND(),0,N$7)</f>
        <v>0.106759367252203</v>
      </c>
      <c r="O204" s="53" t="n">
        <f aca="false">SUM(J204:N204)</f>
        <v>-2.12881985377397</v>
      </c>
    </row>
    <row r="205" customFormat="false" ht="15" hidden="false" customHeight="false" outlineLevel="0" collapsed="false">
      <c r="A205" s="2" t="n">
        <v>197</v>
      </c>
      <c r="B205" s="53" t="n">
        <f aca="true">NORMINV(RAND(),0,B$7)</f>
        <v>-0.592780694217159</v>
      </c>
      <c r="C205" s="53" t="n">
        <f aca="true">NORMINV(RAND(),0,C$7)</f>
        <v>-1.51866875928165</v>
      </c>
      <c r="D205" s="53" t="n">
        <f aca="true">NORMINV(RAND(),0,D$7)</f>
        <v>1.20031664666903</v>
      </c>
      <c r="E205" s="53" t="n">
        <f aca="true">NORMINV(RAND(),0,E$7)</f>
        <v>0.160859968780514</v>
      </c>
      <c r="F205" s="53" t="n">
        <f aca="true">NORMINV(RAND(),0,F$7)</f>
        <v>0.238932575195202</v>
      </c>
      <c r="G205" s="53" t="n">
        <f aca="true">NORMINV(RAND(),0,G$7)</f>
        <v>-1.1856952788802</v>
      </c>
      <c r="H205" s="53" t="n">
        <f aca="true">NORMINV(RAND(),0,H$7)</f>
        <v>0.208648032300397</v>
      </c>
      <c r="I205" s="53" t="n">
        <f aca="false">SUM(B205:H205)</f>
        <v>-1.48838750943387</v>
      </c>
      <c r="J205" s="53" t="n">
        <f aca="true">NORMINV(RAND(),0,J$7)</f>
        <v>-4.19636728125602</v>
      </c>
      <c r="K205" s="53" t="n">
        <f aca="true">NORMINV(RAND(),0,K$7)</f>
        <v>-0.597729661254791</v>
      </c>
      <c r="L205" s="53" t="n">
        <f aca="true">NORMINV(RAND(),0,L$7)</f>
        <v>0.199895360432697</v>
      </c>
      <c r="M205" s="53" t="n">
        <f aca="true">NORMINV(RAND(),0,M$7)</f>
        <v>-0.07456268959855</v>
      </c>
      <c r="N205" s="53" t="n">
        <f aca="true">NORMINV(RAND(),0,N$7)</f>
        <v>0.557471834576196</v>
      </c>
      <c r="O205" s="53" t="n">
        <f aca="false">SUM(J205:N205)</f>
        <v>-4.11129243710047</v>
      </c>
    </row>
    <row r="206" customFormat="false" ht="15" hidden="false" customHeight="false" outlineLevel="0" collapsed="false">
      <c r="A206" s="2" t="n">
        <v>198</v>
      </c>
      <c r="B206" s="53" t="n">
        <f aca="true">NORMINV(RAND(),0,B$7)</f>
        <v>-0.857906429792604</v>
      </c>
      <c r="C206" s="53" t="n">
        <f aca="true">NORMINV(RAND(),0,C$7)</f>
        <v>-1.36225790615829</v>
      </c>
      <c r="D206" s="53" t="n">
        <f aca="true">NORMINV(RAND(),0,D$7)</f>
        <v>-1.8006164360923</v>
      </c>
      <c r="E206" s="53" t="n">
        <f aca="true">NORMINV(RAND(),0,E$7)</f>
        <v>-0.0362539529466985</v>
      </c>
      <c r="F206" s="53" t="n">
        <f aca="true">NORMINV(RAND(),0,F$7)</f>
        <v>-0.138646962049058</v>
      </c>
      <c r="G206" s="53" t="n">
        <f aca="true">NORMINV(RAND(),0,G$7)</f>
        <v>-2.40791530402229</v>
      </c>
      <c r="H206" s="53" t="n">
        <f aca="true">NORMINV(RAND(),0,H$7)</f>
        <v>-0.0937706782163791</v>
      </c>
      <c r="I206" s="53" t="n">
        <f aca="false">SUM(B206:H206)</f>
        <v>-6.69736766927762</v>
      </c>
      <c r="J206" s="53" t="n">
        <f aca="true">NORMINV(RAND(),0,J$7)</f>
        <v>3.04943243052137</v>
      </c>
      <c r="K206" s="53" t="n">
        <f aca="true">NORMINV(RAND(),0,K$7)</f>
        <v>-0.537214716258036</v>
      </c>
      <c r="L206" s="53" t="n">
        <f aca="true">NORMINV(RAND(),0,L$7)</f>
        <v>0.0174059768766677</v>
      </c>
      <c r="M206" s="53" t="n">
        <f aca="true">NORMINV(RAND(),0,M$7)</f>
        <v>0.0391963228415663</v>
      </c>
      <c r="N206" s="53" t="n">
        <f aca="true">NORMINV(RAND(),0,N$7)</f>
        <v>0.198612899483828</v>
      </c>
      <c r="O206" s="53" t="n">
        <f aca="false">SUM(J206:N206)</f>
        <v>2.7674329134654</v>
      </c>
    </row>
    <row r="207" customFormat="false" ht="15" hidden="false" customHeight="false" outlineLevel="0" collapsed="false">
      <c r="A207" s="2" t="n">
        <v>199</v>
      </c>
      <c r="B207" s="53" t="n">
        <f aca="true">NORMINV(RAND(),0,B$7)</f>
        <v>0.567840747322882</v>
      </c>
      <c r="C207" s="53" t="n">
        <f aca="true">NORMINV(RAND(),0,C$7)</f>
        <v>0.951062904168161</v>
      </c>
      <c r="D207" s="53" t="n">
        <f aca="true">NORMINV(RAND(),0,D$7)</f>
        <v>0.473084084849201</v>
      </c>
      <c r="E207" s="53" t="n">
        <f aca="true">NORMINV(RAND(),0,E$7)</f>
        <v>-0.523970086143959</v>
      </c>
      <c r="F207" s="53" t="n">
        <f aca="true">NORMINV(RAND(),0,F$7)</f>
        <v>-0.602492958089591</v>
      </c>
      <c r="G207" s="53" t="n">
        <f aca="true">NORMINV(RAND(),0,G$7)</f>
        <v>-0.871004689573396</v>
      </c>
      <c r="H207" s="53" t="n">
        <f aca="true">NORMINV(RAND(),0,H$7)</f>
        <v>-0.195886947099654</v>
      </c>
      <c r="I207" s="53" t="n">
        <f aca="false">SUM(B207:H207)</f>
        <v>-0.201366944566357</v>
      </c>
      <c r="J207" s="53" t="n">
        <f aca="true">NORMINV(RAND(),0,J$7)</f>
        <v>0.817294834043802</v>
      </c>
      <c r="K207" s="53" t="n">
        <f aca="true">NORMINV(RAND(),0,K$7)</f>
        <v>0.662413856994161</v>
      </c>
      <c r="L207" s="53" t="n">
        <f aca="true">NORMINV(RAND(),0,L$7)</f>
        <v>-0.178173160812313</v>
      </c>
      <c r="M207" s="53" t="n">
        <f aca="true">NORMINV(RAND(),0,M$7)</f>
        <v>-0.58712373558949</v>
      </c>
      <c r="N207" s="53" t="n">
        <f aca="true">NORMINV(RAND(),0,N$7)</f>
        <v>-0.290375277323939</v>
      </c>
      <c r="O207" s="53" t="n">
        <f aca="false">SUM(J207:N207)</f>
        <v>0.424036517312221</v>
      </c>
    </row>
    <row r="208" customFormat="false" ht="15" hidden="false" customHeight="false" outlineLevel="0" collapsed="false">
      <c r="A208" s="2" t="n">
        <v>200</v>
      </c>
      <c r="B208" s="53" t="n">
        <f aca="true">NORMINV(RAND(),0,B$7)</f>
        <v>1.9879513158174</v>
      </c>
      <c r="C208" s="53" t="n">
        <f aca="true">NORMINV(RAND(),0,C$7)</f>
        <v>0.459767037445162</v>
      </c>
      <c r="D208" s="53" t="n">
        <f aca="true">NORMINV(RAND(),0,D$7)</f>
        <v>-1.18966410464735</v>
      </c>
      <c r="E208" s="53" t="n">
        <f aca="true">NORMINV(RAND(),0,E$7)</f>
        <v>-0.265394727176504</v>
      </c>
      <c r="F208" s="53" t="n">
        <f aca="true">NORMINV(RAND(),0,F$7)</f>
        <v>-0.409024975962836</v>
      </c>
      <c r="G208" s="53" t="n">
        <f aca="true">NORMINV(RAND(),0,G$7)</f>
        <v>0.185870947598111</v>
      </c>
      <c r="H208" s="53" t="n">
        <f aca="true">NORMINV(RAND(),0,H$7)</f>
        <v>0.257019489858742</v>
      </c>
      <c r="I208" s="53" t="n">
        <f aca="false">SUM(B208:H208)</f>
        <v>1.02652498293272</v>
      </c>
      <c r="J208" s="53" t="n">
        <f aca="true">NORMINV(RAND(),0,J$7)</f>
        <v>-3.87341122930397</v>
      </c>
      <c r="K208" s="53" t="n">
        <f aca="true">NORMINV(RAND(),0,K$7)</f>
        <v>0.630145222146717</v>
      </c>
      <c r="L208" s="53" t="n">
        <f aca="true">NORMINV(RAND(),0,L$7)</f>
        <v>-0.194152154637919</v>
      </c>
      <c r="M208" s="53" t="n">
        <f aca="true">NORMINV(RAND(),0,M$7)</f>
        <v>-0.19102590595045</v>
      </c>
      <c r="N208" s="53" t="n">
        <f aca="true">NORMINV(RAND(),0,N$7)</f>
        <v>-0.155951398048003</v>
      </c>
      <c r="O208" s="53" t="n">
        <f aca="false">SUM(J208:N208)</f>
        <v>-3.78439546579362</v>
      </c>
    </row>
    <row r="209" customFormat="false" ht="15" hidden="false" customHeight="false" outlineLevel="0" collapsed="false">
      <c r="A209" s="2" t="n">
        <v>201</v>
      </c>
      <c r="B209" s="53" t="n">
        <f aca="true">NORMINV(RAND(),0,B$7)</f>
        <v>2.97645041350783</v>
      </c>
      <c r="C209" s="53" t="n">
        <f aca="true">NORMINV(RAND(),0,C$7)</f>
        <v>2.07449755446162</v>
      </c>
      <c r="D209" s="53" t="n">
        <f aca="true">NORMINV(RAND(),0,D$7)</f>
        <v>-1.20575627732041</v>
      </c>
      <c r="E209" s="53" t="n">
        <f aca="true">NORMINV(RAND(),0,E$7)</f>
        <v>0.32710456727291</v>
      </c>
      <c r="F209" s="53" t="n">
        <f aca="true">NORMINV(RAND(),0,F$7)</f>
        <v>0.0954145084381905</v>
      </c>
      <c r="G209" s="53" t="n">
        <f aca="true">NORMINV(RAND(),0,G$7)</f>
        <v>1.32578640710629</v>
      </c>
      <c r="H209" s="53" t="n">
        <f aca="true">NORMINV(RAND(),0,H$7)</f>
        <v>0.483906323548512</v>
      </c>
      <c r="I209" s="53" t="n">
        <f aca="false">SUM(B209:H209)</f>
        <v>6.07740349701494</v>
      </c>
      <c r="J209" s="53" t="n">
        <f aca="true">NORMINV(RAND(),0,J$7)</f>
        <v>1.32843610060033</v>
      </c>
      <c r="K209" s="53" t="n">
        <f aca="true">NORMINV(RAND(),0,K$7)</f>
        <v>-0.430439242919032</v>
      </c>
      <c r="L209" s="53" t="n">
        <f aca="true">NORMINV(RAND(),0,L$7)</f>
        <v>0.344798157648507</v>
      </c>
      <c r="M209" s="53" t="n">
        <f aca="true">NORMINV(RAND(),0,M$7)</f>
        <v>0.391913391544986</v>
      </c>
      <c r="N209" s="53" t="n">
        <f aca="true">NORMINV(RAND(),0,N$7)</f>
        <v>0.287958003265426</v>
      </c>
      <c r="O209" s="53" t="n">
        <f aca="false">SUM(J209:N209)</f>
        <v>1.92266641014021</v>
      </c>
    </row>
    <row r="210" customFormat="false" ht="15" hidden="false" customHeight="false" outlineLevel="0" collapsed="false">
      <c r="A210" s="2" t="n">
        <v>202</v>
      </c>
      <c r="B210" s="53" t="n">
        <f aca="true">NORMINV(RAND(),0,B$7)</f>
        <v>1.21708682991705</v>
      </c>
      <c r="C210" s="53" t="n">
        <f aca="true">NORMINV(RAND(),0,C$7)</f>
        <v>1.37285589870042</v>
      </c>
      <c r="D210" s="53" t="n">
        <f aca="true">NORMINV(RAND(),0,D$7)</f>
        <v>0.314057925477243</v>
      </c>
      <c r="E210" s="53" t="n">
        <f aca="true">NORMINV(RAND(),0,E$7)</f>
        <v>0.264347533160342</v>
      </c>
      <c r="F210" s="53" t="n">
        <f aca="true">NORMINV(RAND(),0,F$7)</f>
        <v>-0.59635085462984</v>
      </c>
      <c r="G210" s="53" t="n">
        <f aca="true">NORMINV(RAND(),0,G$7)</f>
        <v>-2.15401321576299</v>
      </c>
      <c r="H210" s="53" t="n">
        <f aca="true">NORMINV(RAND(),0,H$7)</f>
        <v>-0.511134379264744</v>
      </c>
      <c r="I210" s="53" t="n">
        <f aca="false">SUM(B210:H210)</f>
        <v>-0.0931502624025186</v>
      </c>
      <c r="J210" s="53" t="n">
        <f aca="true">NORMINV(RAND(),0,J$7)</f>
        <v>-2.44625763742217</v>
      </c>
      <c r="K210" s="53" t="n">
        <f aca="true">NORMINV(RAND(),0,K$7)</f>
        <v>-0.449347087541919</v>
      </c>
      <c r="L210" s="53" t="n">
        <f aca="true">NORMINV(RAND(),0,L$7)</f>
        <v>0.0786175886548331</v>
      </c>
      <c r="M210" s="53" t="n">
        <f aca="true">NORMINV(RAND(),0,M$7)</f>
        <v>0.239797783400205</v>
      </c>
      <c r="N210" s="53" t="n">
        <f aca="true">NORMINV(RAND(),0,N$7)</f>
        <v>-0.190880824386158</v>
      </c>
      <c r="O210" s="53" t="n">
        <f aca="false">SUM(J210:N210)</f>
        <v>-2.76807017729521</v>
      </c>
    </row>
    <row r="211" customFormat="false" ht="15" hidden="false" customHeight="false" outlineLevel="0" collapsed="false">
      <c r="A211" s="2" t="n">
        <v>203</v>
      </c>
      <c r="B211" s="53" t="n">
        <f aca="true">NORMINV(RAND(),0,B$7)</f>
        <v>3.12284227917989</v>
      </c>
      <c r="C211" s="53" t="n">
        <f aca="true">NORMINV(RAND(),0,C$7)</f>
        <v>0.287293401632676</v>
      </c>
      <c r="D211" s="53" t="n">
        <f aca="true">NORMINV(RAND(),0,D$7)</f>
        <v>-0.131389928323515</v>
      </c>
      <c r="E211" s="53" t="n">
        <f aca="true">NORMINV(RAND(),0,E$7)</f>
        <v>-0.421869716060118</v>
      </c>
      <c r="F211" s="53" t="n">
        <f aca="true">NORMINV(RAND(),0,F$7)</f>
        <v>0.297698436028265</v>
      </c>
      <c r="G211" s="53" t="n">
        <f aca="true">NORMINV(RAND(),0,G$7)</f>
        <v>-0.0195714283780819</v>
      </c>
      <c r="H211" s="53" t="n">
        <f aca="true">NORMINV(RAND(),0,H$7)</f>
        <v>-0.387991996134559</v>
      </c>
      <c r="I211" s="53" t="n">
        <f aca="false">SUM(B211:H211)</f>
        <v>2.74701104794456</v>
      </c>
      <c r="J211" s="53" t="n">
        <f aca="true">NORMINV(RAND(),0,J$7)</f>
        <v>-1.83730780115925</v>
      </c>
      <c r="K211" s="53" t="n">
        <f aca="true">NORMINV(RAND(),0,K$7)</f>
        <v>0.275216242490578</v>
      </c>
      <c r="L211" s="53" t="n">
        <f aca="true">NORMINV(RAND(),0,L$7)</f>
        <v>-0.408226768062036</v>
      </c>
      <c r="M211" s="53" t="n">
        <f aca="true">NORMINV(RAND(),0,M$7)</f>
        <v>0.293675108358734</v>
      </c>
      <c r="N211" s="53" t="n">
        <f aca="true">NORMINV(RAND(),0,N$7)</f>
        <v>0.28883025979178</v>
      </c>
      <c r="O211" s="53" t="n">
        <f aca="false">SUM(J211:N211)</f>
        <v>-1.38781295858019</v>
      </c>
    </row>
    <row r="212" customFormat="false" ht="15" hidden="false" customHeight="false" outlineLevel="0" collapsed="false">
      <c r="A212" s="2" t="n">
        <v>204</v>
      </c>
      <c r="B212" s="53" t="n">
        <f aca="true">NORMINV(RAND(),0,B$7)</f>
        <v>-3.40658224826386</v>
      </c>
      <c r="C212" s="53" t="n">
        <f aca="true">NORMINV(RAND(),0,C$7)</f>
        <v>2.56595088131391</v>
      </c>
      <c r="D212" s="53" t="n">
        <f aca="true">NORMINV(RAND(),0,D$7)</f>
        <v>0.761879379721537</v>
      </c>
      <c r="E212" s="53" t="n">
        <f aca="true">NORMINV(RAND(),0,E$7)</f>
        <v>-0.787771041675448</v>
      </c>
      <c r="F212" s="53" t="n">
        <f aca="true">NORMINV(RAND(),0,F$7)</f>
        <v>-0.285424139692775</v>
      </c>
      <c r="G212" s="53" t="n">
        <f aca="true">NORMINV(RAND(),0,G$7)</f>
        <v>0.501375484561431</v>
      </c>
      <c r="H212" s="53" t="n">
        <f aca="true">NORMINV(RAND(),0,H$7)</f>
        <v>0.327418348563468</v>
      </c>
      <c r="I212" s="53" t="n">
        <f aca="false">SUM(B212:H212)</f>
        <v>-0.323153335471733</v>
      </c>
      <c r="J212" s="53" t="n">
        <f aca="true">NORMINV(RAND(),0,J$7)</f>
        <v>0.934322028581386</v>
      </c>
      <c r="K212" s="53" t="n">
        <f aca="true">NORMINV(RAND(),0,K$7)</f>
        <v>1.35373792502309</v>
      </c>
      <c r="L212" s="53" t="n">
        <f aca="true">NORMINV(RAND(),0,L$7)</f>
        <v>-0.333504126241324</v>
      </c>
      <c r="M212" s="53" t="n">
        <f aca="true">NORMINV(RAND(),0,M$7)</f>
        <v>-0.0938238616629841</v>
      </c>
      <c r="N212" s="53" t="n">
        <f aca="true">NORMINV(RAND(),0,N$7)</f>
        <v>-0.10477532422148</v>
      </c>
      <c r="O212" s="53" t="n">
        <f aca="false">SUM(J212:N212)</f>
        <v>1.75595664147869</v>
      </c>
    </row>
    <row r="213" customFormat="false" ht="15" hidden="false" customHeight="false" outlineLevel="0" collapsed="false">
      <c r="A213" s="2" t="n">
        <v>205</v>
      </c>
      <c r="B213" s="53" t="n">
        <f aca="true">NORMINV(RAND(),0,B$7)</f>
        <v>0.443834778802125</v>
      </c>
      <c r="C213" s="53" t="n">
        <f aca="true">NORMINV(RAND(),0,C$7)</f>
        <v>-1.11887827507737</v>
      </c>
      <c r="D213" s="53" t="n">
        <f aca="true">NORMINV(RAND(),0,D$7)</f>
        <v>-2.68396579812402</v>
      </c>
      <c r="E213" s="53" t="n">
        <f aca="true">NORMINV(RAND(),0,E$7)</f>
        <v>-0.464004312189771</v>
      </c>
      <c r="F213" s="53" t="n">
        <f aca="true">NORMINV(RAND(),0,F$7)</f>
        <v>-0.398905579543546</v>
      </c>
      <c r="G213" s="53" t="n">
        <f aca="true">NORMINV(RAND(),0,G$7)</f>
        <v>-3.07245674519941</v>
      </c>
      <c r="H213" s="53" t="n">
        <f aca="true">NORMINV(RAND(),0,H$7)</f>
        <v>-0.0737881367285068</v>
      </c>
      <c r="I213" s="53" t="n">
        <f aca="false">SUM(B213:H213)</f>
        <v>-7.3681640680605</v>
      </c>
      <c r="J213" s="53" t="n">
        <f aca="true">NORMINV(RAND(),0,J$7)</f>
        <v>2.13554527136457</v>
      </c>
      <c r="K213" s="53" t="n">
        <f aca="true">NORMINV(RAND(),0,K$7)</f>
        <v>-0.775143266370991</v>
      </c>
      <c r="L213" s="53" t="n">
        <f aca="true">NORMINV(RAND(),0,L$7)</f>
        <v>-0.205264577881597</v>
      </c>
      <c r="M213" s="53" t="n">
        <f aca="true">NORMINV(RAND(),0,M$7)</f>
        <v>0.039833905237284</v>
      </c>
      <c r="N213" s="53" t="n">
        <f aca="true">NORMINV(RAND(),0,N$7)</f>
        <v>0.362649626169631</v>
      </c>
      <c r="O213" s="53" t="n">
        <f aca="false">SUM(J213:N213)</f>
        <v>1.5576209585189</v>
      </c>
    </row>
    <row r="214" customFormat="false" ht="15" hidden="false" customHeight="false" outlineLevel="0" collapsed="false">
      <c r="A214" s="2" t="n">
        <v>206</v>
      </c>
      <c r="B214" s="53" t="n">
        <f aca="true">NORMINV(RAND(),0,B$7)</f>
        <v>3.44537728643212</v>
      </c>
      <c r="C214" s="53" t="n">
        <f aca="true">NORMINV(RAND(),0,C$7)</f>
        <v>-1.14440324084887</v>
      </c>
      <c r="D214" s="53" t="n">
        <f aca="true">NORMINV(RAND(),0,D$7)</f>
        <v>-1.10049648793532</v>
      </c>
      <c r="E214" s="53" t="n">
        <f aca="true">NORMINV(RAND(),0,E$7)</f>
        <v>0.158431941861418</v>
      </c>
      <c r="F214" s="53" t="n">
        <f aca="true">NORMINV(RAND(),0,F$7)</f>
        <v>-0.186189087779896</v>
      </c>
      <c r="G214" s="53" t="n">
        <f aca="true">NORMINV(RAND(),0,G$7)</f>
        <v>0.0110491046883328</v>
      </c>
      <c r="H214" s="53" t="n">
        <f aca="true">NORMINV(RAND(),0,H$7)</f>
        <v>-0.143632278031735</v>
      </c>
      <c r="I214" s="53" t="n">
        <f aca="false">SUM(B214:H214)</f>
        <v>1.04013723838605</v>
      </c>
      <c r="J214" s="53" t="n">
        <f aca="true">NORMINV(RAND(),0,J$7)</f>
        <v>1.87698234773527</v>
      </c>
      <c r="K214" s="53" t="n">
        <f aca="true">NORMINV(RAND(),0,K$7)</f>
        <v>0.844736517663281</v>
      </c>
      <c r="L214" s="53" t="n">
        <f aca="true">NORMINV(RAND(),0,L$7)</f>
        <v>0.081113636796574</v>
      </c>
      <c r="M214" s="53" t="n">
        <f aca="true">NORMINV(RAND(),0,M$7)</f>
        <v>-0.0152085778888456</v>
      </c>
      <c r="N214" s="53" t="n">
        <f aca="true">NORMINV(RAND(),0,N$7)</f>
        <v>-0.220995111087892</v>
      </c>
      <c r="O214" s="53" t="n">
        <f aca="false">SUM(J214:N214)</f>
        <v>2.56662881321839</v>
      </c>
    </row>
    <row r="215" customFormat="false" ht="15" hidden="false" customHeight="false" outlineLevel="0" collapsed="false">
      <c r="A215" s="2" t="n">
        <v>207</v>
      </c>
      <c r="B215" s="53" t="n">
        <f aca="true">NORMINV(RAND(),0,B$7)</f>
        <v>2.10691599135649</v>
      </c>
      <c r="C215" s="53" t="n">
        <f aca="true">NORMINV(RAND(),0,C$7)</f>
        <v>-0.0260854757319434</v>
      </c>
      <c r="D215" s="53" t="n">
        <f aca="true">NORMINV(RAND(),0,D$7)</f>
        <v>0.213308898415363</v>
      </c>
      <c r="E215" s="53" t="n">
        <f aca="true">NORMINV(RAND(),0,E$7)</f>
        <v>-0.00215500716963128</v>
      </c>
      <c r="F215" s="53" t="n">
        <f aca="true">NORMINV(RAND(),0,F$7)</f>
        <v>-0.148097946432067</v>
      </c>
      <c r="G215" s="53" t="n">
        <f aca="true">NORMINV(RAND(),0,G$7)</f>
        <v>0.125958857279708</v>
      </c>
      <c r="H215" s="53" t="n">
        <f aca="true">NORMINV(RAND(),0,H$7)</f>
        <v>-0.361606963005441</v>
      </c>
      <c r="I215" s="53" t="n">
        <f aca="false">SUM(B215:H215)</f>
        <v>1.90823835471248</v>
      </c>
      <c r="J215" s="53" t="n">
        <f aca="true">NORMINV(RAND(),0,J$7)</f>
        <v>0.113023814890717</v>
      </c>
      <c r="K215" s="53" t="n">
        <f aca="true">NORMINV(RAND(),0,K$7)</f>
        <v>1.94461562373371</v>
      </c>
      <c r="L215" s="53" t="n">
        <f aca="true">NORMINV(RAND(),0,L$7)</f>
        <v>0.260897089141413</v>
      </c>
      <c r="M215" s="53" t="n">
        <f aca="true">NORMINV(RAND(),0,M$7)</f>
        <v>-0.140259401918938</v>
      </c>
      <c r="N215" s="53" t="n">
        <f aca="true">NORMINV(RAND(),0,N$7)</f>
        <v>-0.850549456155097</v>
      </c>
      <c r="O215" s="53" t="n">
        <f aca="false">SUM(J215:N215)</f>
        <v>1.32772766969181</v>
      </c>
    </row>
    <row r="216" customFormat="false" ht="15" hidden="false" customHeight="false" outlineLevel="0" collapsed="false">
      <c r="A216" s="2" t="n">
        <v>208</v>
      </c>
      <c r="B216" s="53" t="n">
        <f aca="true">NORMINV(RAND(),0,B$7)</f>
        <v>3.19262294612627</v>
      </c>
      <c r="C216" s="53" t="n">
        <f aca="true">NORMINV(RAND(),0,C$7)</f>
        <v>0.522690991744349</v>
      </c>
      <c r="D216" s="53" t="n">
        <f aca="true">NORMINV(RAND(),0,D$7)</f>
        <v>-0.890887584386565</v>
      </c>
      <c r="E216" s="53" t="n">
        <f aca="true">NORMINV(RAND(),0,E$7)</f>
        <v>-0.135395240936028</v>
      </c>
      <c r="F216" s="53" t="n">
        <f aca="true">NORMINV(RAND(),0,F$7)</f>
        <v>-0.426001271973968</v>
      </c>
      <c r="G216" s="53" t="n">
        <f aca="true">NORMINV(RAND(),0,G$7)</f>
        <v>3.2843702508525</v>
      </c>
      <c r="H216" s="53" t="n">
        <f aca="true">NORMINV(RAND(),0,H$7)</f>
        <v>-0.244707875081962</v>
      </c>
      <c r="I216" s="53" t="n">
        <f aca="false">SUM(B216:H216)</f>
        <v>5.3026922163446</v>
      </c>
      <c r="J216" s="53" t="n">
        <f aca="true">NORMINV(RAND(),0,J$7)</f>
        <v>-0.477077158754268</v>
      </c>
      <c r="K216" s="53" t="n">
        <f aca="true">NORMINV(RAND(),0,K$7)</f>
        <v>1.05607160426271</v>
      </c>
      <c r="L216" s="53" t="n">
        <f aca="true">NORMINV(RAND(),0,L$7)</f>
        <v>-0.466460648738772</v>
      </c>
      <c r="M216" s="53" t="n">
        <f aca="true">NORMINV(RAND(),0,M$7)</f>
        <v>-0.0210319955775857</v>
      </c>
      <c r="N216" s="53" t="n">
        <f aca="true">NORMINV(RAND(),0,N$7)</f>
        <v>-0.725518743586174</v>
      </c>
      <c r="O216" s="53" t="n">
        <f aca="false">SUM(J216:N216)</f>
        <v>-0.634016942394087</v>
      </c>
    </row>
    <row r="217" customFormat="false" ht="15" hidden="false" customHeight="false" outlineLevel="0" collapsed="false">
      <c r="A217" s="2" t="n">
        <v>209</v>
      </c>
      <c r="B217" s="53" t="n">
        <f aca="true">NORMINV(RAND(),0,B$7)</f>
        <v>1.04957380952618</v>
      </c>
      <c r="C217" s="53" t="n">
        <f aca="true">NORMINV(RAND(),0,C$7)</f>
        <v>-3.0224226708286</v>
      </c>
      <c r="D217" s="53" t="n">
        <f aca="true">NORMINV(RAND(),0,D$7)</f>
        <v>-2.21000301815003</v>
      </c>
      <c r="E217" s="53" t="n">
        <f aca="true">NORMINV(RAND(),0,E$7)</f>
        <v>0.669130205711406</v>
      </c>
      <c r="F217" s="53" t="n">
        <f aca="true">NORMINV(RAND(),0,F$7)</f>
        <v>-0.356179558566264</v>
      </c>
      <c r="G217" s="53" t="n">
        <f aca="true">NORMINV(RAND(),0,G$7)</f>
        <v>0.356473087572502</v>
      </c>
      <c r="H217" s="53" t="n">
        <f aca="true">NORMINV(RAND(),0,H$7)</f>
        <v>-0.228865153622499</v>
      </c>
      <c r="I217" s="53" t="n">
        <f aca="false">SUM(B217:H217)</f>
        <v>-3.74229329835732</v>
      </c>
      <c r="J217" s="53" t="n">
        <f aca="true">NORMINV(RAND(),0,J$7)</f>
        <v>0.236426213519555</v>
      </c>
      <c r="K217" s="53" t="n">
        <f aca="true">NORMINV(RAND(),0,K$7)</f>
        <v>-0.454441325540994</v>
      </c>
      <c r="L217" s="53" t="n">
        <f aca="true">NORMINV(RAND(),0,L$7)</f>
        <v>0.0893671190804185</v>
      </c>
      <c r="M217" s="53" t="n">
        <f aca="true">NORMINV(RAND(),0,M$7)</f>
        <v>-0.254900816052039</v>
      </c>
      <c r="N217" s="53" t="n">
        <f aca="true">NORMINV(RAND(),0,N$7)</f>
        <v>0.206555460107312</v>
      </c>
      <c r="O217" s="53" t="n">
        <f aca="false">SUM(J217:N217)</f>
        <v>-0.176993348885747</v>
      </c>
    </row>
    <row r="218" customFormat="false" ht="15" hidden="false" customHeight="false" outlineLevel="0" collapsed="false">
      <c r="A218" s="2" t="n">
        <v>210</v>
      </c>
      <c r="B218" s="53" t="n">
        <f aca="true">NORMINV(RAND(),0,B$7)</f>
        <v>-1.2810727261039</v>
      </c>
      <c r="C218" s="53" t="n">
        <f aca="true">NORMINV(RAND(),0,C$7)</f>
        <v>-0.312705506023788</v>
      </c>
      <c r="D218" s="53" t="n">
        <f aca="true">NORMINV(RAND(),0,D$7)</f>
        <v>-0.681796484216525</v>
      </c>
      <c r="E218" s="53" t="n">
        <f aca="true">NORMINV(RAND(),0,E$7)</f>
        <v>-0.290716664881151</v>
      </c>
      <c r="F218" s="53" t="n">
        <f aca="true">NORMINV(RAND(),0,F$7)</f>
        <v>0.0157885569822414</v>
      </c>
      <c r="G218" s="53" t="n">
        <f aca="true">NORMINV(RAND(),0,G$7)</f>
        <v>-0.275041621434872</v>
      </c>
      <c r="H218" s="53" t="n">
        <f aca="true">NORMINV(RAND(),0,H$7)</f>
        <v>0.100621956119822</v>
      </c>
      <c r="I218" s="53" t="n">
        <f aca="false">SUM(B218:H218)</f>
        <v>-2.72492248955818</v>
      </c>
      <c r="J218" s="53" t="n">
        <f aca="true">NORMINV(RAND(),0,J$7)</f>
        <v>-0.591243546168609</v>
      </c>
      <c r="K218" s="53" t="n">
        <f aca="true">NORMINV(RAND(),0,K$7)</f>
        <v>-0.767817390474099</v>
      </c>
      <c r="L218" s="53" t="n">
        <f aca="true">NORMINV(RAND(),0,L$7)</f>
        <v>0.120955750924463</v>
      </c>
      <c r="M218" s="53" t="n">
        <f aca="true">NORMINV(RAND(),0,M$7)</f>
        <v>-0.168698714122352</v>
      </c>
      <c r="N218" s="53" t="n">
        <f aca="true">NORMINV(RAND(),0,N$7)</f>
        <v>0.0416693709491888</v>
      </c>
      <c r="O218" s="53" t="n">
        <f aca="false">SUM(J218:N218)</f>
        <v>-1.36513452889141</v>
      </c>
    </row>
    <row r="219" customFormat="false" ht="15" hidden="false" customHeight="false" outlineLevel="0" collapsed="false">
      <c r="A219" s="2" t="n">
        <v>211</v>
      </c>
      <c r="B219" s="53" t="n">
        <f aca="true">NORMINV(RAND(),0,B$7)</f>
        <v>3.92783108560983</v>
      </c>
      <c r="C219" s="53" t="n">
        <f aca="true">NORMINV(RAND(),0,C$7)</f>
        <v>-0.99614467442451</v>
      </c>
      <c r="D219" s="53" t="n">
        <f aca="true">NORMINV(RAND(),0,D$7)</f>
        <v>-1.27763778960799</v>
      </c>
      <c r="E219" s="53" t="n">
        <f aca="true">NORMINV(RAND(),0,E$7)</f>
        <v>0.290671047677105</v>
      </c>
      <c r="F219" s="53" t="n">
        <f aca="true">NORMINV(RAND(),0,F$7)</f>
        <v>0.178333723286406</v>
      </c>
      <c r="G219" s="53" t="n">
        <f aca="true">NORMINV(RAND(),0,G$7)</f>
        <v>-1.90425149199556</v>
      </c>
      <c r="H219" s="53" t="n">
        <f aca="true">NORMINV(RAND(),0,H$7)</f>
        <v>0.348053216925853</v>
      </c>
      <c r="I219" s="53" t="n">
        <f aca="false">SUM(B219:H219)</f>
        <v>0.566855117471145</v>
      </c>
      <c r="J219" s="53" t="n">
        <f aca="true">NORMINV(RAND(),0,J$7)</f>
        <v>-2.73551157757351</v>
      </c>
      <c r="K219" s="53" t="n">
        <f aca="true">NORMINV(RAND(),0,K$7)</f>
        <v>0.0151822160767961</v>
      </c>
      <c r="L219" s="53" t="n">
        <f aca="true">NORMINV(RAND(),0,L$7)</f>
        <v>-0.271779550670315</v>
      </c>
      <c r="M219" s="53" t="n">
        <f aca="true">NORMINV(RAND(),0,M$7)</f>
        <v>0.14607889611709</v>
      </c>
      <c r="N219" s="53" t="n">
        <f aca="true">NORMINV(RAND(),0,N$7)</f>
        <v>0.144313351059972</v>
      </c>
      <c r="O219" s="53" t="n">
        <f aca="false">SUM(J219:N219)</f>
        <v>-2.70171666498997</v>
      </c>
    </row>
    <row r="220" customFormat="false" ht="15" hidden="false" customHeight="false" outlineLevel="0" collapsed="false">
      <c r="A220" s="2" t="n">
        <v>212</v>
      </c>
      <c r="B220" s="53" t="n">
        <f aca="true">NORMINV(RAND(),0,B$7)</f>
        <v>1.2453419062823</v>
      </c>
      <c r="C220" s="53" t="n">
        <f aca="true">NORMINV(RAND(),0,C$7)</f>
        <v>-0.951675709874005</v>
      </c>
      <c r="D220" s="53" t="n">
        <f aca="true">NORMINV(RAND(),0,D$7)</f>
        <v>-1.01816802496929</v>
      </c>
      <c r="E220" s="53" t="n">
        <f aca="true">NORMINV(RAND(),0,E$7)</f>
        <v>0.368839160203505</v>
      </c>
      <c r="F220" s="53" t="n">
        <f aca="true">NORMINV(RAND(),0,F$7)</f>
        <v>0.00415256021014592</v>
      </c>
      <c r="G220" s="53" t="n">
        <f aca="true">NORMINV(RAND(),0,G$7)</f>
        <v>-1.30831347781695</v>
      </c>
      <c r="H220" s="53" t="n">
        <f aca="true">NORMINV(RAND(),0,H$7)</f>
        <v>3.60729823685635E-005</v>
      </c>
      <c r="I220" s="53" t="n">
        <f aca="false">SUM(B220:H220)</f>
        <v>-1.65978751298193</v>
      </c>
      <c r="J220" s="53" t="n">
        <f aca="true">NORMINV(RAND(),0,J$7)</f>
        <v>0.0454016740764535</v>
      </c>
      <c r="K220" s="53" t="n">
        <f aca="true">NORMINV(RAND(),0,K$7)</f>
        <v>0.887535623643795</v>
      </c>
      <c r="L220" s="53" t="n">
        <f aca="true">NORMINV(RAND(),0,L$7)</f>
        <v>-0.460022304542712</v>
      </c>
      <c r="M220" s="53" t="n">
        <f aca="true">NORMINV(RAND(),0,M$7)</f>
        <v>0.0886225616159461</v>
      </c>
      <c r="N220" s="53" t="n">
        <f aca="true">NORMINV(RAND(),0,N$7)</f>
        <v>0.892441191492011</v>
      </c>
      <c r="O220" s="53" t="n">
        <f aca="false">SUM(J220:N220)</f>
        <v>1.45397874628549</v>
      </c>
    </row>
    <row r="221" customFormat="false" ht="15" hidden="false" customHeight="false" outlineLevel="0" collapsed="false">
      <c r="A221" s="2" t="n">
        <v>213</v>
      </c>
      <c r="B221" s="53" t="n">
        <f aca="true">NORMINV(RAND(),0,B$7)</f>
        <v>1.25199961828134</v>
      </c>
      <c r="C221" s="53" t="n">
        <f aca="true">NORMINV(RAND(),0,C$7)</f>
        <v>1.47721634528038</v>
      </c>
      <c r="D221" s="53" t="n">
        <f aca="true">NORMINV(RAND(),0,D$7)</f>
        <v>0.58316354591077</v>
      </c>
      <c r="E221" s="53" t="n">
        <f aca="true">NORMINV(RAND(),0,E$7)</f>
        <v>-0.442070745616655</v>
      </c>
      <c r="F221" s="53" t="n">
        <f aca="true">NORMINV(RAND(),0,F$7)</f>
        <v>-0.177023440949436</v>
      </c>
      <c r="G221" s="53" t="n">
        <f aca="true">NORMINV(RAND(),0,G$7)</f>
        <v>-0.311161745633694</v>
      </c>
      <c r="H221" s="53" t="n">
        <f aca="true">NORMINV(RAND(),0,H$7)</f>
        <v>0.574027867761956</v>
      </c>
      <c r="I221" s="53" t="n">
        <f aca="false">SUM(B221:H221)</f>
        <v>2.95615144503465</v>
      </c>
      <c r="J221" s="53" t="n">
        <f aca="true">NORMINV(RAND(),0,J$7)</f>
        <v>0.671537367406113</v>
      </c>
      <c r="K221" s="53" t="n">
        <f aca="true">NORMINV(RAND(),0,K$7)</f>
        <v>1.33259926833939</v>
      </c>
      <c r="L221" s="53" t="n">
        <f aca="true">NORMINV(RAND(),0,L$7)</f>
        <v>0.210665582172973</v>
      </c>
      <c r="M221" s="53" t="n">
        <f aca="true">NORMINV(RAND(),0,M$7)</f>
        <v>0.20934481796839</v>
      </c>
      <c r="N221" s="53" t="n">
        <f aca="true">NORMINV(RAND(),0,N$7)</f>
        <v>-0.0618935134173788</v>
      </c>
      <c r="O221" s="53" t="n">
        <f aca="false">SUM(J221:N221)</f>
        <v>2.36225352246949</v>
      </c>
    </row>
    <row r="222" customFormat="false" ht="15" hidden="false" customHeight="false" outlineLevel="0" collapsed="false">
      <c r="A222" s="2" t="n">
        <v>214</v>
      </c>
      <c r="B222" s="53" t="n">
        <f aca="true">NORMINV(RAND(),0,B$7)</f>
        <v>-1.62701600479104</v>
      </c>
      <c r="C222" s="53" t="n">
        <f aca="true">NORMINV(RAND(),0,C$7)</f>
        <v>1.49445064304143</v>
      </c>
      <c r="D222" s="53" t="n">
        <f aca="true">NORMINV(RAND(),0,D$7)</f>
        <v>0.736181233720562</v>
      </c>
      <c r="E222" s="53" t="n">
        <f aca="true">NORMINV(RAND(),0,E$7)</f>
        <v>0.238336283112928</v>
      </c>
      <c r="F222" s="53" t="n">
        <f aca="true">NORMINV(RAND(),0,F$7)</f>
        <v>-0.103546969311201</v>
      </c>
      <c r="G222" s="53" t="n">
        <f aca="true">NORMINV(RAND(),0,G$7)</f>
        <v>0.98690947645426</v>
      </c>
      <c r="H222" s="53" t="n">
        <f aca="true">NORMINV(RAND(),0,H$7)</f>
        <v>0.075045146508075</v>
      </c>
      <c r="I222" s="53" t="n">
        <f aca="false">SUM(B222:H222)</f>
        <v>1.80035980873501</v>
      </c>
      <c r="J222" s="53" t="n">
        <f aca="true">NORMINV(RAND(),0,J$7)</f>
        <v>1.52799383600994</v>
      </c>
      <c r="K222" s="53" t="n">
        <f aca="true">NORMINV(RAND(),0,K$7)</f>
        <v>-0.0569433389829589</v>
      </c>
      <c r="L222" s="53" t="n">
        <f aca="true">NORMINV(RAND(),0,L$7)</f>
        <v>-0.03751407539546</v>
      </c>
      <c r="M222" s="53" t="n">
        <f aca="true">NORMINV(RAND(),0,M$7)</f>
        <v>-0.0188500303755028</v>
      </c>
      <c r="N222" s="53" t="n">
        <f aca="true">NORMINV(RAND(),0,N$7)</f>
        <v>0.00787740842710592</v>
      </c>
      <c r="O222" s="53" t="n">
        <f aca="false">SUM(J222:N222)</f>
        <v>1.42256379968312</v>
      </c>
    </row>
    <row r="223" customFormat="false" ht="15" hidden="false" customHeight="false" outlineLevel="0" collapsed="false">
      <c r="A223" s="2" t="n">
        <v>215</v>
      </c>
      <c r="B223" s="53" t="n">
        <f aca="true">NORMINV(RAND(),0,B$7)</f>
        <v>-0.810284081974294</v>
      </c>
      <c r="C223" s="53" t="n">
        <f aca="true">NORMINV(RAND(),0,C$7)</f>
        <v>-2.73882830305908</v>
      </c>
      <c r="D223" s="53" t="n">
        <f aca="true">NORMINV(RAND(),0,D$7)</f>
        <v>0.0817796609073134</v>
      </c>
      <c r="E223" s="53" t="n">
        <f aca="true">NORMINV(RAND(),0,E$7)</f>
        <v>0.215227394624881</v>
      </c>
      <c r="F223" s="53" t="n">
        <f aca="true">NORMINV(RAND(),0,F$7)</f>
        <v>-0.0370481854303284</v>
      </c>
      <c r="G223" s="53" t="n">
        <f aca="true">NORMINV(RAND(),0,G$7)</f>
        <v>0.685381578176174</v>
      </c>
      <c r="H223" s="53" t="n">
        <f aca="true">NORMINV(RAND(),0,H$7)</f>
        <v>0.0541612727969606</v>
      </c>
      <c r="I223" s="53" t="n">
        <f aca="false">SUM(B223:H223)</f>
        <v>-2.54961066395837</v>
      </c>
      <c r="J223" s="53" t="n">
        <f aca="true">NORMINV(RAND(),0,J$7)</f>
        <v>-0.820761234435948</v>
      </c>
      <c r="K223" s="53" t="n">
        <f aca="true">NORMINV(RAND(),0,K$7)</f>
        <v>0.049874753149266</v>
      </c>
      <c r="L223" s="53" t="n">
        <f aca="true">NORMINV(RAND(),0,L$7)</f>
        <v>-0.0229019841407722</v>
      </c>
      <c r="M223" s="53" t="n">
        <f aca="true">NORMINV(RAND(),0,M$7)</f>
        <v>0.0462392589629607</v>
      </c>
      <c r="N223" s="53" t="n">
        <f aca="true">NORMINV(RAND(),0,N$7)</f>
        <v>0.0334324012955494</v>
      </c>
      <c r="O223" s="53" t="n">
        <f aca="false">SUM(J223:N223)</f>
        <v>-0.714116805168945</v>
      </c>
    </row>
    <row r="224" customFormat="false" ht="15" hidden="false" customHeight="false" outlineLevel="0" collapsed="false">
      <c r="A224" s="2" t="n">
        <v>216</v>
      </c>
      <c r="B224" s="53" t="n">
        <f aca="true">NORMINV(RAND(),0,B$7)</f>
        <v>-0.959213975624088</v>
      </c>
      <c r="C224" s="53" t="n">
        <f aca="true">NORMINV(RAND(),0,C$7)</f>
        <v>-1.36329498281395</v>
      </c>
      <c r="D224" s="53" t="n">
        <f aca="true">NORMINV(RAND(),0,D$7)</f>
        <v>-0.823254869356467</v>
      </c>
      <c r="E224" s="53" t="n">
        <f aca="true">NORMINV(RAND(),0,E$7)</f>
        <v>0.20095468167082</v>
      </c>
      <c r="F224" s="53" t="n">
        <f aca="true">NORMINV(RAND(),0,F$7)</f>
        <v>-0.31366464211363</v>
      </c>
      <c r="G224" s="53" t="n">
        <f aca="true">NORMINV(RAND(),0,G$7)</f>
        <v>-1.97201654338971</v>
      </c>
      <c r="H224" s="53" t="n">
        <f aca="true">NORMINV(RAND(),0,H$7)</f>
        <v>-0.291217521178083</v>
      </c>
      <c r="I224" s="53" t="n">
        <f aca="false">SUM(B224:H224)</f>
        <v>-5.52170785280511</v>
      </c>
      <c r="J224" s="53" t="n">
        <f aca="true">NORMINV(RAND(),0,J$7)</f>
        <v>6.32644992828156</v>
      </c>
      <c r="K224" s="53" t="n">
        <f aca="true">NORMINV(RAND(),0,K$7)</f>
        <v>0.645473535345242</v>
      </c>
      <c r="L224" s="53" t="n">
        <f aca="true">NORMINV(RAND(),0,L$7)</f>
        <v>0.171468972782379</v>
      </c>
      <c r="M224" s="53" t="n">
        <f aca="true">NORMINV(RAND(),0,M$7)</f>
        <v>-0.106866722305884</v>
      </c>
      <c r="N224" s="53" t="n">
        <f aca="true">NORMINV(RAND(),0,N$7)</f>
        <v>-0.484015489322364</v>
      </c>
      <c r="O224" s="53" t="n">
        <f aca="false">SUM(J224:N224)</f>
        <v>6.55251022478093</v>
      </c>
    </row>
    <row r="225" customFormat="false" ht="15" hidden="false" customHeight="false" outlineLevel="0" collapsed="false">
      <c r="A225" s="2" t="n">
        <v>217</v>
      </c>
      <c r="B225" s="53" t="n">
        <f aca="true">NORMINV(RAND(),0,B$7)</f>
        <v>0.300423797526251</v>
      </c>
      <c r="C225" s="53" t="n">
        <f aca="true">NORMINV(RAND(),0,C$7)</f>
        <v>-1.13011442448451</v>
      </c>
      <c r="D225" s="53" t="n">
        <f aca="true">NORMINV(RAND(),0,D$7)</f>
        <v>-2.74260970923432</v>
      </c>
      <c r="E225" s="53" t="n">
        <f aca="true">NORMINV(RAND(),0,E$7)</f>
        <v>-0.294031083022082</v>
      </c>
      <c r="F225" s="53" t="n">
        <f aca="true">NORMINV(RAND(),0,F$7)</f>
        <v>-0.0359437200579955</v>
      </c>
      <c r="G225" s="53" t="n">
        <f aca="true">NORMINV(RAND(),0,G$7)</f>
        <v>1.04917456969961</v>
      </c>
      <c r="H225" s="53" t="n">
        <f aca="true">NORMINV(RAND(),0,H$7)</f>
        <v>0.445615789000313</v>
      </c>
      <c r="I225" s="53" t="n">
        <f aca="false">SUM(B225:H225)</f>
        <v>-2.40748478057273</v>
      </c>
      <c r="J225" s="53" t="n">
        <f aca="true">NORMINV(RAND(),0,J$7)</f>
        <v>-1.17086089254677</v>
      </c>
      <c r="K225" s="53" t="n">
        <f aca="true">NORMINV(RAND(),0,K$7)</f>
        <v>-0.00902999017768178</v>
      </c>
      <c r="L225" s="53" t="n">
        <f aca="true">NORMINV(RAND(),0,L$7)</f>
        <v>0.0862526392210012</v>
      </c>
      <c r="M225" s="53" t="n">
        <f aca="true">NORMINV(RAND(),0,M$7)</f>
        <v>-0.154037233081472</v>
      </c>
      <c r="N225" s="53" t="n">
        <f aca="true">NORMINV(RAND(),0,N$7)</f>
        <v>-0.21175802245169</v>
      </c>
      <c r="O225" s="53" t="n">
        <f aca="false">SUM(J225:N225)</f>
        <v>-1.45943349903661</v>
      </c>
    </row>
    <row r="226" customFormat="false" ht="15" hidden="false" customHeight="false" outlineLevel="0" collapsed="false">
      <c r="A226" s="2" t="n">
        <v>218</v>
      </c>
      <c r="B226" s="53" t="n">
        <f aca="true">NORMINV(RAND(),0,B$7)</f>
        <v>-1.23154230027083</v>
      </c>
      <c r="C226" s="53" t="n">
        <f aca="true">NORMINV(RAND(),0,C$7)</f>
        <v>1.90102079320931</v>
      </c>
      <c r="D226" s="53" t="n">
        <f aca="true">NORMINV(RAND(),0,D$7)</f>
        <v>0.921373671758933</v>
      </c>
      <c r="E226" s="53" t="n">
        <f aca="true">NORMINV(RAND(),0,E$7)</f>
        <v>0.388620311310984</v>
      </c>
      <c r="F226" s="53" t="n">
        <f aca="true">NORMINV(RAND(),0,F$7)</f>
        <v>-0.154022136158647</v>
      </c>
      <c r="G226" s="53" t="n">
        <f aca="true">NORMINV(RAND(),0,G$7)</f>
        <v>-0.935669999278776</v>
      </c>
      <c r="H226" s="53" t="n">
        <f aca="true">NORMINV(RAND(),0,H$7)</f>
        <v>0.142161384349578</v>
      </c>
      <c r="I226" s="53" t="n">
        <f aca="false">SUM(B226:H226)</f>
        <v>1.03194172492055</v>
      </c>
      <c r="J226" s="53" t="n">
        <f aca="true">NORMINV(RAND(),0,J$7)</f>
        <v>0.0999770579536785</v>
      </c>
      <c r="K226" s="53" t="n">
        <f aca="true">NORMINV(RAND(),0,K$7)</f>
        <v>0.858934671023238</v>
      </c>
      <c r="L226" s="53" t="n">
        <f aca="true">NORMINV(RAND(),0,L$7)</f>
        <v>0.323888926653835</v>
      </c>
      <c r="M226" s="53" t="n">
        <f aca="true">NORMINV(RAND(),0,M$7)</f>
        <v>-0.0310903887043781</v>
      </c>
      <c r="N226" s="53" t="n">
        <f aca="true">NORMINV(RAND(),0,N$7)</f>
        <v>0.163540122994497</v>
      </c>
      <c r="O226" s="53" t="n">
        <f aca="false">SUM(J226:N226)</f>
        <v>1.41525038992087</v>
      </c>
    </row>
    <row r="227" customFormat="false" ht="15" hidden="false" customHeight="false" outlineLevel="0" collapsed="false">
      <c r="A227" s="2" t="n">
        <v>219</v>
      </c>
      <c r="B227" s="53" t="n">
        <f aca="true">NORMINV(RAND(),0,B$7)</f>
        <v>-0.24210621821892</v>
      </c>
      <c r="C227" s="53" t="n">
        <f aca="true">NORMINV(RAND(),0,C$7)</f>
        <v>-0.120649256082783</v>
      </c>
      <c r="D227" s="53" t="n">
        <f aca="true">NORMINV(RAND(),0,D$7)</f>
        <v>0.369354487492279</v>
      </c>
      <c r="E227" s="53" t="n">
        <f aca="true">NORMINV(RAND(),0,E$7)</f>
        <v>-0.0541901346025478</v>
      </c>
      <c r="F227" s="53" t="n">
        <f aca="true">NORMINV(RAND(),0,F$7)</f>
        <v>-0.45138540955845</v>
      </c>
      <c r="G227" s="53" t="n">
        <f aca="true">NORMINV(RAND(),0,G$7)</f>
        <v>1.07555283746481</v>
      </c>
      <c r="H227" s="53" t="n">
        <f aca="true">NORMINV(RAND(),0,H$7)</f>
        <v>-0.447035894542406</v>
      </c>
      <c r="I227" s="53" t="n">
        <f aca="false">SUM(B227:H227)</f>
        <v>0.129540411951986</v>
      </c>
      <c r="J227" s="53" t="n">
        <f aca="true">NORMINV(RAND(),0,J$7)</f>
        <v>2.10598614784371</v>
      </c>
      <c r="K227" s="53" t="n">
        <f aca="true">NORMINV(RAND(),0,K$7)</f>
        <v>-0.720988989890813</v>
      </c>
      <c r="L227" s="53" t="n">
        <f aca="true">NORMINV(RAND(),0,L$7)</f>
        <v>0.499727399423705</v>
      </c>
      <c r="M227" s="53" t="n">
        <f aca="true">NORMINV(RAND(),0,M$7)</f>
        <v>0.120741677728133</v>
      </c>
      <c r="N227" s="53" t="n">
        <f aca="true">NORMINV(RAND(),0,N$7)</f>
        <v>-0.225934332818314</v>
      </c>
      <c r="O227" s="53" t="n">
        <f aca="false">SUM(J227:N227)</f>
        <v>1.77953190228642</v>
      </c>
    </row>
    <row r="228" customFormat="false" ht="15" hidden="false" customHeight="false" outlineLevel="0" collapsed="false">
      <c r="A228" s="2" t="n">
        <v>220</v>
      </c>
      <c r="B228" s="53" t="n">
        <f aca="true">NORMINV(RAND(),0,B$7)</f>
        <v>-1.20821280899767</v>
      </c>
      <c r="C228" s="53" t="n">
        <f aca="true">NORMINV(RAND(),0,C$7)</f>
        <v>-0.847932629344808</v>
      </c>
      <c r="D228" s="53" t="n">
        <f aca="true">NORMINV(RAND(),0,D$7)</f>
        <v>-1.43668879720897</v>
      </c>
      <c r="E228" s="53" t="n">
        <f aca="true">NORMINV(RAND(),0,E$7)</f>
        <v>0.206410464326222</v>
      </c>
      <c r="F228" s="53" t="n">
        <f aca="true">NORMINV(RAND(),0,F$7)</f>
        <v>0.109868602702709</v>
      </c>
      <c r="G228" s="53" t="n">
        <f aca="true">NORMINV(RAND(),0,G$7)</f>
        <v>-2.69372278370696</v>
      </c>
      <c r="H228" s="53" t="n">
        <f aca="true">NORMINV(RAND(),0,H$7)</f>
        <v>-1.0710204005241</v>
      </c>
      <c r="I228" s="53" t="n">
        <f aca="false">SUM(B228:H228)</f>
        <v>-6.94129835275357</v>
      </c>
      <c r="J228" s="53" t="n">
        <f aca="true">NORMINV(RAND(),0,J$7)</f>
        <v>-3.55326389685635</v>
      </c>
      <c r="K228" s="53" t="n">
        <f aca="true">NORMINV(RAND(),0,K$7)</f>
        <v>-0.455492089917434</v>
      </c>
      <c r="L228" s="53" t="n">
        <f aca="true">NORMINV(RAND(),0,L$7)</f>
        <v>-0.117103947580338</v>
      </c>
      <c r="M228" s="53" t="n">
        <f aca="true">NORMINV(RAND(),0,M$7)</f>
        <v>0.0405421435480575</v>
      </c>
      <c r="N228" s="53" t="n">
        <f aca="true">NORMINV(RAND(),0,N$7)</f>
        <v>-0.422173778097056</v>
      </c>
      <c r="O228" s="53" t="n">
        <f aca="false">SUM(J228:N228)</f>
        <v>-4.50749156890312</v>
      </c>
    </row>
    <row r="229" customFormat="false" ht="15" hidden="false" customHeight="false" outlineLevel="0" collapsed="false">
      <c r="A229" s="2" t="n">
        <v>221</v>
      </c>
      <c r="B229" s="53" t="n">
        <f aca="true">NORMINV(RAND(),0,B$7)</f>
        <v>3.44145797687372</v>
      </c>
      <c r="C229" s="53" t="n">
        <f aca="true">NORMINV(RAND(),0,C$7)</f>
        <v>1.73313571099385</v>
      </c>
      <c r="D229" s="53" t="n">
        <f aca="true">NORMINV(RAND(),0,D$7)</f>
        <v>-0.536011933871635</v>
      </c>
      <c r="E229" s="53" t="n">
        <f aca="true">NORMINV(RAND(),0,E$7)</f>
        <v>0.349607760910362</v>
      </c>
      <c r="F229" s="53" t="n">
        <f aca="true">NORMINV(RAND(),0,F$7)</f>
        <v>-0.437222105831403</v>
      </c>
      <c r="G229" s="53" t="n">
        <f aca="true">NORMINV(RAND(),0,G$7)</f>
        <v>2.0106885016466</v>
      </c>
      <c r="H229" s="53" t="n">
        <f aca="true">NORMINV(RAND(),0,H$7)</f>
        <v>0.342462043149793</v>
      </c>
      <c r="I229" s="53" t="n">
        <f aca="false">SUM(B229:H229)</f>
        <v>6.90411795387129</v>
      </c>
      <c r="J229" s="53" t="n">
        <f aca="true">NORMINV(RAND(),0,J$7)</f>
        <v>-1.58517284248601</v>
      </c>
      <c r="K229" s="53" t="n">
        <f aca="true">NORMINV(RAND(),0,K$7)</f>
        <v>-0.612297750334714</v>
      </c>
      <c r="L229" s="53" t="n">
        <f aca="true">NORMINV(RAND(),0,L$7)</f>
        <v>-0.064855528858829</v>
      </c>
      <c r="M229" s="53" t="n">
        <f aca="true">NORMINV(RAND(),0,M$7)</f>
        <v>0.25768941845598</v>
      </c>
      <c r="N229" s="53" t="n">
        <f aca="true">NORMINV(RAND(),0,N$7)</f>
        <v>-0.0390407590210689</v>
      </c>
      <c r="O229" s="53" t="n">
        <f aca="false">SUM(J229:N229)</f>
        <v>-2.04367746224464</v>
      </c>
    </row>
    <row r="230" customFormat="false" ht="15" hidden="false" customHeight="false" outlineLevel="0" collapsed="false">
      <c r="A230" s="2" t="n">
        <v>222</v>
      </c>
      <c r="B230" s="53" t="n">
        <f aca="true">NORMINV(RAND(),0,B$7)</f>
        <v>-1.48874885395389</v>
      </c>
      <c r="C230" s="53" t="n">
        <f aca="true">NORMINV(RAND(),0,C$7)</f>
        <v>0.109445114206962</v>
      </c>
      <c r="D230" s="53" t="n">
        <f aca="true">NORMINV(RAND(),0,D$7)</f>
        <v>-2.50350477084399</v>
      </c>
      <c r="E230" s="53" t="n">
        <f aca="true">NORMINV(RAND(),0,E$7)</f>
        <v>-0.034676655655737</v>
      </c>
      <c r="F230" s="53" t="n">
        <f aca="true">NORMINV(RAND(),0,F$7)</f>
        <v>0.0981215196394077</v>
      </c>
      <c r="G230" s="53" t="n">
        <f aca="true">NORMINV(RAND(),0,G$7)</f>
        <v>-0.396951376368782</v>
      </c>
      <c r="H230" s="53" t="n">
        <f aca="true">NORMINV(RAND(),0,H$7)</f>
        <v>-0.245063544717649</v>
      </c>
      <c r="I230" s="53" t="n">
        <f aca="false">SUM(B230:H230)</f>
        <v>-4.46137856769368</v>
      </c>
      <c r="J230" s="53" t="n">
        <f aca="true">NORMINV(RAND(),0,J$7)</f>
        <v>-1.79759393643078</v>
      </c>
      <c r="K230" s="53" t="n">
        <f aca="true">NORMINV(RAND(),0,K$7)</f>
        <v>0.123233407986008</v>
      </c>
      <c r="L230" s="53" t="n">
        <f aca="true">NORMINV(RAND(),0,L$7)</f>
        <v>0.650048713183316</v>
      </c>
      <c r="M230" s="53" t="n">
        <f aca="true">NORMINV(RAND(),0,M$7)</f>
        <v>0.105015775331263</v>
      </c>
      <c r="N230" s="53" t="n">
        <f aca="true">NORMINV(RAND(),0,N$7)</f>
        <v>0.446702839898038</v>
      </c>
      <c r="O230" s="53" t="n">
        <f aca="false">SUM(J230:N230)</f>
        <v>-0.472593200032149</v>
      </c>
    </row>
    <row r="231" customFormat="false" ht="15" hidden="false" customHeight="false" outlineLevel="0" collapsed="false">
      <c r="A231" s="2" t="n">
        <v>223</v>
      </c>
      <c r="B231" s="53" t="n">
        <f aca="true">NORMINV(RAND(),0,B$7)</f>
        <v>0.0682241606472566</v>
      </c>
      <c r="C231" s="53" t="n">
        <f aca="true">NORMINV(RAND(),0,C$7)</f>
        <v>1.38103690964591</v>
      </c>
      <c r="D231" s="53" t="n">
        <f aca="true">NORMINV(RAND(),0,D$7)</f>
        <v>-1.13836614663759</v>
      </c>
      <c r="E231" s="53" t="n">
        <f aca="true">NORMINV(RAND(),0,E$7)</f>
        <v>-0.078090988810319</v>
      </c>
      <c r="F231" s="53" t="n">
        <f aca="true">NORMINV(RAND(),0,F$7)</f>
        <v>-0.0153216597504634</v>
      </c>
      <c r="G231" s="53" t="n">
        <f aca="true">NORMINV(RAND(),0,G$7)</f>
        <v>-0.202318854306298</v>
      </c>
      <c r="H231" s="53" t="n">
        <f aca="true">NORMINV(RAND(),0,H$7)</f>
        <v>-0.32440798132966</v>
      </c>
      <c r="I231" s="53" t="n">
        <f aca="false">SUM(B231:H231)</f>
        <v>-0.309244560541164</v>
      </c>
      <c r="J231" s="53" t="n">
        <f aca="true">NORMINV(RAND(),0,J$7)</f>
        <v>3.28085500577064</v>
      </c>
      <c r="K231" s="53" t="n">
        <f aca="true">NORMINV(RAND(),0,K$7)</f>
        <v>0.068083875520836</v>
      </c>
      <c r="L231" s="53" t="n">
        <f aca="true">NORMINV(RAND(),0,L$7)</f>
        <v>0.315395004208249</v>
      </c>
      <c r="M231" s="53" t="n">
        <f aca="true">NORMINV(RAND(),0,M$7)</f>
        <v>0.124285416466347</v>
      </c>
      <c r="N231" s="53" t="n">
        <f aca="true">NORMINV(RAND(),0,N$7)</f>
        <v>-0.0501541701318378</v>
      </c>
      <c r="O231" s="53" t="n">
        <f aca="false">SUM(J231:N231)</f>
        <v>3.73846513183423</v>
      </c>
    </row>
    <row r="232" customFormat="false" ht="15" hidden="false" customHeight="false" outlineLevel="0" collapsed="false">
      <c r="A232" s="2" t="n">
        <v>224</v>
      </c>
      <c r="B232" s="53" t="n">
        <f aca="true">NORMINV(RAND(),0,B$7)</f>
        <v>0.693912972554142</v>
      </c>
      <c r="C232" s="53" t="n">
        <f aca="true">NORMINV(RAND(),0,C$7)</f>
        <v>-0.490712276153198</v>
      </c>
      <c r="D232" s="53" t="n">
        <f aca="true">NORMINV(RAND(),0,D$7)</f>
        <v>1.47300877321806</v>
      </c>
      <c r="E232" s="53" t="n">
        <f aca="true">NORMINV(RAND(),0,E$7)</f>
        <v>0.14748055985586</v>
      </c>
      <c r="F232" s="53" t="n">
        <f aca="true">NORMINV(RAND(),0,F$7)</f>
        <v>0.15811534153746</v>
      </c>
      <c r="G232" s="53" t="n">
        <f aca="true">NORMINV(RAND(),0,G$7)</f>
        <v>0.170372576505877</v>
      </c>
      <c r="H232" s="53" t="n">
        <f aca="true">NORMINV(RAND(),0,H$7)</f>
        <v>-0.43328480043453</v>
      </c>
      <c r="I232" s="53" t="n">
        <f aca="false">SUM(B232:H232)</f>
        <v>1.71889314708367</v>
      </c>
      <c r="J232" s="53" t="n">
        <f aca="true">NORMINV(RAND(),0,J$7)</f>
        <v>-1.0198489554282</v>
      </c>
      <c r="K232" s="53" t="n">
        <f aca="true">NORMINV(RAND(),0,K$7)</f>
        <v>-1.04191950415238</v>
      </c>
      <c r="L232" s="53" t="n">
        <f aca="true">NORMINV(RAND(),0,L$7)</f>
        <v>-0.923378901191054</v>
      </c>
      <c r="M232" s="53" t="n">
        <f aca="true">NORMINV(RAND(),0,M$7)</f>
        <v>0.192935768890256</v>
      </c>
      <c r="N232" s="53" t="n">
        <f aca="true">NORMINV(RAND(),0,N$7)</f>
        <v>-0.975739277748609</v>
      </c>
      <c r="O232" s="53" t="n">
        <f aca="false">SUM(J232:N232)</f>
        <v>-3.76795086962999</v>
      </c>
    </row>
    <row r="233" customFormat="false" ht="15" hidden="false" customHeight="false" outlineLevel="0" collapsed="false">
      <c r="A233" s="2" t="n">
        <v>225</v>
      </c>
      <c r="B233" s="53" t="n">
        <f aca="true">NORMINV(RAND(),0,B$7)</f>
        <v>1.55829452436058</v>
      </c>
      <c r="C233" s="53" t="n">
        <f aca="true">NORMINV(RAND(),0,C$7)</f>
        <v>-0.290785442337932</v>
      </c>
      <c r="D233" s="53" t="n">
        <f aca="true">NORMINV(RAND(),0,D$7)</f>
        <v>0.250065366614872</v>
      </c>
      <c r="E233" s="53" t="n">
        <f aca="true">NORMINV(RAND(),0,E$7)</f>
        <v>0.784467786976313</v>
      </c>
      <c r="F233" s="53" t="n">
        <f aca="true">NORMINV(RAND(),0,F$7)</f>
        <v>0.346508452503896</v>
      </c>
      <c r="G233" s="53" t="n">
        <f aca="true">NORMINV(RAND(),0,G$7)</f>
        <v>1.42751661284794</v>
      </c>
      <c r="H233" s="53" t="n">
        <f aca="true">NORMINV(RAND(),0,H$7)</f>
        <v>0.0479891653413202</v>
      </c>
      <c r="I233" s="53" t="n">
        <f aca="false">SUM(B233:H233)</f>
        <v>4.12405646630699</v>
      </c>
      <c r="J233" s="53" t="n">
        <f aca="true">NORMINV(RAND(),0,J$7)</f>
        <v>-2.09201466443375</v>
      </c>
      <c r="K233" s="53" t="n">
        <f aca="true">NORMINV(RAND(),0,K$7)</f>
        <v>0.53662964647687</v>
      </c>
      <c r="L233" s="53" t="n">
        <f aca="true">NORMINV(RAND(),0,L$7)</f>
        <v>-0.203611429686376</v>
      </c>
      <c r="M233" s="53" t="n">
        <f aca="true">NORMINV(RAND(),0,M$7)</f>
        <v>-0.483510200119475</v>
      </c>
      <c r="N233" s="53" t="n">
        <f aca="true">NORMINV(RAND(),0,N$7)</f>
        <v>-0.310232129798671</v>
      </c>
      <c r="O233" s="53" t="n">
        <f aca="false">SUM(J233:N233)</f>
        <v>-2.5527387775614</v>
      </c>
    </row>
    <row r="234" customFormat="false" ht="15" hidden="false" customHeight="false" outlineLevel="0" collapsed="false">
      <c r="A234" s="2" t="n">
        <v>226</v>
      </c>
      <c r="B234" s="53" t="n">
        <f aca="true">NORMINV(RAND(),0,B$7)</f>
        <v>-1.17243993723036</v>
      </c>
      <c r="C234" s="53" t="n">
        <f aca="true">NORMINV(RAND(),0,C$7)</f>
        <v>0.368701477103655</v>
      </c>
      <c r="D234" s="53" t="n">
        <f aca="true">NORMINV(RAND(),0,D$7)</f>
        <v>0.753610918485148</v>
      </c>
      <c r="E234" s="53" t="n">
        <f aca="true">NORMINV(RAND(),0,E$7)</f>
        <v>-0.320979418380047</v>
      </c>
      <c r="F234" s="53" t="n">
        <f aca="true">NORMINV(RAND(),0,F$7)</f>
        <v>-0.339100718876944</v>
      </c>
      <c r="G234" s="53" t="n">
        <f aca="true">NORMINV(RAND(),0,G$7)</f>
        <v>0.116793914854966</v>
      </c>
      <c r="H234" s="53" t="n">
        <f aca="true">NORMINV(RAND(),0,H$7)</f>
        <v>-0.31785873321307</v>
      </c>
      <c r="I234" s="53" t="n">
        <f aca="false">SUM(B234:H234)</f>
        <v>-0.911272497256653</v>
      </c>
      <c r="J234" s="53" t="n">
        <f aca="true">NORMINV(RAND(),0,J$7)</f>
        <v>-0.208280600767591</v>
      </c>
      <c r="K234" s="53" t="n">
        <f aca="true">NORMINV(RAND(),0,K$7)</f>
        <v>0.718333371707875</v>
      </c>
      <c r="L234" s="53" t="n">
        <f aca="true">NORMINV(RAND(),0,L$7)</f>
        <v>0.134224524826551</v>
      </c>
      <c r="M234" s="53" t="n">
        <f aca="true">NORMINV(RAND(),0,M$7)</f>
        <v>0.0351146122603979</v>
      </c>
      <c r="N234" s="53" t="n">
        <f aca="true">NORMINV(RAND(),0,N$7)</f>
        <v>0.0269979380196809</v>
      </c>
      <c r="O234" s="53" t="n">
        <f aca="false">SUM(J234:N234)</f>
        <v>0.706389846046913</v>
      </c>
    </row>
    <row r="235" customFormat="false" ht="15" hidden="false" customHeight="false" outlineLevel="0" collapsed="false">
      <c r="A235" s="2" t="n">
        <v>227</v>
      </c>
      <c r="B235" s="53" t="n">
        <f aca="true">NORMINV(RAND(),0,B$7)</f>
        <v>-0.897623761613985</v>
      </c>
      <c r="C235" s="53" t="n">
        <f aca="true">NORMINV(RAND(),0,C$7)</f>
        <v>0.3541061175176</v>
      </c>
      <c r="D235" s="53" t="n">
        <f aca="true">NORMINV(RAND(),0,D$7)</f>
        <v>-3.16883370508254</v>
      </c>
      <c r="E235" s="53" t="n">
        <f aca="true">NORMINV(RAND(),0,E$7)</f>
        <v>0.222835526492885</v>
      </c>
      <c r="F235" s="53" t="n">
        <f aca="true">NORMINV(RAND(),0,F$7)</f>
        <v>0.373362599482336</v>
      </c>
      <c r="G235" s="53" t="n">
        <f aca="true">NORMINV(RAND(),0,G$7)</f>
        <v>0.539046121001487</v>
      </c>
      <c r="H235" s="53" t="n">
        <f aca="true">NORMINV(RAND(),0,H$7)</f>
        <v>-0.0834683480312194</v>
      </c>
      <c r="I235" s="53" t="n">
        <f aca="false">SUM(B235:H235)</f>
        <v>-2.66057545023343</v>
      </c>
      <c r="J235" s="53" t="n">
        <f aca="true">NORMINV(RAND(),0,J$7)</f>
        <v>-2.5685245377665</v>
      </c>
      <c r="K235" s="53" t="n">
        <f aca="true">NORMINV(RAND(),0,K$7)</f>
        <v>-1.34924193828997</v>
      </c>
      <c r="L235" s="53" t="n">
        <f aca="true">NORMINV(RAND(),0,L$7)</f>
        <v>-0.0590794478203147</v>
      </c>
      <c r="M235" s="53" t="n">
        <f aca="true">NORMINV(RAND(),0,M$7)</f>
        <v>-0.223684451914541</v>
      </c>
      <c r="N235" s="53" t="n">
        <f aca="true">NORMINV(RAND(),0,N$7)</f>
        <v>-0.0355579466047544</v>
      </c>
      <c r="O235" s="53" t="n">
        <f aca="false">SUM(J235:N235)</f>
        <v>-4.23608832239608</v>
      </c>
    </row>
    <row r="236" customFormat="false" ht="15" hidden="false" customHeight="false" outlineLevel="0" collapsed="false">
      <c r="A236" s="2" t="n">
        <v>228</v>
      </c>
      <c r="B236" s="53" t="n">
        <f aca="true">NORMINV(RAND(),0,B$7)</f>
        <v>1.49081146403475</v>
      </c>
      <c r="C236" s="53" t="n">
        <f aca="true">NORMINV(RAND(),0,C$7)</f>
        <v>1.37614167887404</v>
      </c>
      <c r="D236" s="53" t="n">
        <f aca="true">NORMINV(RAND(),0,D$7)</f>
        <v>-2.32099193861188</v>
      </c>
      <c r="E236" s="53" t="n">
        <f aca="true">NORMINV(RAND(),0,E$7)</f>
        <v>0.0892253526817008</v>
      </c>
      <c r="F236" s="53" t="n">
        <f aca="true">NORMINV(RAND(),0,F$7)</f>
        <v>0.219695430819292</v>
      </c>
      <c r="G236" s="53" t="n">
        <f aca="true">NORMINV(RAND(),0,G$7)</f>
        <v>0.391501048054216</v>
      </c>
      <c r="H236" s="53" t="n">
        <f aca="true">NORMINV(RAND(),0,H$7)</f>
        <v>-0.432779253779882</v>
      </c>
      <c r="I236" s="53" t="n">
        <f aca="false">SUM(B236:H236)</f>
        <v>0.813603782072236</v>
      </c>
      <c r="J236" s="53" t="n">
        <f aca="true">NORMINV(RAND(),0,J$7)</f>
        <v>0.65398744899158</v>
      </c>
      <c r="K236" s="53" t="n">
        <f aca="true">NORMINV(RAND(),0,K$7)</f>
        <v>0.496698861983324</v>
      </c>
      <c r="L236" s="53" t="n">
        <f aca="true">NORMINV(RAND(),0,L$7)</f>
        <v>-0.263346692707919</v>
      </c>
      <c r="M236" s="53" t="n">
        <f aca="true">NORMINV(RAND(),0,M$7)</f>
        <v>0.246313476514443</v>
      </c>
      <c r="N236" s="53" t="n">
        <f aca="true">NORMINV(RAND(),0,N$7)</f>
        <v>0.720386555723914</v>
      </c>
      <c r="O236" s="53" t="n">
        <f aca="false">SUM(J236:N236)</f>
        <v>1.85403965050534</v>
      </c>
    </row>
    <row r="237" customFormat="false" ht="15" hidden="false" customHeight="false" outlineLevel="0" collapsed="false">
      <c r="A237" s="2" t="n">
        <v>229</v>
      </c>
      <c r="B237" s="53" t="n">
        <f aca="true">NORMINV(RAND(),0,B$7)</f>
        <v>-0.913391820625383</v>
      </c>
      <c r="C237" s="53" t="n">
        <f aca="true">NORMINV(RAND(),0,C$7)</f>
        <v>0.635676019752895</v>
      </c>
      <c r="D237" s="53" t="n">
        <f aca="true">NORMINV(RAND(),0,D$7)</f>
        <v>2.00676707223127</v>
      </c>
      <c r="E237" s="53" t="n">
        <f aca="true">NORMINV(RAND(),0,E$7)</f>
        <v>-0.32865640149313</v>
      </c>
      <c r="F237" s="53" t="n">
        <f aca="true">NORMINV(RAND(),0,F$7)</f>
        <v>0.401944211877061</v>
      </c>
      <c r="G237" s="53" t="n">
        <f aca="true">NORMINV(RAND(),0,G$7)</f>
        <v>-1.47773526913015</v>
      </c>
      <c r="H237" s="53" t="n">
        <f aca="true">NORMINV(RAND(),0,H$7)</f>
        <v>0.188128999620376</v>
      </c>
      <c r="I237" s="53" t="n">
        <f aca="false">SUM(B237:H237)</f>
        <v>0.512732812232941</v>
      </c>
      <c r="J237" s="53" t="n">
        <f aca="true">NORMINV(RAND(),0,J$7)</f>
        <v>1.18770019234936</v>
      </c>
      <c r="K237" s="53" t="n">
        <f aca="true">NORMINV(RAND(),0,K$7)</f>
        <v>-0.131101784353445</v>
      </c>
      <c r="L237" s="53" t="n">
        <f aca="true">NORMINV(RAND(),0,L$7)</f>
        <v>0.0553595624620502</v>
      </c>
      <c r="M237" s="53" t="n">
        <f aca="true">NORMINV(RAND(),0,M$7)</f>
        <v>-0.270405542835671</v>
      </c>
      <c r="N237" s="53" t="n">
        <f aca="true">NORMINV(RAND(),0,N$7)</f>
        <v>-0.0606189789758799</v>
      </c>
      <c r="O237" s="53" t="n">
        <f aca="false">SUM(J237:N237)</f>
        <v>0.780933448646413</v>
      </c>
    </row>
    <row r="238" customFormat="false" ht="15" hidden="false" customHeight="false" outlineLevel="0" collapsed="false">
      <c r="A238" s="2" t="n">
        <v>230</v>
      </c>
      <c r="B238" s="53" t="n">
        <f aca="true">NORMINV(RAND(),0,B$7)</f>
        <v>1.44326528572921</v>
      </c>
      <c r="C238" s="53" t="n">
        <f aca="true">NORMINV(RAND(),0,C$7)</f>
        <v>-0.682190134568214</v>
      </c>
      <c r="D238" s="53" t="n">
        <f aca="true">NORMINV(RAND(),0,D$7)</f>
        <v>1.11907272312928</v>
      </c>
      <c r="E238" s="53" t="n">
        <f aca="true">NORMINV(RAND(),0,E$7)</f>
        <v>-0.298745404434244</v>
      </c>
      <c r="F238" s="53" t="n">
        <f aca="true">NORMINV(RAND(),0,F$7)</f>
        <v>0.266822186068893</v>
      </c>
      <c r="G238" s="53" t="n">
        <f aca="true">NORMINV(RAND(),0,G$7)</f>
        <v>0.438891182355436</v>
      </c>
      <c r="H238" s="53" t="n">
        <f aca="true">NORMINV(RAND(),0,H$7)</f>
        <v>0.0238152205588709</v>
      </c>
      <c r="I238" s="53" t="n">
        <f aca="false">SUM(B238:H238)</f>
        <v>2.31093105883923</v>
      </c>
      <c r="J238" s="53" t="n">
        <f aca="true">NORMINV(RAND(),0,J$7)</f>
        <v>1.55463084768376</v>
      </c>
      <c r="K238" s="53" t="n">
        <f aca="true">NORMINV(RAND(),0,K$7)</f>
        <v>-0.242718861754825</v>
      </c>
      <c r="L238" s="53" t="n">
        <f aca="true">NORMINV(RAND(),0,L$7)</f>
        <v>0.20058853087439</v>
      </c>
      <c r="M238" s="53" t="n">
        <f aca="true">NORMINV(RAND(),0,M$7)</f>
        <v>0.117934133346073</v>
      </c>
      <c r="N238" s="53" t="n">
        <f aca="true">NORMINV(RAND(),0,N$7)</f>
        <v>0.946169424387257</v>
      </c>
      <c r="O238" s="53" t="n">
        <f aca="false">SUM(J238:N238)</f>
        <v>2.57660407453666</v>
      </c>
    </row>
    <row r="239" customFormat="false" ht="15" hidden="false" customHeight="false" outlineLevel="0" collapsed="false">
      <c r="A239" s="2" t="n">
        <v>231</v>
      </c>
      <c r="B239" s="53" t="n">
        <f aca="true">NORMINV(RAND(),0,B$7)</f>
        <v>-0.498410503817996</v>
      </c>
      <c r="C239" s="53" t="n">
        <f aca="true">NORMINV(RAND(),0,C$7)</f>
        <v>-0.452060175195451</v>
      </c>
      <c r="D239" s="53" t="n">
        <f aca="true">NORMINV(RAND(),0,D$7)</f>
        <v>-3.23652873182628</v>
      </c>
      <c r="E239" s="53" t="n">
        <f aca="true">NORMINV(RAND(),0,E$7)</f>
        <v>0.165663812319822</v>
      </c>
      <c r="F239" s="53" t="n">
        <f aca="true">NORMINV(RAND(),0,F$7)</f>
        <v>-0.178851444523443</v>
      </c>
      <c r="G239" s="53" t="n">
        <f aca="true">NORMINV(RAND(),0,G$7)</f>
        <v>0.0459632772563921</v>
      </c>
      <c r="H239" s="53" t="n">
        <f aca="true">NORMINV(RAND(),0,H$7)</f>
        <v>-0.154333927648422</v>
      </c>
      <c r="I239" s="53" t="n">
        <f aca="false">SUM(B239:H239)</f>
        <v>-4.30855769343538</v>
      </c>
      <c r="J239" s="53" t="n">
        <f aca="true">NORMINV(RAND(),0,J$7)</f>
        <v>4.03434191490625</v>
      </c>
      <c r="K239" s="53" t="n">
        <f aca="true">NORMINV(RAND(),0,K$7)</f>
        <v>0.475976762435475</v>
      </c>
      <c r="L239" s="53" t="n">
        <f aca="true">NORMINV(RAND(),0,L$7)</f>
        <v>0.0120751120328239</v>
      </c>
      <c r="M239" s="53" t="n">
        <f aca="true">NORMINV(RAND(),0,M$7)</f>
        <v>0.571282415714724</v>
      </c>
      <c r="N239" s="53" t="n">
        <f aca="true">NORMINV(RAND(),0,N$7)</f>
        <v>-0.278886371146779</v>
      </c>
      <c r="O239" s="53" t="n">
        <f aca="false">SUM(J239:N239)</f>
        <v>4.81478983394249</v>
      </c>
    </row>
    <row r="240" customFormat="false" ht="15" hidden="false" customHeight="false" outlineLevel="0" collapsed="false">
      <c r="A240" s="2" t="n">
        <v>232</v>
      </c>
      <c r="B240" s="53" t="n">
        <f aca="true">NORMINV(RAND(),0,B$7)</f>
        <v>-0.781555037616622</v>
      </c>
      <c r="C240" s="53" t="n">
        <f aca="true">NORMINV(RAND(),0,C$7)</f>
        <v>-0.921237873405946</v>
      </c>
      <c r="D240" s="53" t="n">
        <f aca="true">NORMINV(RAND(),0,D$7)</f>
        <v>3.18981957108452</v>
      </c>
      <c r="E240" s="53" t="n">
        <f aca="true">NORMINV(RAND(),0,E$7)</f>
        <v>-0.248252041203394</v>
      </c>
      <c r="F240" s="53" t="n">
        <f aca="true">NORMINV(RAND(),0,F$7)</f>
        <v>0.45877163251108</v>
      </c>
      <c r="G240" s="53" t="n">
        <f aca="true">NORMINV(RAND(),0,G$7)</f>
        <v>-0.657918151494719</v>
      </c>
      <c r="H240" s="53" t="n">
        <f aca="true">NORMINV(RAND(),0,H$7)</f>
        <v>-0.0468442356305844</v>
      </c>
      <c r="I240" s="53" t="n">
        <f aca="false">SUM(B240:H240)</f>
        <v>0.992783864244337</v>
      </c>
      <c r="J240" s="53" t="n">
        <f aca="true">NORMINV(RAND(),0,J$7)</f>
        <v>1.10093050417975</v>
      </c>
      <c r="K240" s="53" t="n">
        <f aca="true">NORMINV(RAND(),0,K$7)</f>
        <v>0.0691504955562432</v>
      </c>
      <c r="L240" s="53" t="n">
        <f aca="true">NORMINV(RAND(),0,L$7)</f>
        <v>1.01833270546287</v>
      </c>
      <c r="M240" s="53" t="n">
        <f aca="true">NORMINV(RAND(),0,M$7)</f>
        <v>-0.107349603298806</v>
      </c>
      <c r="N240" s="53" t="n">
        <f aca="true">NORMINV(RAND(),0,N$7)</f>
        <v>0.336092527405423</v>
      </c>
      <c r="O240" s="53" t="n">
        <f aca="false">SUM(J240:N240)</f>
        <v>2.41715662930548</v>
      </c>
    </row>
    <row r="241" customFormat="false" ht="15" hidden="false" customHeight="false" outlineLevel="0" collapsed="false">
      <c r="A241" s="2" t="n">
        <v>233</v>
      </c>
      <c r="B241" s="53" t="n">
        <f aca="true">NORMINV(RAND(),0,B$7)</f>
        <v>-1.48760186286577</v>
      </c>
      <c r="C241" s="53" t="n">
        <f aca="true">NORMINV(RAND(),0,C$7)</f>
        <v>2.75776178754347</v>
      </c>
      <c r="D241" s="53" t="n">
        <f aca="true">NORMINV(RAND(),0,D$7)</f>
        <v>0.569715113851218</v>
      </c>
      <c r="E241" s="53" t="n">
        <f aca="true">NORMINV(RAND(),0,E$7)</f>
        <v>0.00201757063998147</v>
      </c>
      <c r="F241" s="53" t="n">
        <f aca="true">NORMINV(RAND(),0,F$7)</f>
        <v>-0.287627996039916</v>
      </c>
      <c r="G241" s="53" t="n">
        <f aca="true">NORMINV(RAND(),0,G$7)</f>
        <v>-0.109693522410488</v>
      </c>
      <c r="H241" s="53" t="n">
        <f aca="true">NORMINV(RAND(),0,H$7)</f>
        <v>-0.100970974959417</v>
      </c>
      <c r="I241" s="53" t="n">
        <f aca="false">SUM(B241:H241)</f>
        <v>1.34360011575908</v>
      </c>
      <c r="J241" s="53" t="n">
        <f aca="true">NORMINV(RAND(),0,J$7)</f>
        <v>-0.408473507478003</v>
      </c>
      <c r="K241" s="53" t="n">
        <f aca="true">NORMINV(RAND(),0,K$7)</f>
        <v>1.09526843359841</v>
      </c>
      <c r="L241" s="53" t="n">
        <f aca="true">NORMINV(RAND(),0,L$7)</f>
        <v>-0.405648258352492</v>
      </c>
      <c r="M241" s="53" t="n">
        <f aca="true">NORMINV(RAND(),0,M$7)</f>
        <v>0.0859110433550853</v>
      </c>
      <c r="N241" s="53" t="n">
        <f aca="true">NORMINV(RAND(),0,N$7)</f>
        <v>-0.216768620714261</v>
      </c>
      <c r="O241" s="53" t="n">
        <f aca="false">SUM(J241:N241)</f>
        <v>0.150289090408741</v>
      </c>
    </row>
    <row r="242" customFormat="false" ht="15" hidden="false" customHeight="false" outlineLevel="0" collapsed="false">
      <c r="A242" s="2" t="n">
        <v>234</v>
      </c>
      <c r="B242" s="53" t="n">
        <f aca="true">NORMINV(RAND(),0,B$7)</f>
        <v>-1.95585854935753</v>
      </c>
      <c r="C242" s="53" t="n">
        <f aca="true">NORMINV(RAND(),0,C$7)</f>
        <v>4.12332620465773</v>
      </c>
      <c r="D242" s="53" t="n">
        <f aca="true">NORMINV(RAND(),0,D$7)</f>
        <v>-0.0319680018840545</v>
      </c>
      <c r="E242" s="53" t="n">
        <f aca="true">NORMINV(RAND(),0,E$7)</f>
        <v>0.20163913174181</v>
      </c>
      <c r="F242" s="53" t="n">
        <f aca="true">NORMINV(RAND(),0,F$7)</f>
        <v>0.0437777054148242</v>
      </c>
      <c r="G242" s="53" t="n">
        <f aca="true">NORMINV(RAND(),0,G$7)</f>
        <v>-1.56085149381849</v>
      </c>
      <c r="H242" s="53" t="n">
        <f aca="true">NORMINV(RAND(),0,H$7)</f>
        <v>0.0805480844140986</v>
      </c>
      <c r="I242" s="53" t="n">
        <f aca="false">SUM(B242:H242)</f>
        <v>0.900613081168395</v>
      </c>
      <c r="J242" s="53" t="n">
        <f aca="true">NORMINV(RAND(),0,J$7)</f>
        <v>-1.08667230721544</v>
      </c>
      <c r="K242" s="53" t="n">
        <f aca="true">NORMINV(RAND(),0,K$7)</f>
        <v>-0.416952165174608</v>
      </c>
      <c r="L242" s="53" t="n">
        <f aca="true">NORMINV(RAND(),0,L$7)</f>
        <v>-0.310070837173274</v>
      </c>
      <c r="M242" s="53" t="n">
        <f aca="true">NORMINV(RAND(),0,M$7)</f>
        <v>-0.219733473743169</v>
      </c>
      <c r="N242" s="53" t="n">
        <f aca="true">NORMINV(RAND(),0,N$7)</f>
        <v>0.602551051359057</v>
      </c>
      <c r="O242" s="53" t="n">
        <f aca="false">SUM(J242:N242)</f>
        <v>-1.43087773194744</v>
      </c>
    </row>
    <row r="243" customFormat="false" ht="15" hidden="false" customHeight="false" outlineLevel="0" collapsed="false">
      <c r="A243" s="2" t="n">
        <v>235</v>
      </c>
      <c r="B243" s="53" t="n">
        <f aca="true">NORMINV(RAND(),0,B$7)</f>
        <v>-0.788530286978493</v>
      </c>
      <c r="C243" s="53" t="n">
        <f aca="true">NORMINV(RAND(),0,C$7)</f>
        <v>-0.995141849859156</v>
      </c>
      <c r="D243" s="53" t="n">
        <f aca="true">NORMINV(RAND(),0,D$7)</f>
        <v>-1.29247171405302</v>
      </c>
      <c r="E243" s="53" t="n">
        <f aca="true">NORMINV(RAND(),0,E$7)</f>
        <v>-0.499181381536573</v>
      </c>
      <c r="F243" s="53" t="n">
        <f aca="true">NORMINV(RAND(),0,F$7)</f>
        <v>0.285306924511467</v>
      </c>
      <c r="G243" s="53" t="n">
        <f aca="true">NORMINV(RAND(),0,G$7)</f>
        <v>0.712680433437954</v>
      </c>
      <c r="H243" s="53" t="n">
        <f aca="true">NORMINV(RAND(),0,H$7)</f>
        <v>-0.113781582102222</v>
      </c>
      <c r="I243" s="53" t="n">
        <f aca="false">SUM(B243:H243)</f>
        <v>-2.69111945658005</v>
      </c>
      <c r="J243" s="53" t="n">
        <f aca="true">NORMINV(RAND(),0,J$7)</f>
        <v>3.49548137960413</v>
      </c>
      <c r="K243" s="53" t="n">
        <f aca="true">NORMINV(RAND(),0,K$7)</f>
        <v>0.395492316434835</v>
      </c>
      <c r="L243" s="53" t="n">
        <f aca="true">NORMINV(RAND(),0,L$7)</f>
        <v>0.087907844526675</v>
      </c>
      <c r="M243" s="53" t="n">
        <f aca="true">NORMINV(RAND(),0,M$7)</f>
        <v>-0.131984096782668</v>
      </c>
      <c r="N243" s="53" t="n">
        <f aca="true">NORMINV(RAND(),0,N$7)</f>
        <v>0.289553532852187</v>
      </c>
      <c r="O243" s="53" t="n">
        <f aca="false">SUM(J243:N243)</f>
        <v>4.13645097663516</v>
      </c>
    </row>
    <row r="244" customFormat="false" ht="15" hidden="false" customHeight="false" outlineLevel="0" collapsed="false">
      <c r="A244" s="2" t="n">
        <v>236</v>
      </c>
      <c r="B244" s="53" t="n">
        <f aca="true">NORMINV(RAND(),0,B$7)</f>
        <v>0.552413133644359</v>
      </c>
      <c r="C244" s="53" t="n">
        <f aca="true">NORMINV(RAND(),0,C$7)</f>
        <v>-1.48474939981764</v>
      </c>
      <c r="D244" s="53" t="n">
        <f aca="true">NORMINV(RAND(),0,D$7)</f>
        <v>0.526383360737445</v>
      </c>
      <c r="E244" s="53" t="n">
        <f aca="true">NORMINV(RAND(),0,E$7)</f>
        <v>-0.0824743556950512</v>
      </c>
      <c r="F244" s="53" t="n">
        <f aca="true">NORMINV(RAND(),0,F$7)</f>
        <v>-0.385456714968065</v>
      </c>
      <c r="G244" s="53" t="n">
        <f aca="true">NORMINV(RAND(),0,G$7)</f>
        <v>-0.0440729975187297</v>
      </c>
      <c r="H244" s="53" t="n">
        <f aca="true">NORMINV(RAND(),0,H$7)</f>
        <v>0.477807752138768</v>
      </c>
      <c r="I244" s="53" t="n">
        <f aca="false">SUM(B244:H244)</f>
        <v>-0.440149221478919</v>
      </c>
      <c r="J244" s="53" t="n">
        <f aca="true">NORMINV(RAND(),0,J$7)</f>
        <v>2.22250814810425</v>
      </c>
      <c r="K244" s="53" t="n">
        <f aca="true">NORMINV(RAND(),0,K$7)</f>
        <v>-0.436990970566053</v>
      </c>
      <c r="L244" s="53" t="n">
        <f aca="true">NORMINV(RAND(),0,L$7)</f>
        <v>0.333282906042381</v>
      </c>
      <c r="M244" s="53" t="n">
        <f aca="true">NORMINV(RAND(),0,M$7)</f>
        <v>0.0766495657398693</v>
      </c>
      <c r="N244" s="53" t="n">
        <f aca="true">NORMINV(RAND(),0,N$7)</f>
        <v>-0.210521290662304</v>
      </c>
      <c r="O244" s="53" t="n">
        <f aca="false">SUM(J244:N244)</f>
        <v>1.98492835865815</v>
      </c>
    </row>
    <row r="245" customFormat="false" ht="15" hidden="false" customHeight="false" outlineLevel="0" collapsed="false">
      <c r="A245" s="2" t="n">
        <v>237</v>
      </c>
      <c r="B245" s="53" t="n">
        <f aca="true">NORMINV(RAND(),0,B$7)</f>
        <v>-0.105895452437731</v>
      </c>
      <c r="C245" s="53" t="n">
        <f aca="true">NORMINV(RAND(),0,C$7)</f>
        <v>0.537477743183247</v>
      </c>
      <c r="D245" s="53" t="n">
        <f aca="true">NORMINV(RAND(),0,D$7)</f>
        <v>0.823263056262976</v>
      </c>
      <c r="E245" s="53" t="n">
        <f aca="true">NORMINV(RAND(),0,E$7)</f>
        <v>0.100092490319178</v>
      </c>
      <c r="F245" s="53" t="n">
        <f aca="true">NORMINV(RAND(),0,F$7)</f>
        <v>-0.0367004234643937</v>
      </c>
      <c r="G245" s="53" t="n">
        <f aca="true">NORMINV(RAND(),0,G$7)</f>
        <v>3.38590796547324</v>
      </c>
      <c r="H245" s="53" t="n">
        <f aca="true">NORMINV(RAND(),0,H$7)</f>
        <v>-0.0239129303278889</v>
      </c>
      <c r="I245" s="53" t="n">
        <f aca="false">SUM(B245:H245)</f>
        <v>4.68023244900863</v>
      </c>
      <c r="J245" s="53" t="n">
        <f aca="true">NORMINV(RAND(),0,J$7)</f>
        <v>-2.52704880828761</v>
      </c>
      <c r="K245" s="53" t="n">
        <f aca="true">NORMINV(RAND(),0,K$7)</f>
        <v>0.564280218341564</v>
      </c>
      <c r="L245" s="53" t="n">
        <f aca="true">NORMINV(RAND(),0,L$7)</f>
        <v>-0.33164673699921</v>
      </c>
      <c r="M245" s="53" t="n">
        <f aca="true">NORMINV(RAND(),0,M$7)</f>
        <v>-0.107986756503248</v>
      </c>
      <c r="N245" s="53" t="n">
        <f aca="true">NORMINV(RAND(),0,N$7)</f>
        <v>0.19897303661267</v>
      </c>
      <c r="O245" s="53" t="n">
        <f aca="false">SUM(J245:N245)</f>
        <v>-2.20342904683584</v>
      </c>
    </row>
    <row r="246" customFormat="false" ht="15" hidden="false" customHeight="false" outlineLevel="0" collapsed="false">
      <c r="A246" s="2" t="n">
        <v>238</v>
      </c>
      <c r="B246" s="53" t="n">
        <f aca="true">NORMINV(RAND(),0,B$7)</f>
        <v>-0.307041788589485</v>
      </c>
      <c r="C246" s="53" t="n">
        <f aca="true">NORMINV(RAND(),0,C$7)</f>
        <v>1.39800395931652</v>
      </c>
      <c r="D246" s="53" t="n">
        <f aca="true">NORMINV(RAND(),0,D$7)</f>
        <v>-2.54212543343859</v>
      </c>
      <c r="E246" s="53" t="n">
        <f aca="true">NORMINV(RAND(),0,E$7)</f>
        <v>0.797125506854462</v>
      </c>
      <c r="F246" s="53" t="n">
        <f aca="true">NORMINV(RAND(),0,F$7)</f>
        <v>-0.0450748077307895</v>
      </c>
      <c r="G246" s="53" t="n">
        <f aca="true">NORMINV(RAND(),0,G$7)</f>
        <v>2.06168849988473</v>
      </c>
      <c r="H246" s="53" t="n">
        <f aca="true">NORMINV(RAND(),0,H$7)</f>
        <v>0.345718703790808</v>
      </c>
      <c r="I246" s="53" t="n">
        <f aca="false">SUM(B246:H246)</f>
        <v>1.70829464008765</v>
      </c>
      <c r="J246" s="53" t="n">
        <f aca="true">NORMINV(RAND(),0,J$7)</f>
        <v>3.46116408125418</v>
      </c>
      <c r="K246" s="53" t="n">
        <f aca="true">NORMINV(RAND(),0,K$7)</f>
        <v>-0.651832343377628</v>
      </c>
      <c r="L246" s="53" t="n">
        <f aca="true">NORMINV(RAND(),0,L$7)</f>
        <v>-0.530561855665234</v>
      </c>
      <c r="M246" s="53" t="n">
        <f aca="true">NORMINV(RAND(),0,M$7)</f>
        <v>-0.380384412083898</v>
      </c>
      <c r="N246" s="53" t="n">
        <f aca="true">NORMINV(RAND(),0,N$7)</f>
        <v>-0.12316530390422</v>
      </c>
      <c r="O246" s="53" t="n">
        <f aca="false">SUM(J246:N246)</f>
        <v>1.7752201662232</v>
      </c>
    </row>
    <row r="247" customFormat="false" ht="15" hidden="false" customHeight="false" outlineLevel="0" collapsed="false">
      <c r="A247" s="2" t="n">
        <v>239</v>
      </c>
      <c r="B247" s="53" t="n">
        <f aca="true">NORMINV(RAND(),0,B$7)</f>
        <v>-1.70548422523636</v>
      </c>
      <c r="C247" s="53" t="n">
        <f aca="true">NORMINV(RAND(),0,C$7)</f>
        <v>-1.90412026501969</v>
      </c>
      <c r="D247" s="53" t="n">
        <f aca="true">NORMINV(RAND(),0,D$7)</f>
        <v>3.06246503014962</v>
      </c>
      <c r="E247" s="53" t="n">
        <f aca="true">NORMINV(RAND(),0,E$7)</f>
        <v>0.198101991034417</v>
      </c>
      <c r="F247" s="53" t="n">
        <f aca="true">NORMINV(RAND(),0,F$7)</f>
        <v>0.17973094529695</v>
      </c>
      <c r="G247" s="53" t="n">
        <f aca="true">NORMINV(RAND(),0,G$7)</f>
        <v>1.51702557764789</v>
      </c>
      <c r="H247" s="53" t="n">
        <f aca="true">NORMINV(RAND(),0,H$7)</f>
        <v>-0.223757725425459</v>
      </c>
      <c r="I247" s="53" t="n">
        <f aca="false">SUM(B247:H247)</f>
        <v>1.12396132844737</v>
      </c>
      <c r="J247" s="53" t="n">
        <f aca="true">NORMINV(RAND(),0,J$7)</f>
        <v>-2.05573582716017</v>
      </c>
      <c r="K247" s="53" t="n">
        <f aca="true">NORMINV(RAND(),0,K$7)</f>
        <v>0.25057399564109</v>
      </c>
      <c r="L247" s="53" t="n">
        <f aca="true">NORMINV(RAND(),0,L$7)</f>
        <v>0.044165994832491</v>
      </c>
      <c r="M247" s="53" t="n">
        <f aca="true">NORMINV(RAND(),0,M$7)</f>
        <v>-0.306811125920252</v>
      </c>
      <c r="N247" s="53" t="n">
        <f aca="true">NORMINV(RAND(),0,N$7)</f>
        <v>0.0470970830759418</v>
      </c>
      <c r="O247" s="53" t="n">
        <f aca="false">SUM(J247:N247)</f>
        <v>-2.0207098795309</v>
      </c>
    </row>
    <row r="248" customFormat="false" ht="15" hidden="false" customHeight="false" outlineLevel="0" collapsed="false">
      <c r="A248" s="2" t="n">
        <v>240</v>
      </c>
      <c r="B248" s="53" t="n">
        <f aca="true">NORMINV(RAND(),0,B$7)</f>
        <v>-0.155981467575828</v>
      </c>
      <c r="C248" s="53" t="n">
        <f aca="true">NORMINV(RAND(),0,C$7)</f>
        <v>-0.515435750422777</v>
      </c>
      <c r="D248" s="53" t="n">
        <f aca="true">NORMINV(RAND(),0,D$7)</f>
        <v>-1.01327831313895</v>
      </c>
      <c r="E248" s="53" t="n">
        <f aca="true">NORMINV(RAND(),0,E$7)</f>
        <v>-0.213877316426432</v>
      </c>
      <c r="F248" s="53" t="n">
        <f aca="true">NORMINV(RAND(),0,F$7)</f>
        <v>0.0521335350656095</v>
      </c>
      <c r="G248" s="53" t="n">
        <f aca="true">NORMINV(RAND(),0,G$7)</f>
        <v>-0.790285382604988</v>
      </c>
      <c r="H248" s="53" t="n">
        <f aca="true">NORMINV(RAND(),0,H$7)</f>
        <v>0.0195738535657473</v>
      </c>
      <c r="I248" s="53" t="n">
        <f aca="false">SUM(B248:H248)</f>
        <v>-2.61715084153762</v>
      </c>
      <c r="J248" s="53" t="n">
        <f aca="true">NORMINV(RAND(),0,J$7)</f>
        <v>1.25754719212193</v>
      </c>
      <c r="K248" s="53" t="n">
        <f aca="true">NORMINV(RAND(),0,K$7)</f>
        <v>0.5143515207566</v>
      </c>
      <c r="L248" s="53" t="n">
        <f aca="true">NORMINV(RAND(),0,L$7)</f>
        <v>-0.146980019508551</v>
      </c>
      <c r="M248" s="53" t="n">
        <f aca="true">NORMINV(RAND(),0,M$7)</f>
        <v>0.166969761250846</v>
      </c>
      <c r="N248" s="53" t="n">
        <f aca="true">NORMINV(RAND(),0,N$7)</f>
        <v>-0.487304330124998</v>
      </c>
      <c r="O248" s="53" t="n">
        <f aca="false">SUM(J248:N248)</f>
        <v>1.30458412449583</v>
      </c>
    </row>
    <row r="249" customFormat="false" ht="15" hidden="false" customHeight="false" outlineLevel="0" collapsed="false">
      <c r="A249" s="2" t="n">
        <v>241</v>
      </c>
      <c r="B249" s="53" t="n">
        <f aca="true">NORMINV(RAND(),0,B$7)</f>
        <v>2.61592517390151</v>
      </c>
      <c r="C249" s="53" t="n">
        <f aca="true">NORMINV(RAND(),0,C$7)</f>
        <v>1.96362605041716</v>
      </c>
      <c r="D249" s="53" t="n">
        <f aca="true">NORMINV(RAND(),0,D$7)</f>
        <v>0.553620338652475</v>
      </c>
      <c r="E249" s="53" t="n">
        <f aca="true">NORMINV(RAND(),0,E$7)</f>
        <v>-0.151389201139257</v>
      </c>
      <c r="F249" s="53" t="n">
        <f aca="true">NORMINV(RAND(),0,F$7)</f>
        <v>0.403955270064633</v>
      </c>
      <c r="G249" s="53" t="n">
        <f aca="true">NORMINV(RAND(),0,G$7)</f>
        <v>-0.724885302824701</v>
      </c>
      <c r="H249" s="53" t="n">
        <f aca="true">NORMINV(RAND(),0,H$7)</f>
        <v>-0.480493099290648</v>
      </c>
      <c r="I249" s="53" t="n">
        <f aca="false">SUM(B249:H249)</f>
        <v>4.18035922978117</v>
      </c>
      <c r="J249" s="53" t="n">
        <f aca="true">NORMINV(RAND(),0,J$7)</f>
        <v>0.399994219163955</v>
      </c>
      <c r="K249" s="53" t="n">
        <f aca="true">NORMINV(RAND(),0,K$7)</f>
        <v>0.443291895160054</v>
      </c>
      <c r="L249" s="53" t="n">
        <f aca="true">NORMINV(RAND(),0,L$7)</f>
        <v>0.0887658391879592</v>
      </c>
      <c r="M249" s="53" t="n">
        <f aca="true">NORMINV(RAND(),0,M$7)</f>
        <v>0.27365144905395</v>
      </c>
      <c r="N249" s="53" t="n">
        <f aca="true">NORMINV(RAND(),0,N$7)</f>
        <v>-0.390299271105045</v>
      </c>
      <c r="O249" s="53" t="n">
        <f aca="false">SUM(J249:N249)</f>
        <v>0.815404131460873</v>
      </c>
    </row>
    <row r="250" customFormat="false" ht="15" hidden="false" customHeight="false" outlineLevel="0" collapsed="false">
      <c r="A250" s="2" t="n">
        <v>242</v>
      </c>
      <c r="B250" s="53" t="n">
        <f aca="true">NORMINV(RAND(),0,B$7)</f>
        <v>0.431464786769564</v>
      </c>
      <c r="C250" s="53" t="n">
        <f aca="true">NORMINV(RAND(),0,C$7)</f>
        <v>-0.613031588950674</v>
      </c>
      <c r="D250" s="53" t="n">
        <f aca="true">NORMINV(RAND(),0,D$7)</f>
        <v>2.54558998805128</v>
      </c>
      <c r="E250" s="53" t="n">
        <f aca="true">NORMINV(RAND(),0,E$7)</f>
        <v>-0.179799534941349</v>
      </c>
      <c r="F250" s="53" t="n">
        <f aca="true">NORMINV(RAND(),0,F$7)</f>
        <v>-0.371514838202875</v>
      </c>
      <c r="G250" s="53" t="n">
        <f aca="true">NORMINV(RAND(),0,G$7)</f>
        <v>1.58652827157856</v>
      </c>
      <c r="H250" s="53" t="n">
        <f aca="true">NORMINV(RAND(),0,H$7)</f>
        <v>0.179168980249771</v>
      </c>
      <c r="I250" s="53" t="n">
        <f aca="false">SUM(B250:H250)</f>
        <v>3.57840606455428</v>
      </c>
      <c r="J250" s="53" t="n">
        <f aca="true">NORMINV(RAND(),0,J$7)</f>
        <v>-0.915493344916628</v>
      </c>
      <c r="K250" s="53" t="n">
        <f aca="true">NORMINV(RAND(),0,K$7)</f>
        <v>0.18425219840597</v>
      </c>
      <c r="L250" s="53" t="n">
        <f aca="true">NORMINV(RAND(),0,L$7)</f>
        <v>0.258020550526698</v>
      </c>
      <c r="M250" s="53" t="n">
        <f aca="true">NORMINV(RAND(),0,M$7)</f>
        <v>0.0392327882214217</v>
      </c>
      <c r="N250" s="53" t="n">
        <f aca="true">NORMINV(RAND(),0,N$7)</f>
        <v>-0.465027842385888</v>
      </c>
      <c r="O250" s="53" t="n">
        <f aca="false">SUM(J250:N250)</f>
        <v>-0.899015650148426</v>
      </c>
    </row>
    <row r="251" customFormat="false" ht="15" hidden="false" customHeight="false" outlineLevel="0" collapsed="false">
      <c r="A251" s="2" t="n">
        <v>243</v>
      </c>
      <c r="B251" s="53" t="n">
        <f aca="true">NORMINV(RAND(),0,B$7)</f>
        <v>2.63658573608752</v>
      </c>
      <c r="C251" s="53" t="n">
        <f aca="true">NORMINV(RAND(),0,C$7)</f>
        <v>2.23719300016366</v>
      </c>
      <c r="D251" s="53" t="n">
        <f aca="true">NORMINV(RAND(),0,D$7)</f>
        <v>3.68240094870726</v>
      </c>
      <c r="E251" s="53" t="n">
        <f aca="true">NORMINV(RAND(),0,E$7)</f>
        <v>-0.848905213630159</v>
      </c>
      <c r="F251" s="53" t="n">
        <f aca="true">NORMINV(RAND(),0,F$7)</f>
        <v>0.340570774169035</v>
      </c>
      <c r="G251" s="53" t="n">
        <f aca="true">NORMINV(RAND(),0,G$7)</f>
        <v>-0.0136020340988263</v>
      </c>
      <c r="H251" s="53" t="n">
        <f aca="true">NORMINV(RAND(),0,H$7)</f>
        <v>0.326927689317617</v>
      </c>
      <c r="I251" s="53" t="n">
        <f aca="false">SUM(B251:H251)</f>
        <v>8.36117090071612</v>
      </c>
      <c r="J251" s="53" t="n">
        <f aca="true">NORMINV(RAND(),0,J$7)</f>
        <v>0.987630617955327</v>
      </c>
      <c r="K251" s="53" t="n">
        <f aca="true">NORMINV(RAND(),0,K$7)</f>
        <v>0.205353759347787</v>
      </c>
      <c r="L251" s="53" t="n">
        <f aca="true">NORMINV(RAND(),0,L$7)</f>
        <v>0.0179258561771498</v>
      </c>
      <c r="M251" s="53" t="n">
        <f aca="true">NORMINV(RAND(),0,M$7)</f>
        <v>-0.218295144245072</v>
      </c>
      <c r="N251" s="53" t="n">
        <f aca="true">NORMINV(RAND(),0,N$7)</f>
        <v>0.498186595131411</v>
      </c>
      <c r="O251" s="53" t="n">
        <f aca="false">SUM(J251:N251)</f>
        <v>1.4908016843666</v>
      </c>
    </row>
    <row r="252" customFormat="false" ht="15" hidden="false" customHeight="false" outlineLevel="0" collapsed="false">
      <c r="A252" s="2" t="n">
        <v>244</v>
      </c>
      <c r="B252" s="53" t="n">
        <f aca="true">NORMINV(RAND(),0,B$7)</f>
        <v>-1.58365939812026</v>
      </c>
      <c r="C252" s="53" t="n">
        <f aca="true">NORMINV(RAND(),0,C$7)</f>
        <v>-2.22216188044649</v>
      </c>
      <c r="D252" s="53" t="n">
        <f aca="true">NORMINV(RAND(),0,D$7)</f>
        <v>-0.207180304397348</v>
      </c>
      <c r="E252" s="53" t="n">
        <f aca="true">NORMINV(RAND(),0,E$7)</f>
        <v>0.175877602248404</v>
      </c>
      <c r="F252" s="53" t="n">
        <f aca="true">NORMINV(RAND(),0,F$7)</f>
        <v>-0.516695871316483</v>
      </c>
      <c r="G252" s="53" t="n">
        <f aca="true">NORMINV(RAND(),0,G$7)</f>
        <v>-0.0370912008189756</v>
      </c>
      <c r="H252" s="53" t="n">
        <f aca="true">NORMINV(RAND(),0,H$7)</f>
        <v>-0.0343604931209063</v>
      </c>
      <c r="I252" s="53" t="n">
        <f aca="false">SUM(B252:H252)</f>
        <v>-4.42527154597206</v>
      </c>
      <c r="J252" s="53" t="n">
        <f aca="true">NORMINV(RAND(),0,J$7)</f>
        <v>-0.920490597427439</v>
      </c>
      <c r="K252" s="53" t="n">
        <f aca="true">NORMINV(RAND(),0,K$7)</f>
        <v>0.252842363108511</v>
      </c>
      <c r="L252" s="53" t="n">
        <f aca="true">NORMINV(RAND(),0,L$7)</f>
        <v>0.761861458214478</v>
      </c>
      <c r="M252" s="53" t="n">
        <f aca="true">NORMINV(RAND(),0,M$7)</f>
        <v>-0.0623793595174839</v>
      </c>
      <c r="N252" s="53" t="n">
        <f aca="true">NORMINV(RAND(),0,N$7)</f>
        <v>0.411378087533566</v>
      </c>
      <c r="O252" s="53" t="n">
        <f aca="false">SUM(J252:N252)</f>
        <v>0.443211951911631</v>
      </c>
    </row>
    <row r="253" customFormat="false" ht="15" hidden="false" customHeight="false" outlineLevel="0" collapsed="false">
      <c r="A253" s="2" t="n">
        <v>245</v>
      </c>
      <c r="B253" s="53" t="n">
        <f aca="true">NORMINV(RAND(),0,B$7)</f>
        <v>2.80870819669829</v>
      </c>
      <c r="C253" s="53" t="n">
        <f aca="true">NORMINV(RAND(),0,C$7)</f>
        <v>-2.13186850136723</v>
      </c>
      <c r="D253" s="53" t="n">
        <f aca="true">NORMINV(RAND(),0,D$7)</f>
        <v>0.918733907153958</v>
      </c>
      <c r="E253" s="53" t="n">
        <f aca="true">NORMINV(RAND(),0,E$7)</f>
        <v>-0.102485742422037</v>
      </c>
      <c r="F253" s="53" t="n">
        <f aca="true">NORMINV(RAND(),0,F$7)</f>
        <v>-0.35148778307729</v>
      </c>
      <c r="G253" s="53" t="n">
        <f aca="true">NORMINV(RAND(),0,G$7)</f>
        <v>-0.230543945911121</v>
      </c>
      <c r="H253" s="53" t="n">
        <f aca="true">NORMINV(RAND(),0,H$7)</f>
        <v>-0.270849008398872</v>
      </c>
      <c r="I253" s="53" t="n">
        <f aca="false">SUM(B253:H253)</f>
        <v>0.640207122675698</v>
      </c>
      <c r="J253" s="53" t="n">
        <f aca="true">NORMINV(RAND(),0,J$7)</f>
        <v>1.21091700410437</v>
      </c>
      <c r="K253" s="53" t="n">
        <f aca="true">NORMINV(RAND(),0,K$7)</f>
        <v>-0.00505186950308103</v>
      </c>
      <c r="L253" s="53" t="n">
        <f aca="true">NORMINV(RAND(),0,L$7)</f>
        <v>0.162784310783602</v>
      </c>
      <c r="M253" s="53" t="n">
        <f aca="true">NORMINV(RAND(),0,M$7)</f>
        <v>-0.0306606177057438</v>
      </c>
      <c r="N253" s="53" t="n">
        <f aca="true">NORMINV(RAND(),0,N$7)</f>
        <v>0.472396168604257</v>
      </c>
      <c r="O253" s="53" t="n">
        <f aca="false">SUM(J253:N253)</f>
        <v>1.8103849962834</v>
      </c>
    </row>
    <row r="254" customFormat="false" ht="15" hidden="false" customHeight="false" outlineLevel="0" collapsed="false">
      <c r="A254" s="2" t="n">
        <v>246</v>
      </c>
      <c r="B254" s="53" t="n">
        <f aca="true">NORMINV(RAND(),0,B$7)</f>
        <v>-2.36254729997751</v>
      </c>
      <c r="C254" s="53" t="n">
        <f aca="true">NORMINV(RAND(),0,C$7)</f>
        <v>0.24433564641114</v>
      </c>
      <c r="D254" s="53" t="n">
        <f aca="true">NORMINV(RAND(),0,D$7)</f>
        <v>0.153692961588092</v>
      </c>
      <c r="E254" s="53" t="n">
        <f aca="true">NORMINV(RAND(),0,E$7)</f>
        <v>-0.827052687352672</v>
      </c>
      <c r="F254" s="53" t="n">
        <f aca="true">NORMINV(RAND(),0,F$7)</f>
        <v>-0.2248761795084</v>
      </c>
      <c r="G254" s="53" t="n">
        <f aca="true">NORMINV(RAND(),0,G$7)</f>
        <v>0.567503031815415</v>
      </c>
      <c r="H254" s="53" t="n">
        <f aca="true">NORMINV(RAND(),0,H$7)</f>
        <v>0.809128983124723</v>
      </c>
      <c r="I254" s="53" t="n">
        <f aca="false">SUM(B254:H254)</f>
        <v>-1.63981554389921</v>
      </c>
      <c r="J254" s="53" t="n">
        <f aca="true">NORMINV(RAND(),0,J$7)</f>
        <v>-2.1254738930964</v>
      </c>
      <c r="K254" s="53" t="n">
        <f aca="true">NORMINV(RAND(),0,K$7)</f>
        <v>-0.461802584000917</v>
      </c>
      <c r="L254" s="53" t="n">
        <f aca="true">NORMINV(RAND(),0,L$7)</f>
        <v>-0.0854512401723067</v>
      </c>
      <c r="M254" s="53" t="n">
        <f aca="true">NORMINV(RAND(),0,M$7)</f>
        <v>-0.115228025173067</v>
      </c>
      <c r="N254" s="53" t="n">
        <f aca="true">NORMINV(RAND(),0,N$7)</f>
        <v>0.157366572413032</v>
      </c>
      <c r="O254" s="53" t="n">
        <f aca="false">SUM(J254:N254)</f>
        <v>-2.63058917002966</v>
      </c>
    </row>
    <row r="255" customFormat="false" ht="15" hidden="false" customHeight="false" outlineLevel="0" collapsed="false">
      <c r="A255" s="2" t="n">
        <v>247</v>
      </c>
      <c r="B255" s="53" t="n">
        <f aca="true">NORMINV(RAND(),0,B$7)</f>
        <v>0.582224819874834</v>
      </c>
      <c r="C255" s="53" t="n">
        <f aca="true">NORMINV(RAND(),0,C$7)</f>
        <v>0.176066834593002</v>
      </c>
      <c r="D255" s="53" t="n">
        <f aca="true">NORMINV(RAND(),0,D$7)</f>
        <v>-0.87350361830863</v>
      </c>
      <c r="E255" s="53" t="n">
        <f aca="true">NORMINV(RAND(),0,E$7)</f>
        <v>-0.00718336006558788</v>
      </c>
      <c r="F255" s="53" t="n">
        <f aca="true">NORMINV(RAND(),0,F$7)</f>
        <v>0.02967648601206</v>
      </c>
      <c r="G255" s="53" t="n">
        <f aca="true">NORMINV(RAND(),0,G$7)</f>
        <v>0.130348521948773</v>
      </c>
      <c r="H255" s="53" t="n">
        <f aca="true">NORMINV(RAND(),0,H$7)</f>
        <v>1.10127621749765</v>
      </c>
      <c r="I255" s="53" t="n">
        <f aca="false">SUM(B255:H255)</f>
        <v>1.13890590155211</v>
      </c>
      <c r="J255" s="53" t="n">
        <f aca="true">NORMINV(RAND(),0,J$7)</f>
        <v>0.89977537076854</v>
      </c>
      <c r="K255" s="53" t="n">
        <f aca="true">NORMINV(RAND(),0,K$7)</f>
        <v>-0.373396155730757</v>
      </c>
      <c r="L255" s="53" t="n">
        <f aca="true">NORMINV(RAND(),0,L$7)</f>
        <v>-0.249395919051244</v>
      </c>
      <c r="M255" s="53" t="n">
        <f aca="true">NORMINV(RAND(),0,M$7)</f>
        <v>0.122538982175099</v>
      </c>
      <c r="N255" s="53" t="n">
        <f aca="true">NORMINV(RAND(),0,N$7)</f>
        <v>0.514859596021291</v>
      </c>
      <c r="O255" s="53" t="n">
        <f aca="false">SUM(J255:N255)</f>
        <v>0.914381874182929</v>
      </c>
    </row>
    <row r="256" customFormat="false" ht="15" hidden="false" customHeight="false" outlineLevel="0" collapsed="false">
      <c r="A256" s="2" t="n">
        <v>248</v>
      </c>
      <c r="B256" s="53" t="n">
        <f aca="true">NORMINV(RAND(),0,B$7)</f>
        <v>-1.27714770501645</v>
      </c>
      <c r="C256" s="53" t="n">
        <f aca="true">NORMINV(RAND(),0,C$7)</f>
        <v>-0.0769669016618105</v>
      </c>
      <c r="D256" s="53" t="n">
        <f aca="true">NORMINV(RAND(),0,D$7)</f>
        <v>2.42372286174551</v>
      </c>
      <c r="E256" s="53" t="n">
        <f aca="true">NORMINV(RAND(),0,E$7)</f>
        <v>-0.126872962360401</v>
      </c>
      <c r="F256" s="53" t="n">
        <f aca="true">NORMINV(RAND(),0,F$7)</f>
        <v>0.0705829635098754</v>
      </c>
      <c r="G256" s="53" t="n">
        <f aca="true">NORMINV(RAND(),0,G$7)</f>
        <v>0.208078130068615</v>
      </c>
      <c r="H256" s="53" t="n">
        <f aca="true">NORMINV(RAND(),0,H$7)</f>
        <v>0.00429821194544404</v>
      </c>
      <c r="I256" s="53" t="n">
        <f aca="false">SUM(B256:H256)</f>
        <v>1.22569459823078</v>
      </c>
      <c r="J256" s="53" t="n">
        <f aca="true">NORMINV(RAND(),0,J$7)</f>
        <v>-0.772199758200668</v>
      </c>
      <c r="K256" s="53" t="n">
        <f aca="true">NORMINV(RAND(),0,K$7)</f>
        <v>0.700182918653574</v>
      </c>
      <c r="L256" s="53" t="n">
        <f aca="true">NORMINV(RAND(),0,L$7)</f>
        <v>-0.0645663226594207</v>
      </c>
      <c r="M256" s="53" t="n">
        <f aca="true">NORMINV(RAND(),0,M$7)</f>
        <v>-0.0285980011756377</v>
      </c>
      <c r="N256" s="53" t="n">
        <f aca="true">NORMINV(RAND(),0,N$7)</f>
        <v>-0.0144278397066269</v>
      </c>
      <c r="O256" s="53" t="n">
        <f aca="false">SUM(J256:N256)</f>
        <v>-0.179609003088779</v>
      </c>
    </row>
    <row r="257" customFormat="false" ht="15" hidden="false" customHeight="false" outlineLevel="0" collapsed="false">
      <c r="A257" s="2" t="n">
        <v>249</v>
      </c>
      <c r="B257" s="53" t="n">
        <f aca="true">NORMINV(RAND(),0,B$7)</f>
        <v>0.106324149961706</v>
      </c>
      <c r="C257" s="53" t="n">
        <f aca="true">NORMINV(RAND(),0,C$7)</f>
        <v>-4.18422944056241</v>
      </c>
      <c r="D257" s="53" t="n">
        <f aca="true">NORMINV(RAND(),0,D$7)</f>
        <v>-6.10576990883716</v>
      </c>
      <c r="E257" s="53" t="n">
        <f aca="true">NORMINV(RAND(),0,E$7)</f>
        <v>-0.283479122054092</v>
      </c>
      <c r="F257" s="53" t="n">
        <f aca="true">NORMINV(RAND(),0,F$7)</f>
        <v>-0.369200566768573</v>
      </c>
      <c r="G257" s="53" t="n">
        <f aca="true">NORMINV(RAND(),0,G$7)</f>
        <v>-1.0112946383577</v>
      </c>
      <c r="H257" s="53" t="n">
        <f aca="true">NORMINV(RAND(),0,H$7)</f>
        <v>-0.339278246081697</v>
      </c>
      <c r="I257" s="53" t="n">
        <f aca="false">SUM(B257:H257)</f>
        <v>-12.1869277726999</v>
      </c>
      <c r="J257" s="53" t="n">
        <f aca="true">NORMINV(RAND(),0,J$7)</f>
        <v>2.17635835611668</v>
      </c>
      <c r="K257" s="53" t="n">
        <f aca="true">NORMINV(RAND(),0,K$7)</f>
        <v>0.270516917189216</v>
      </c>
      <c r="L257" s="53" t="n">
        <f aca="true">NORMINV(RAND(),0,L$7)</f>
        <v>0.0773958650053327</v>
      </c>
      <c r="M257" s="53" t="n">
        <f aca="true">NORMINV(RAND(),0,M$7)</f>
        <v>0.320998329990384</v>
      </c>
      <c r="N257" s="53" t="n">
        <f aca="true">NORMINV(RAND(),0,N$7)</f>
        <v>0.444667053769686</v>
      </c>
      <c r="O257" s="53" t="n">
        <f aca="false">SUM(J257:N257)</f>
        <v>3.2899365220713</v>
      </c>
    </row>
    <row r="258" customFormat="false" ht="15" hidden="false" customHeight="false" outlineLevel="0" collapsed="false">
      <c r="A258" s="2" t="n">
        <v>250</v>
      </c>
      <c r="B258" s="53" t="n">
        <f aca="true">NORMINV(RAND(),0,B$7)</f>
        <v>-0.389741902196945</v>
      </c>
      <c r="C258" s="53" t="n">
        <f aca="true">NORMINV(RAND(),0,C$7)</f>
        <v>-1.05866432268448</v>
      </c>
      <c r="D258" s="53" t="n">
        <f aca="true">NORMINV(RAND(),0,D$7)</f>
        <v>-1.45212071433032</v>
      </c>
      <c r="E258" s="53" t="n">
        <f aca="true">NORMINV(RAND(),0,E$7)</f>
        <v>0.391358734096213</v>
      </c>
      <c r="F258" s="53" t="n">
        <f aca="true">NORMINV(RAND(),0,F$7)</f>
        <v>0.649113578842941</v>
      </c>
      <c r="G258" s="53" t="n">
        <f aca="true">NORMINV(RAND(),0,G$7)</f>
        <v>1.13716009121289</v>
      </c>
      <c r="H258" s="53" t="n">
        <f aca="true">NORMINV(RAND(),0,H$7)</f>
        <v>0.668344178337541</v>
      </c>
      <c r="I258" s="53" t="n">
        <f aca="false">SUM(B258:H258)</f>
        <v>-0.0545503567221545</v>
      </c>
      <c r="J258" s="53" t="n">
        <f aca="true">NORMINV(RAND(),0,J$7)</f>
        <v>-3.22874323446797</v>
      </c>
      <c r="K258" s="53" t="n">
        <f aca="true">NORMINV(RAND(),0,K$7)</f>
        <v>-1.04863518871608</v>
      </c>
      <c r="L258" s="53" t="n">
        <f aca="true">NORMINV(RAND(),0,L$7)</f>
        <v>0.189945523581023</v>
      </c>
      <c r="M258" s="53" t="n">
        <f aca="true">NORMINV(RAND(),0,M$7)</f>
        <v>-0.0425929899514952</v>
      </c>
      <c r="N258" s="53" t="n">
        <f aca="true">NORMINV(RAND(),0,N$7)</f>
        <v>-0.18134193387325</v>
      </c>
      <c r="O258" s="53" t="n">
        <f aca="false">SUM(J258:N258)</f>
        <v>-4.31136782342777</v>
      </c>
    </row>
    <row r="259" customFormat="false" ht="15" hidden="false" customHeight="false" outlineLevel="0" collapsed="false">
      <c r="A259" s="2" t="n">
        <v>251</v>
      </c>
      <c r="B259" s="53" t="n">
        <f aca="true">NORMINV(RAND(),0,B$7)</f>
        <v>-0.195596304996162</v>
      </c>
      <c r="C259" s="53" t="n">
        <f aca="true">NORMINV(RAND(),0,C$7)</f>
        <v>-1.03430767384027</v>
      </c>
      <c r="D259" s="53" t="n">
        <f aca="true">NORMINV(RAND(),0,D$7)</f>
        <v>-2.3593964444834</v>
      </c>
      <c r="E259" s="53" t="n">
        <f aca="true">NORMINV(RAND(),0,E$7)</f>
        <v>0.238220135723393</v>
      </c>
      <c r="F259" s="53" t="n">
        <f aca="true">NORMINV(RAND(),0,F$7)</f>
        <v>0.11434776626593</v>
      </c>
      <c r="G259" s="53" t="n">
        <f aca="true">NORMINV(RAND(),0,G$7)</f>
        <v>-0.433501432192333</v>
      </c>
      <c r="H259" s="53" t="n">
        <f aca="true">NORMINV(RAND(),0,H$7)</f>
        <v>-0.361560737403597</v>
      </c>
      <c r="I259" s="53" t="n">
        <f aca="false">SUM(B259:H259)</f>
        <v>-4.03179469092644</v>
      </c>
      <c r="J259" s="53" t="n">
        <f aca="true">NORMINV(RAND(),0,J$7)</f>
        <v>0.845281430572985</v>
      </c>
      <c r="K259" s="53" t="n">
        <f aca="true">NORMINV(RAND(),0,K$7)</f>
        <v>-0.947952141661427</v>
      </c>
      <c r="L259" s="53" t="n">
        <f aca="true">NORMINV(RAND(),0,L$7)</f>
        <v>-0.204550530432463</v>
      </c>
      <c r="M259" s="53" t="n">
        <f aca="true">NORMINV(RAND(),0,M$7)</f>
        <v>-0.174535889392061</v>
      </c>
      <c r="N259" s="53" t="n">
        <f aca="true">NORMINV(RAND(),0,N$7)</f>
        <v>0.0105379158610467</v>
      </c>
      <c r="O259" s="53" t="n">
        <f aca="false">SUM(J259:N259)</f>
        <v>-0.471219215051919</v>
      </c>
    </row>
    <row r="260" customFormat="false" ht="15" hidden="false" customHeight="false" outlineLevel="0" collapsed="false">
      <c r="A260" s="2" t="n">
        <v>252</v>
      </c>
      <c r="B260" s="53" t="n">
        <f aca="true">NORMINV(RAND(),0,B$7)</f>
        <v>-0.0552675949730939</v>
      </c>
      <c r="C260" s="53" t="n">
        <f aca="true">NORMINV(RAND(),0,C$7)</f>
        <v>0.0457982666687056</v>
      </c>
      <c r="D260" s="53" t="n">
        <f aca="true">NORMINV(RAND(),0,D$7)</f>
        <v>0.180918873722756</v>
      </c>
      <c r="E260" s="53" t="n">
        <f aca="true">NORMINV(RAND(),0,E$7)</f>
        <v>0.397385012072833</v>
      </c>
      <c r="F260" s="53" t="n">
        <f aca="true">NORMINV(RAND(),0,F$7)</f>
        <v>0.207363953137324</v>
      </c>
      <c r="G260" s="53" t="n">
        <f aca="true">NORMINV(RAND(),0,G$7)</f>
        <v>-2.24925824034264</v>
      </c>
      <c r="H260" s="53" t="n">
        <f aca="true">NORMINV(RAND(),0,H$7)</f>
        <v>-0.411783634150608</v>
      </c>
      <c r="I260" s="53" t="n">
        <f aca="false">SUM(B260:H260)</f>
        <v>-1.88484336386472</v>
      </c>
      <c r="J260" s="53" t="n">
        <f aca="true">NORMINV(RAND(),0,J$7)</f>
        <v>0.691055454907606</v>
      </c>
      <c r="K260" s="53" t="n">
        <f aca="true">NORMINV(RAND(),0,K$7)</f>
        <v>-0.875435425986398</v>
      </c>
      <c r="L260" s="53" t="n">
        <f aca="true">NORMINV(RAND(),0,L$7)</f>
        <v>-0.220816336767254</v>
      </c>
      <c r="M260" s="53" t="n">
        <f aca="true">NORMINV(RAND(),0,M$7)</f>
        <v>0.0464294840810688</v>
      </c>
      <c r="N260" s="53" t="n">
        <f aca="true">NORMINV(RAND(),0,N$7)</f>
        <v>-0.257374338392417</v>
      </c>
      <c r="O260" s="53" t="n">
        <f aca="false">SUM(J260:N260)</f>
        <v>-0.616141162157394</v>
      </c>
    </row>
    <row r="261" customFormat="false" ht="15" hidden="false" customHeight="false" outlineLevel="0" collapsed="false">
      <c r="A261" s="2" t="n">
        <v>253</v>
      </c>
      <c r="B261" s="53" t="n">
        <f aca="true">NORMINV(RAND(),0,B$7)</f>
        <v>-0.454785545846766</v>
      </c>
      <c r="C261" s="53" t="n">
        <f aca="true">NORMINV(RAND(),0,C$7)</f>
        <v>-0.314048298351571</v>
      </c>
      <c r="D261" s="53" t="n">
        <f aca="true">NORMINV(RAND(),0,D$7)</f>
        <v>0.811209646794667</v>
      </c>
      <c r="E261" s="53" t="n">
        <f aca="true">NORMINV(RAND(),0,E$7)</f>
        <v>-0.333202455106678</v>
      </c>
      <c r="F261" s="53" t="n">
        <f aca="true">NORMINV(RAND(),0,F$7)</f>
        <v>0.316323753985667</v>
      </c>
      <c r="G261" s="53" t="n">
        <f aca="true">NORMINV(RAND(),0,G$7)</f>
        <v>-0.087748406860814</v>
      </c>
      <c r="H261" s="53" t="n">
        <f aca="true">NORMINV(RAND(),0,H$7)</f>
        <v>0.194113991972087</v>
      </c>
      <c r="I261" s="53" t="n">
        <f aca="false">SUM(B261:H261)</f>
        <v>0.131862686586591</v>
      </c>
      <c r="J261" s="53" t="n">
        <f aca="true">NORMINV(RAND(),0,J$7)</f>
        <v>0.733073946843724</v>
      </c>
      <c r="K261" s="53" t="n">
        <f aca="true">NORMINV(RAND(),0,K$7)</f>
        <v>-0.704320593329635</v>
      </c>
      <c r="L261" s="53" t="n">
        <f aca="true">NORMINV(RAND(),0,L$7)</f>
        <v>-0.278069261191739</v>
      </c>
      <c r="M261" s="53" t="n">
        <f aca="true">NORMINV(RAND(),0,M$7)</f>
        <v>0.154693393801413</v>
      </c>
      <c r="N261" s="53" t="n">
        <f aca="true">NORMINV(RAND(),0,N$7)</f>
        <v>0.181980558924985</v>
      </c>
      <c r="O261" s="53" t="n">
        <f aca="false">SUM(J261:N261)</f>
        <v>0.0873580450487478</v>
      </c>
    </row>
    <row r="262" customFormat="false" ht="15" hidden="false" customHeight="false" outlineLevel="0" collapsed="false">
      <c r="A262" s="2" t="n">
        <v>254</v>
      </c>
      <c r="B262" s="53" t="n">
        <f aca="true">NORMINV(RAND(),0,B$7)</f>
        <v>-0.922912472783479</v>
      </c>
      <c r="C262" s="53" t="n">
        <f aca="true">NORMINV(RAND(),0,C$7)</f>
        <v>1.08820765123567</v>
      </c>
      <c r="D262" s="53" t="n">
        <f aca="true">NORMINV(RAND(),0,D$7)</f>
        <v>0.499675882226864</v>
      </c>
      <c r="E262" s="53" t="n">
        <f aca="true">NORMINV(RAND(),0,E$7)</f>
        <v>-0.273251387326203</v>
      </c>
      <c r="F262" s="53" t="n">
        <f aca="true">NORMINV(RAND(),0,F$7)</f>
        <v>0.0141660419244096</v>
      </c>
      <c r="G262" s="53" t="n">
        <f aca="true">NORMINV(RAND(),0,G$7)</f>
        <v>1.06127115179949</v>
      </c>
      <c r="H262" s="53" t="n">
        <f aca="true">NORMINV(RAND(),0,H$7)</f>
        <v>-0.333975469547703</v>
      </c>
      <c r="I262" s="53" t="n">
        <f aca="false">SUM(B262:H262)</f>
        <v>1.13318139752905</v>
      </c>
      <c r="J262" s="53" t="n">
        <f aca="true">NORMINV(RAND(),0,J$7)</f>
        <v>-1.51588336604967</v>
      </c>
      <c r="K262" s="53" t="n">
        <f aca="true">NORMINV(RAND(),0,K$7)</f>
        <v>0.542744427940471</v>
      </c>
      <c r="L262" s="53" t="n">
        <f aca="true">NORMINV(RAND(),0,L$7)</f>
        <v>0.0851245695750677</v>
      </c>
      <c r="M262" s="53" t="n">
        <f aca="true">NORMINV(RAND(),0,M$7)</f>
        <v>-0.185961981084885</v>
      </c>
      <c r="N262" s="53" t="n">
        <f aca="true">NORMINV(RAND(),0,N$7)</f>
        <v>0.418995241446985</v>
      </c>
      <c r="O262" s="53" t="n">
        <f aca="false">SUM(J262:N262)</f>
        <v>-0.65498110817203</v>
      </c>
    </row>
    <row r="263" customFormat="false" ht="15" hidden="false" customHeight="false" outlineLevel="0" collapsed="false">
      <c r="A263" s="2" t="n">
        <v>255</v>
      </c>
      <c r="B263" s="53" t="n">
        <f aca="true">NORMINV(RAND(),0,B$7)</f>
        <v>1.39180689736981</v>
      </c>
      <c r="C263" s="53" t="n">
        <f aca="true">NORMINV(RAND(),0,C$7)</f>
        <v>-1.72689131372782</v>
      </c>
      <c r="D263" s="53" t="n">
        <f aca="true">NORMINV(RAND(),0,D$7)</f>
        <v>-3.10737444486729</v>
      </c>
      <c r="E263" s="53" t="n">
        <f aca="true">NORMINV(RAND(),0,E$7)</f>
        <v>0.944696120215805</v>
      </c>
      <c r="F263" s="53" t="n">
        <f aca="true">NORMINV(RAND(),0,F$7)</f>
        <v>0.401652196985709</v>
      </c>
      <c r="G263" s="53" t="n">
        <f aca="true">NORMINV(RAND(),0,G$7)</f>
        <v>1.54632843792936</v>
      </c>
      <c r="H263" s="53" t="n">
        <f aca="true">NORMINV(RAND(),0,H$7)</f>
        <v>-1.0364823401289</v>
      </c>
      <c r="I263" s="53" t="n">
        <f aca="false">SUM(B263:H263)</f>
        <v>-1.58626444622334</v>
      </c>
      <c r="J263" s="53" t="n">
        <f aca="true">NORMINV(RAND(),0,J$7)</f>
        <v>-1.05901998866705</v>
      </c>
      <c r="K263" s="53" t="n">
        <f aca="true">NORMINV(RAND(),0,K$7)</f>
        <v>0.962787652657482</v>
      </c>
      <c r="L263" s="53" t="n">
        <f aca="true">NORMINV(RAND(),0,L$7)</f>
        <v>0.17686605962315</v>
      </c>
      <c r="M263" s="53" t="n">
        <f aca="true">NORMINV(RAND(),0,M$7)</f>
        <v>-0.192819645161671</v>
      </c>
      <c r="N263" s="53" t="n">
        <f aca="true">NORMINV(RAND(),0,N$7)</f>
        <v>0.781457579299069</v>
      </c>
      <c r="O263" s="53" t="n">
        <f aca="false">SUM(J263:N263)</f>
        <v>0.669271657750977</v>
      </c>
    </row>
    <row r="264" customFormat="false" ht="15" hidden="false" customHeight="false" outlineLevel="0" collapsed="false">
      <c r="A264" s="2" t="n">
        <v>256</v>
      </c>
      <c r="B264" s="53" t="n">
        <f aca="true">NORMINV(RAND(),0,B$7)</f>
        <v>-0.297639945972144</v>
      </c>
      <c r="C264" s="53" t="n">
        <f aca="true">NORMINV(RAND(),0,C$7)</f>
        <v>0.0816378404666398</v>
      </c>
      <c r="D264" s="53" t="n">
        <f aca="true">NORMINV(RAND(),0,D$7)</f>
        <v>-0.43439317193296</v>
      </c>
      <c r="E264" s="53" t="n">
        <f aca="true">NORMINV(RAND(),0,E$7)</f>
        <v>0.0250604150074356</v>
      </c>
      <c r="F264" s="53" t="n">
        <f aca="true">NORMINV(RAND(),0,F$7)</f>
        <v>-0.0220385886145772</v>
      </c>
      <c r="G264" s="53" t="n">
        <f aca="true">NORMINV(RAND(),0,G$7)</f>
        <v>-0.56186337767532</v>
      </c>
      <c r="H264" s="53" t="n">
        <f aca="true">NORMINV(RAND(),0,H$7)</f>
        <v>-0.524972419206691</v>
      </c>
      <c r="I264" s="53" t="n">
        <f aca="false">SUM(B264:H264)</f>
        <v>-1.73420924792762</v>
      </c>
      <c r="J264" s="53" t="n">
        <f aca="true">NORMINV(RAND(),0,J$7)</f>
        <v>-5.02017922503677</v>
      </c>
      <c r="K264" s="53" t="n">
        <f aca="true">NORMINV(RAND(),0,K$7)</f>
        <v>-0.0749000177053214</v>
      </c>
      <c r="L264" s="53" t="n">
        <f aca="true">NORMINV(RAND(),0,L$7)</f>
        <v>-0.324224894710192</v>
      </c>
      <c r="M264" s="53" t="n">
        <f aca="true">NORMINV(RAND(),0,M$7)</f>
        <v>0.165446257029585</v>
      </c>
      <c r="N264" s="53" t="n">
        <f aca="true">NORMINV(RAND(),0,N$7)</f>
        <v>0.265940256768413</v>
      </c>
      <c r="O264" s="53" t="n">
        <f aca="false">SUM(J264:N264)</f>
        <v>-4.98791762365428</v>
      </c>
    </row>
    <row r="265" customFormat="false" ht="15" hidden="false" customHeight="false" outlineLevel="0" collapsed="false">
      <c r="A265" s="2" t="n">
        <v>257</v>
      </c>
      <c r="B265" s="53" t="n">
        <f aca="true">NORMINV(RAND(),0,B$7)</f>
        <v>-1.88779400122698</v>
      </c>
      <c r="C265" s="53" t="n">
        <f aca="true">NORMINV(RAND(),0,C$7)</f>
        <v>1.50072709015664</v>
      </c>
      <c r="D265" s="53" t="n">
        <f aca="true">NORMINV(RAND(),0,D$7)</f>
        <v>2.30257807378558</v>
      </c>
      <c r="E265" s="53" t="n">
        <f aca="true">NORMINV(RAND(),0,E$7)</f>
        <v>-0.126555937862135</v>
      </c>
      <c r="F265" s="53" t="n">
        <f aca="true">NORMINV(RAND(),0,F$7)</f>
        <v>-0.0661351490962105</v>
      </c>
      <c r="G265" s="53" t="n">
        <f aca="true">NORMINV(RAND(),0,G$7)</f>
        <v>-2.04735688766279</v>
      </c>
      <c r="H265" s="53" t="n">
        <f aca="true">NORMINV(RAND(),0,H$7)</f>
        <v>-0.355682757761761</v>
      </c>
      <c r="I265" s="53" t="n">
        <f aca="false">SUM(B265:H265)</f>
        <v>-0.680219569667653</v>
      </c>
      <c r="J265" s="53" t="n">
        <f aca="true">NORMINV(RAND(),0,J$7)</f>
        <v>-0.265229229066809</v>
      </c>
      <c r="K265" s="53" t="n">
        <f aca="true">NORMINV(RAND(),0,K$7)</f>
        <v>-0.817637695315281</v>
      </c>
      <c r="L265" s="53" t="n">
        <f aca="true">NORMINV(RAND(),0,L$7)</f>
        <v>0.0225021078771978</v>
      </c>
      <c r="M265" s="53" t="n">
        <f aca="true">NORMINV(RAND(),0,M$7)</f>
        <v>-0.194618805168192</v>
      </c>
      <c r="N265" s="53" t="n">
        <f aca="true">NORMINV(RAND(),0,N$7)</f>
        <v>-0.229210760714016</v>
      </c>
      <c r="O265" s="53" t="n">
        <f aca="false">SUM(J265:N265)</f>
        <v>-1.4841943823871</v>
      </c>
    </row>
    <row r="266" customFormat="false" ht="15" hidden="false" customHeight="false" outlineLevel="0" collapsed="false">
      <c r="A266" s="2" t="n">
        <v>258</v>
      </c>
      <c r="B266" s="53" t="n">
        <f aca="true">NORMINV(RAND(),0,B$7)</f>
        <v>0.651672685794403</v>
      </c>
      <c r="C266" s="53" t="n">
        <f aca="true">NORMINV(RAND(),0,C$7)</f>
        <v>0.982653964492929</v>
      </c>
      <c r="D266" s="53" t="n">
        <f aca="true">NORMINV(RAND(),0,D$7)</f>
        <v>-2.44595856135534</v>
      </c>
      <c r="E266" s="53" t="n">
        <f aca="true">NORMINV(RAND(),0,E$7)</f>
        <v>0.160905827437948</v>
      </c>
      <c r="F266" s="53" t="n">
        <f aca="true">NORMINV(RAND(),0,F$7)</f>
        <v>0.334046193974694</v>
      </c>
      <c r="G266" s="53" t="n">
        <f aca="true">NORMINV(RAND(),0,G$7)</f>
        <v>0.785897308859813</v>
      </c>
      <c r="H266" s="53" t="n">
        <f aca="true">NORMINV(RAND(),0,H$7)</f>
        <v>-0.203163889710126</v>
      </c>
      <c r="I266" s="53" t="n">
        <f aca="false">SUM(B266:H266)</f>
        <v>0.266053529494322</v>
      </c>
      <c r="J266" s="53" t="n">
        <f aca="true">NORMINV(RAND(),0,J$7)</f>
        <v>1.01687015128158</v>
      </c>
      <c r="K266" s="53" t="n">
        <f aca="true">NORMINV(RAND(),0,K$7)</f>
        <v>0.721952577837517</v>
      </c>
      <c r="L266" s="53" t="n">
        <f aca="true">NORMINV(RAND(),0,L$7)</f>
        <v>0.585801062951388</v>
      </c>
      <c r="M266" s="53" t="n">
        <f aca="true">NORMINV(RAND(),0,M$7)</f>
        <v>0.171343373521969</v>
      </c>
      <c r="N266" s="53" t="n">
        <f aca="true">NORMINV(RAND(),0,N$7)</f>
        <v>0.024209801139342</v>
      </c>
      <c r="O266" s="53" t="n">
        <f aca="false">SUM(J266:N266)</f>
        <v>2.52017696673179</v>
      </c>
    </row>
    <row r="267" customFormat="false" ht="15" hidden="false" customHeight="false" outlineLevel="0" collapsed="false">
      <c r="A267" s="2" t="n">
        <v>259</v>
      </c>
      <c r="B267" s="53" t="n">
        <f aca="true">NORMINV(RAND(),0,B$7)</f>
        <v>0.845322389695677</v>
      </c>
      <c r="C267" s="53" t="n">
        <f aca="true">NORMINV(RAND(),0,C$7)</f>
        <v>2.9372091484004</v>
      </c>
      <c r="D267" s="53" t="n">
        <f aca="true">NORMINV(RAND(),0,D$7)</f>
        <v>0.619096906405818</v>
      </c>
      <c r="E267" s="53" t="n">
        <f aca="true">NORMINV(RAND(),0,E$7)</f>
        <v>-0.436191472087033</v>
      </c>
      <c r="F267" s="53" t="n">
        <f aca="true">NORMINV(RAND(),0,F$7)</f>
        <v>0.0221477701744099</v>
      </c>
      <c r="G267" s="53" t="n">
        <f aca="true">NORMINV(RAND(),0,G$7)</f>
        <v>2.34920648534697</v>
      </c>
      <c r="H267" s="53" t="n">
        <f aca="true">NORMINV(RAND(),0,H$7)</f>
        <v>-0.409467297860803</v>
      </c>
      <c r="I267" s="53" t="n">
        <f aca="false">SUM(B267:H267)</f>
        <v>5.92732393007544</v>
      </c>
      <c r="J267" s="53" t="n">
        <f aca="true">NORMINV(RAND(),0,J$7)</f>
        <v>-3.07347262453979</v>
      </c>
      <c r="K267" s="53" t="n">
        <f aca="true">NORMINV(RAND(),0,K$7)</f>
        <v>-0.650900619455304</v>
      </c>
      <c r="L267" s="53" t="n">
        <f aca="true">NORMINV(RAND(),0,L$7)</f>
        <v>-0.0164255085556352</v>
      </c>
      <c r="M267" s="53" t="n">
        <f aca="true">NORMINV(RAND(),0,M$7)</f>
        <v>0.0184056544049193</v>
      </c>
      <c r="N267" s="53" t="n">
        <f aca="true">NORMINV(RAND(),0,N$7)</f>
        <v>-0.132568447025459</v>
      </c>
      <c r="O267" s="53" t="n">
        <f aca="false">SUM(J267:N267)</f>
        <v>-3.85496154517127</v>
      </c>
    </row>
    <row r="268" customFormat="false" ht="15" hidden="false" customHeight="false" outlineLevel="0" collapsed="false">
      <c r="A268" s="2" t="n">
        <v>260</v>
      </c>
      <c r="B268" s="53" t="n">
        <f aca="true">NORMINV(RAND(),0,B$7)</f>
        <v>0.455077139595184</v>
      </c>
      <c r="C268" s="53" t="n">
        <f aca="true">NORMINV(RAND(),0,C$7)</f>
        <v>-1.01885955907332</v>
      </c>
      <c r="D268" s="53" t="n">
        <f aca="true">NORMINV(RAND(),0,D$7)</f>
        <v>1.0196096027169</v>
      </c>
      <c r="E268" s="53" t="n">
        <f aca="true">NORMINV(RAND(),0,E$7)</f>
        <v>-0.210042042921836</v>
      </c>
      <c r="F268" s="53" t="n">
        <f aca="true">NORMINV(RAND(),0,F$7)</f>
        <v>-0.371210155625346</v>
      </c>
      <c r="G268" s="53" t="n">
        <f aca="true">NORMINV(RAND(),0,G$7)</f>
        <v>1.37198129977805</v>
      </c>
      <c r="H268" s="53" t="n">
        <f aca="true">NORMINV(RAND(),0,H$7)</f>
        <v>0.00128014414510848</v>
      </c>
      <c r="I268" s="53" t="n">
        <f aca="false">SUM(B268:H268)</f>
        <v>1.24783642861473</v>
      </c>
      <c r="J268" s="53" t="n">
        <f aca="true">NORMINV(RAND(),0,J$7)</f>
        <v>-0.199862403932395</v>
      </c>
      <c r="K268" s="53" t="n">
        <f aca="true">NORMINV(RAND(),0,K$7)</f>
        <v>-0.893469279976993</v>
      </c>
      <c r="L268" s="53" t="n">
        <f aca="true">NORMINV(RAND(),0,L$7)</f>
        <v>0.566607701324671</v>
      </c>
      <c r="M268" s="53" t="n">
        <f aca="true">NORMINV(RAND(),0,M$7)</f>
        <v>0.081606455862592</v>
      </c>
      <c r="N268" s="53" t="n">
        <f aca="true">NORMINV(RAND(),0,N$7)</f>
        <v>-0.257627809596033</v>
      </c>
      <c r="O268" s="53" t="n">
        <f aca="false">SUM(J268:N268)</f>
        <v>-0.702745336318158</v>
      </c>
    </row>
    <row r="269" customFormat="false" ht="15" hidden="false" customHeight="false" outlineLevel="0" collapsed="false">
      <c r="A269" s="2" t="n">
        <v>261</v>
      </c>
      <c r="B269" s="53" t="n">
        <f aca="true">NORMINV(RAND(),0,B$7)</f>
        <v>1.29620297037311</v>
      </c>
      <c r="C269" s="53" t="n">
        <f aca="true">NORMINV(RAND(),0,C$7)</f>
        <v>0.164362056541597</v>
      </c>
      <c r="D269" s="53" t="n">
        <f aca="true">NORMINV(RAND(),0,D$7)</f>
        <v>-0.875819490816958</v>
      </c>
      <c r="E269" s="53" t="n">
        <f aca="true">NORMINV(RAND(),0,E$7)</f>
        <v>-0.0500234663062236</v>
      </c>
      <c r="F269" s="53" t="n">
        <f aca="true">NORMINV(RAND(),0,F$7)</f>
        <v>-0.0276416913046125</v>
      </c>
      <c r="G269" s="53" t="n">
        <f aca="true">NORMINV(RAND(),0,G$7)</f>
        <v>-1.27461401524416</v>
      </c>
      <c r="H269" s="53" t="n">
        <f aca="true">NORMINV(RAND(),0,H$7)</f>
        <v>0.331451537538896</v>
      </c>
      <c r="I269" s="53" t="n">
        <f aca="false">SUM(B269:H269)</f>
        <v>-0.436082099218351</v>
      </c>
      <c r="J269" s="53" t="n">
        <f aca="true">NORMINV(RAND(),0,J$7)</f>
        <v>1.67611882063259</v>
      </c>
      <c r="K269" s="53" t="n">
        <f aca="true">NORMINV(RAND(),0,K$7)</f>
        <v>0.238430596642788</v>
      </c>
      <c r="L269" s="53" t="n">
        <f aca="true">NORMINV(RAND(),0,L$7)</f>
        <v>0.0384078015032876</v>
      </c>
      <c r="M269" s="53" t="n">
        <f aca="true">NORMINV(RAND(),0,M$7)</f>
        <v>-0.195719263242674</v>
      </c>
      <c r="N269" s="53" t="n">
        <f aca="true">NORMINV(RAND(),0,N$7)</f>
        <v>0.255362131538411</v>
      </c>
      <c r="O269" s="53" t="n">
        <f aca="false">SUM(J269:N269)</f>
        <v>2.01260008707441</v>
      </c>
    </row>
    <row r="270" customFormat="false" ht="15" hidden="false" customHeight="false" outlineLevel="0" collapsed="false">
      <c r="A270" s="2" t="n">
        <v>262</v>
      </c>
      <c r="B270" s="53" t="n">
        <f aca="true">NORMINV(RAND(),0,B$7)</f>
        <v>-2.03606634743331</v>
      </c>
      <c r="C270" s="53" t="n">
        <f aca="true">NORMINV(RAND(),0,C$7)</f>
        <v>-1.38704795606547</v>
      </c>
      <c r="D270" s="53" t="n">
        <f aca="true">NORMINV(RAND(),0,D$7)</f>
        <v>-2.41356017386081</v>
      </c>
      <c r="E270" s="53" t="n">
        <f aca="true">NORMINV(RAND(),0,E$7)</f>
        <v>0.293049265884569</v>
      </c>
      <c r="F270" s="53" t="n">
        <f aca="true">NORMINV(RAND(),0,F$7)</f>
        <v>0.0646640561152333</v>
      </c>
      <c r="G270" s="53" t="n">
        <f aca="true">NORMINV(RAND(),0,G$7)</f>
        <v>1.5235241113446</v>
      </c>
      <c r="H270" s="53" t="n">
        <f aca="true">NORMINV(RAND(),0,H$7)</f>
        <v>0.163668884979413</v>
      </c>
      <c r="I270" s="53" t="n">
        <f aca="false">SUM(B270:H270)</f>
        <v>-3.79176815903577</v>
      </c>
      <c r="J270" s="53" t="n">
        <f aca="true">NORMINV(RAND(),0,J$7)</f>
        <v>-3.55420459209164</v>
      </c>
      <c r="K270" s="53" t="n">
        <f aca="true">NORMINV(RAND(),0,K$7)</f>
        <v>0.30634720579656</v>
      </c>
      <c r="L270" s="53" t="n">
        <f aca="true">NORMINV(RAND(),0,L$7)</f>
        <v>0.405181000771773</v>
      </c>
      <c r="M270" s="53" t="n">
        <f aca="true">NORMINV(RAND(),0,M$7)</f>
        <v>0.336673078950023</v>
      </c>
      <c r="N270" s="53" t="n">
        <f aca="true">NORMINV(RAND(),0,N$7)</f>
        <v>-0.537671331985778</v>
      </c>
      <c r="O270" s="53" t="n">
        <f aca="false">SUM(J270:N270)</f>
        <v>-3.04367463855906</v>
      </c>
    </row>
    <row r="271" customFormat="false" ht="15" hidden="false" customHeight="false" outlineLevel="0" collapsed="false">
      <c r="A271" s="2" t="n">
        <v>263</v>
      </c>
      <c r="B271" s="53" t="n">
        <f aca="true">NORMINV(RAND(),0,B$7)</f>
        <v>-1.47980557246204</v>
      </c>
      <c r="C271" s="53" t="n">
        <f aca="true">NORMINV(RAND(),0,C$7)</f>
        <v>-1.8138032597041</v>
      </c>
      <c r="D271" s="53" t="n">
        <f aca="true">NORMINV(RAND(),0,D$7)</f>
        <v>1.50823982866079</v>
      </c>
      <c r="E271" s="53" t="n">
        <f aca="true">NORMINV(RAND(),0,E$7)</f>
        <v>-0.291419894753859</v>
      </c>
      <c r="F271" s="53" t="n">
        <f aca="true">NORMINV(RAND(),0,F$7)</f>
        <v>-0.435070598998954</v>
      </c>
      <c r="G271" s="53" t="n">
        <f aca="true">NORMINV(RAND(),0,G$7)</f>
        <v>2.46619261857203</v>
      </c>
      <c r="H271" s="53" t="n">
        <f aca="true">NORMINV(RAND(),0,H$7)</f>
        <v>0.355280172827796</v>
      </c>
      <c r="I271" s="53" t="n">
        <f aca="false">SUM(B271:H271)</f>
        <v>0.309613294141651</v>
      </c>
      <c r="J271" s="53" t="n">
        <f aca="true">NORMINV(RAND(),0,J$7)</f>
        <v>-3.81543379066669</v>
      </c>
      <c r="K271" s="53" t="n">
        <f aca="true">NORMINV(RAND(),0,K$7)</f>
        <v>0.112164036829057</v>
      </c>
      <c r="L271" s="53" t="n">
        <f aca="true">NORMINV(RAND(),0,L$7)</f>
        <v>-0.287997100180993</v>
      </c>
      <c r="M271" s="53" t="n">
        <f aca="true">NORMINV(RAND(),0,M$7)</f>
        <v>0.226382933427226</v>
      </c>
      <c r="N271" s="53" t="n">
        <f aca="true">NORMINV(RAND(),0,N$7)</f>
        <v>0.165201938254424</v>
      </c>
      <c r="O271" s="53" t="n">
        <f aca="false">SUM(J271:N271)</f>
        <v>-3.59968198233698</v>
      </c>
    </row>
    <row r="272" customFormat="false" ht="15" hidden="false" customHeight="false" outlineLevel="0" collapsed="false">
      <c r="A272" s="2" t="n">
        <v>264</v>
      </c>
      <c r="B272" s="53" t="n">
        <f aca="true">NORMINV(RAND(),0,B$7)</f>
        <v>1.67975278110741</v>
      </c>
      <c r="C272" s="53" t="n">
        <f aca="true">NORMINV(RAND(),0,C$7)</f>
        <v>-2.09441110012718</v>
      </c>
      <c r="D272" s="53" t="n">
        <f aca="true">NORMINV(RAND(),0,D$7)</f>
        <v>0.32467967637053</v>
      </c>
      <c r="E272" s="53" t="n">
        <f aca="true">NORMINV(RAND(),0,E$7)</f>
        <v>-0.518960012525109</v>
      </c>
      <c r="F272" s="53" t="n">
        <f aca="true">NORMINV(RAND(),0,F$7)</f>
        <v>0.290649455513551</v>
      </c>
      <c r="G272" s="53" t="n">
        <f aca="true">NORMINV(RAND(),0,G$7)</f>
        <v>-0.687686417554361</v>
      </c>
      <c r="H272" s="53" t="n">
        <f aca="true">NORMINV(RAND(),0,H$7)</f>
        <v>-0.513097840799944</v>
      </c>
      <c r="I272" s="53" t="n">
        <f aca="false">SUM(B272:H272)</f>
        <v>-1.5190734580151</v>
      </c>
      <c r="J272" s="53" t="n">
        <f aca="true">NORMINV(RAND(),0,J$7)</f>
        <v>0.0952652386308392</v>
      </c>
      <c r="K272" s="53" t="n">
        <f aca="true">NORMINV(RAND(),0,K$7)</f>
        <v>-0.208839374016032</v>
      </c>
      <c r="L272" s="53" t="n">
        <f aca="true">NORMINV(RAND(),0,L$7)</f>
        <v>-0.106658343429917</v>
      </c>
      <c r="M272" s="53" t="n">
        <f aca="true">NORMINV(RAND(),0,M$7)</f>
        <v>0.150541219491864</v>
      </c>
      <c r="N272" s="53" t="n">
        <f aca="true">NORMINV(RAND(),0,N$7)</f>
        <v>0.555613660879487</v>
      </c>
      <c r="O272" s="53" t="n">
        <f aca="false">SUM(J272:N272)</f>
        <v>0.485922401556241</v>
      </c>
    </row>
    <row r="273" customFormat="false" ht="15" hidden="false" customHeight="false" outlineLevel="0" collapsed="false">
      <c r="A273" s="2" t="n">
        <v>265</v>
      </c>
      <c r="B273" s="53" t="n">
        <f aca="true">NORMINV(RAND(),0,B$7)</f>
        <v>-0.645470495034309</v>
      </c>
      <c r="C273" s="53" t="n">
        <f aca="true">NORMINV(RAND(),0,C$7)</f>
        <v>-0.818885776616612</v>
      </c>
      <c r="D273" s="53" t="n">
        <f aca="true">NORMINV(RAND(),0,D$7)</f>
        <v>-2.55892258559078</v>
      </c>
      <c r="E273" s="53" t="n">
        <f aca="true">NORMINV(RAND(),0,E$7)</f>
        <v>-0.640089619778792</v>
      </c>
      <c r="F273" s="53" t="n">
        <f aca="true">NORMINV(RAND(),0,F$7)</f>
        <v>0.446653414354462</v>
      </c>
      <c r="G273" s="53" t="n">
        <f aca="true">NORMINV(RAND(),0,G$7)</f>
        <v>-2.66372037018589</v>
      </c>
      <c r="H273" s="53" t="n">
        <f aca="true">NORMINV(RAND(),0,H$7)</f>
        <v>0.259449938742382</v>
      </c>
      <c r="I273" s="53" t="n">
        <f aca="false">SUM(B273:H273)</f>
        <v>-6.62098549410953</v>
      </c>
      <c r="J273" s="53" t="n">
        <f aca="true">NORMINV(RAND(),0,J$7)</f>
        <v>-0.0328682243179521</v>
      </c>
      <c r="K273" s="53" t="n">
        <f aca="true">NORMINV(RAND(),0,K$7)</f>
        <v>0.886032045053123</v>
      </c>
      <c r="L273" s="53" t="n">
        <f aca="true">NORMINV(RAND(),0,L$7)</f>
        <v>-0.251687435463973</v>
      </c>
      <c r="M273" s="53" t="n">
        <f aca="true">NORMINV(RAND(),0,M$7)</f>
        <v>0.260825977289489</v>
      </c>
      <c r="N273" s="53" t="n">
        <f aca="true">NORMINV(RAND(),0,N$7)</f>
        <v>0.519257399566734</v>
      </c>
      <c r="O273" s="53" t="n">
        <f aca="false">SUM(J273:N273)</f>
        <v>1.38155976212742</v>
      </c>
    </row>
    <row r="274" customFormat="false" ht="15" hidden="false" customHeight="false" outlineLevel="0" collapsed="false">
      <c r="A274" s="2" t="n">
        <v>266</v>
      </c>
      <c r="B274" s="53" t="n">
        <f aca="true">NORMINV(RAND(),0,B$7)</f>
        <v>2.16879512912428</v>
      </c>
      <c r="C274" s="53" t="n">
        <f aca="true">NORMINV(RAND(),0,C$7)</f>
        <v>0.343742611221774</v>
      </c>
      <c r="D274" s="53" t="n">
        <f aca="true">NORMINV(RAND(),0,D$7)</f>
        <v>0.0943074677935343</v>
      </c>
      <c r="E274" s="53" t="n">
        <f aca="true">NORMINV(RAND(),0,E$7)</f>
        <v>-0.403518811148802</v>
      </c>
      <c r="F274" s="53" t="n">
        <f aca="true">NORMINV(RAND(),0,F$7)</f>
        <v>-0.526461409354647</v>
      </c>
      <c r="G274" s="53" t="n">
        <f aca="true">NORMINV(RAND(),0,G$7)</f>
        <v>-1.95177854927719</v>
      </c>
      <c r="H274" s="53" t="n">
        <f aca="true">NORMINV(RAND(),0,H$7)</f>
        <v>0.276610168234701</v>
      </c>
      <c r="I274" s="53" t="n">
        <f aca="false">SUM(B274:H274)</f>
        <v>0.0016966065936499</v>
      </c>
      <c r="J274" s="53" t="n">
        <f aca="true">NORMINV(RAND(),0,J$7)</f>
        <v>-1.5195645359197</v>
      </c>
      <c r="K274" s="53" t="n">
        <f aca="true">NORMINV(RAND(),0,K$7)</f>
        <v>-1.05079919202916</v>
      </c>
      <c r="L274" s="53" t="n">
        <f aca="true">NORMINV(RAND(),0,L$7)</f>
        <v>0.127555305766304</v>
      </c>
      <c r="M274" s="53" t="n">
        <f aca="true">NORMINV(RAND(),0,M$7)</f>
        <v>0.180410447374579</v>
      </c>
      <c r="N274" s="53" t="n">
        <f aca="true">NORMINV(RAND(),0,N$7)</f>
        <v>0.290046822359775</v>
      </c>
      <c r="O274" s="53" t="n">
        <f aca="false">SUM(J274:N274)</f>
        <v>-1.9723511524482</v>
      </c>
    </row>
    <row r="275" customFormat="false" ht="15" hidden="false" customHeight="false" outlineLevel="0" collapsed="false">
      <c r="A275" s="2" t="n">
        <v>267</v>
      </c>
      <c r="B275" s="53" t="n">
        <f aca="true">NORMINV(RAND(),0,B$7)</f>
        <v>0.178581528443645</v>
      </c>
      <c r="C275" s="53" t="n">
        <f aca="true">NORMINV(RAND(),0,C$7)</f>
        <v>-1.14755258229517</v>
      </c>
      <c r="D275" s="53" t="n">
        <f aca="true">NORMINV(RAND(),0,D$7)</f>
        <v>0.970871329566296</v>
      </c>
      <c r="E275" s="53" t="n">
        <f aca="true">NORMINV(RAND(),0,E$7)</f>
        <v>0.210976474321434</v>
      </c>
      <c r="F275" s="53" t="n">
        <f aca="true">NORMINV(RAND(),0,F$7)</f>
        <v>0.01863834800351</v>
      </c>
      <c r="G275" s="53" t="n">
        <f aca="true">NORMINV(RAND(),0,G$7)</f>
        <v>1.17019774706668</v>
      </c>
      <c r="H275" s="53" t="n">
        <f aca="true">NORMINV(RAND(),0,H$7)</f>
        <v>0.555686337952647</v>
      </c>
      <c r="I275" s="53" t="n">
        <f aca="false">SUM(B275:H275)</f>
        <v>1.95739918305904</v>
      </c>
      <c r="J275" s="53" t="n">
        <f aca="true">NORMINV(RAND(),0,J$7)</f>
        <v>1.17333190247031</v>
      </c>
      <c r="K275" s="53" t="n">
        <f aca="true">NORMINV(RAND(),0,K$7)</f>
        <v>-0.357799398588675</v>
      </c>
      <c r="L275" s="53" t="n">
        <f aca="true">NORMINV(RAND(),0,L$7)</f>
        <v>-0.435820743596636</v>
      </c>
      <c r="M275" s="53" t="n">
        <f aca="true">NORMINV(RAND(),0,M$7)</f>
        <v>0.348019822226157</v>
      </c>
      <c r="N275" s="53" t="n">
        <f aca="true">NORMINV(RAND(),0,N$7)</f>
        <v>0.0996157800368234</v>
      </c>
      <c r="O275" s="53" t="n">
        <f aca="false">SUM(J275:N275)</f>
        <v>0.827347362547983</v>
      </c>
    </row>
    <row r="276" customFormat="false" ht="15" hidden="false" customHeight="false" outlineLevel="0" collapsed="false">
      <c r="A276" s="2" t="n">
        <v>268</v>
      </c>
      <c r="B276" s="53" t="n">
        <f aca="true">NORMINV(RAND(),0,B$7)</f>
        <v>-3.75550072513229</v>
      </c>
      <c r="C276" s="53" t="n">
        <f aca="true">NORMINV(RAND(),0,C$7)</f>
        <v>1.92298108790331</v>
      </c>
      <c r="D276" s="53" t="n">
        <f aca="true">NORMINV(RAND(),0,D$7)</f>
        <v>-2.79022010309525</v>
      </c>
      <c r="E276" s="53" t="n">
        <f aca="true">NORMINV(RAND(),0,E$7)</f>
        <v>-0.00923370480150374</v>
      </c>
      <c r="F276" s="53" t="n">
        <f aca="true">NORMINV(RAND(),0,F$7)</f>
        <v>-0.00438104751077098</v>
      </c>
      <c r="G276" s="53" t="n">
        <f aca="true">NORMINV(RAND(),0,G$7)</f>
        <v>0.709033444441792</v>
      </c>
      <c r="H276" s="53" t="n">
        <f aca="true">NORMINV(RAND(),0,H$7)</f>
        <v>0.540894870704296</v>
      </c>
      <c r="I276" s="53" t="n">
        <f aca="false">SUM(B276:H276)</f>
        <v>-3.38642617749042</v>
      </c>
      <c r="J276" s="53" t="n">
        <f aca="true">NORMINV(RAND(),0,J$7)</f>
        <v>1.836892792185</v>
      </c>
      <c r="K276" s="53" t="n">
        <f aca="true">NORMINV(RAND(),0,K$7)</f>
        <v>-0.0844899771124276</v>
      </c>
      <c r="L276" s="53" t="n">
        <f aca="true">NORMINV(RAND(),0,L$7)</f>
        <v>-0.0525436292493071</v>
      </c>
      <c r="M276" s="53" t="n">
        <f aca="true">NORMINV(RAND(),0,M$7)</f>
        <v>0.343689321014535</v>
      </c>
      <c r="N276" s="53" t="n">
        <f aca="true">NORMINV(RAND(),0,N$7)</f>
        <v>-0.386905502383628</v>
      </c>
      <c r="O276" s="53" t="n">
        <f aca="false">SUM(J276:N276)</f>
        <v>1.65664300445418</v>
      </c>
    </row>
    <row r="277" customFormat="false" ht="15" hidden="false" customHeight="false" outlineLevel="0" collapsed="false">
      <c r="A277" s="2" t="n">
        <v>269</v>
      </c>
      <c r="B277" s="53" t="n">
        <f aca="true">NORMINV(RAND(),0,B$7)</f>
        <v>-0.563893472601724</v>
      </c>
      <c r="C277" s="53" t="n">
        <f aca="true">NORMINV(RAND(),0,C$7)</f>
        <v>0.22321313318689</v>
      </c>
      <c r="D277" s="53" t="n">
        <f aca="true">NORMINV(RAND(),0,D$7)</f>
        <v>1.38171965647106</v>
      </c>
      <c r="E277" s="53" t="n">
        <f aca="true">NORMINV(RAND(),0,E$7)</f>
        <v>0.355680861496413</v>
      </c>
      <c r="F277" s="53" t="n">
        <f aca="true">NORMINV(RAND(),0,F$7)</f>
        <v>-0.0647547011427183</v>
      </c>
      <c r="G277" s="53" t="n">
        <f aca="true">NORMINV(RAND(),0,G$7)</f>
        <v>-0.47847116602375</v>
      </c>
      <c r="H277" s="53" t="n">
        <f aca="true">NORMINV(RAND(),0,H$7)</f>
        <v>-0.119418281893999</v>
      </c>
      <c r="I277" s="53" t="n">
        <f aca="false">SUM(B277:H277)</f>
        <v>0.734076029492177</v>
      </c>
      <c r="J277" s="53" t="n">
        <f aca="true">NORMINV(RAND(),0,J$7)</f>
        <v>-0.238246119088024</v>
      </c>
      <c r="K277" s="53" t="n">
        <f aca="true">NORMINV(RAND(),0,K$7)</f>
        <v>-0.848438402446001</v>
      </c>
      <c r="L277" s="53" t="n">
        <f aca="true">NORMINV(RAND(),0,L$7)</f>
        <v>-0.507430661602913</v>
      </c>
      <c r="M277" s="53" t="n">
        <f aca="true">NORMINV(RAND(),0,M$7)</f>
        <v>0.232606384915709</v>
      </c>
      <c r="N277" s="53" t="n">
        <f aca="true">NORMINV(RAND(),0,N$7)</f>
        <v>-0.468863489830428</v>
      </c>
      <c r="O277" s="53" t="n">
        <f aca="false">SUM(J277:N277)</f>
        <v>-1.83037228805166</v>
      </c>
    </row>
    <row r="278" customFormat="false" ht="15" hidden="false" customHeight="false" outlineLevel="0" collapsed="false">
      <c r="A278" s="2" t="n">
        <v>270</v>
      </c>
      <c r="B278" s="53" t="n">
        <f aca="true">NORMINV(RAND(),0,B$7)</f>
        <v>-0.765418740776206</v>
      </c>
      <c r="C278" s="53" t="n">
        <f aca="true">NORMINV(RAND(),0,C$7)</f>
        <v>0.81366937915576</v>
      </c>
      <c r="D278" s="53" t="n">
        <f aca="true">NORMINV(RAND(),0,D$7)</f>
        <v>2.55290257796462</v>
      </c>
      <c r="E278" s="53" t="n">
        <f aca="true">NORMINV(RAND(),0,E$7)</f>
        <v>0.419531637562559</v>
      </c>
      <c r="F278" s="53" t="n">
        <f aca="true">NORMINV(RAND(),0,F$7)</f>
        <v>-0.100408706750439</v>
      </c>
      <c r="G278" s="53" t="n">
        <f aca="true">NORMINV(RAND(),0,G$7)</f>
        <v>1.58203315192152</v>
      </c>
      <c r="H278" s="53" t="n">
        <f aca="true">NORMINV(RAND(),0,H$7)</f>
        <v>0.282043870828214</v>
      </c>
      <c r="I278" s="53" t="n">
        <f aca="false">SUM(B278:H278)</f>
        <v>4.78435316990602</v>
      </c>
      <c r="J278" s="53" t="n">
        <f aca="true">NORMINV(RAND(),0,J$7)</f>
        <v>0.21387392120127</v>
      </c>
      <c r="K278" s="53" t="n">
        <f aca="true">NORMINV(RAND(),0,K$7)</f>
        <v>0.588148272706379</v>
      </c>
      <c r="L278" s="53" t="n">
        <f aca="true">NORMINV(RAND(),0,L$7)</f>
        <v>-0.16449510697668</v>
      </c>
      <c r="M278" s="53" t="n">
        <f aca="true">NORMINV(RAND(),0,M$7)</f>
        <v>0.107741486180046</v>
      </c>
      <c r="N278" s="53" t="n">
        <f aca="true">NORMINV(RAND(),0,N$7)</f>
        <v>0.372411491299615</v>
      </c>
      <c r="O278" s="53" t="n">
        <f aca="false">SUM(J278:N278)</f>
        <v>1.11768006441063</v>
      </c>
    </row>
    <row r="279" customFormat="false" ht="15" hidden="false" customHeight="false" outlineLevel="0" collapsed="false">
      <c r="A279" s="2" t="n">
        <v>271</v>
      </c>
      <c r="B279" s="53" t="n">
        <f aca="true">NORMINV(RAND(),0,B$7)</f>
        <v>-1.62657061466129</v>
      </c>
      <c r="C279" s="53" t="n">
        <f aca="true">NORMINV(RAND(),0,C$7)</f>
        <v>-0.0323192707581729</v>
      </c>
      <c r="D279" s="53" t="n">
        <f aca="true">NORMINV(RAND(),0,D$7)</f>
        <v>0.598087740911166</v>
      </c>
      <c r="E279" s="53" t="n">
        <f aca="true">NORMINV(RAND(),0,E$7)</f>
        <v>-0.0627993168331079</v>
      </c>
      <c r="F279" s="53" t="n">
        <f aca="true">NORMINV(RAND(),0,F$7)</f>
        <v>-0.186047875891205</v>
      </c>
      <c r="G279" s="53" t="n">
        <f aca="true">NORMINV(RAND(),0,G$7)</f>
        <v>2.39452812754793</v>
      </c>
      <c r="H279" s="53" t="n">
        <f aca="true">NORMINV(RAND(),0,H$7)</f>
        <v>-0.552228432745319</v>
      </c>
      <c r="I279" s="53" t="n">
        <f aca="false">SUM(B279:H279)</f>
        <v>0.532650357570004</v>
      </c>
      <c r="J279" s="53" t="n">
        <f aca="true">NORMINV(RAND(),0,J$7)</f>
        <v>-0.390544028039273</v>
      </c>
      <c r="K279" s="53" t="n">
        <f aca="true">NORMINV(RAND(),0,K$7)</f>
        <v>0.0808723668623503</v>
      </c>
      <c r="L279" s="53" t="n">
        <f aca="true">NORMINV(RAND(),0,L$7)</f>
        <v>-0.184411437030563</v>
      </c>
      <c r="M279" s="53" t="n">
        <f aca="true">NORMINV(RAND(),0,M$7)</f>
        <v>0.0266760241688035</v>
      </c>
      <c r="N279" s="53" t="n">
        <f aca="true">NORMINV(RAND(),0,N$7)</f>
        <v>0.215611908127806</v>
      </c>
      <c r="O279" s="53" t="n">
        <f aca="false">SUM(J279:N279)</f>
        <v>-0.251795165910877</v>
      </c>
    </row>
    <row r="280" customFormat="false" ht="15" hidden="false" customHeight="false" outlineLevel="0" collapsed="false">
      <c r="A280" s="2" t="n">
        <v>272</v>
      </c>
      <c r="B280" s="53" t="n">
        <f aca="true">NORMINV(RAND(),0,B$7)</f>
        <v>2.4286195094948</v>
      </c>
      <c r="C280" s="53" t="n">
        <f aca="true">NORMINV(RAND(),0,C$7)</f>
        <v>-0.214194536993929</v>
      </c>
      <c r="D280" s="53" t="n">
        <f aca="true">NORMINV(RAND(),0,D$7)</f>
        <v>-0.26546963631833</v>
      </c>
      <c r="E280" s="53" t="n">
        <f aca="true">NORMINV(RAND(),0,E$7)</f>
        <v>0.00517464557293185</v>
      </c>
      <c r="F280" s="53" t="n">
        <f aca="true">NORMINV(RAND(),0,F$7)</f>
        <v>-0.0492404041287362</v>
      </c>
      <c r="G280" s="53" t="n">
        <f aca="true">NORMINV(RAND(),0,G$7)</f>
        <v>1.48872070119632</v>
      </c>
      <c r="H280" s="53" t="n">
        <f aca="true">NORMINV(RAND(),0,H$7)</f>
        <v>-0.527278336319694</v>
      </c>
      <c r="I280" s="53" t="n">
        <f aca="false">SUM(B280:H280)</f>
        <v>2.86633194250336</v>
      </c>
      <c r="J280" s="53" t="n">
        <f aca="true">NORMINV(RAND(),0,J$7)</f>
        <v>-0.721118547430054</v>
      </c>
      <c r="K280" s="53" t="n">
        <f aca="true">NORMINV(RAND(),0,K$7)</f>
        <v>0.298571397520786</v>
      </c>
      <c r="L280" s="53" t="n">
        <f aca="true">NORMINV(RAND(),0,L$7)</f>
        <v>0.116568156700332</v>
      </c>
      <c r="M280" s="53" t="n">
        <f aca="true">NORMINV(RAND(),0,M$7)</f>
        <v>-0.00187626650102234</v>
      </c>
      <c r="N280" s="53" t="n">
        <f aca="true">NORMINV(RAND(),0,N$7)</f>
        <v>-0.159157119435947</v>
      </c>
      <c r="O280" s="53" t="n">
        <f aca="false">SUM(J280:N280)</f>
        <v>-0.467012379145905</v>
      </c>
    </row>
    <row r="281" customFormat="false" ht="15" hidden="false" customHeight="false" outlineLevel="0" collapsed="false">
      <c r="A281" s="2" t="n">
        <v>273</v>
      </c>
      <c r="B281" s="53" t="n">
        <f aca="true">NORMINV(RAND(),0,B$7)</f>
        <v>-0.6188644077192</v>
      </c>
      <c r="C281" s="53" t="n">
        <f aca="true">NORMINV(RAND(),0,C$7)</f>
        <v>-1.98586159809163</v>
      </c>
      <c r="D281" s="53" t="n">
        <f aca="true">NORMINV(RAND(),0,D$7)</f>
        <v>0.274780197669664</v>
      </c>
      <c r="E281" s="53" t="n">
        <f aca="true">NORMINV(RAND(),0,E$7)</f>
        <v>0.254590412087711</v>
      </c>
      <c r="F281" s="53" t="n">
        <f aca="true">NORMINV(RAND(),0,F$7)</f>
        <v>0.43883131657481</v>
      </c>
      <c r="G281" s="53" t="n">
        <f aca="true">NORMINV(RAND(),0,G$7)</f>
        <v>-0.436219578974596</v>
      </c>
      <c r="H281" s="53" t="n">
        <f aca="true">NORMINV(RAND(),0,H$7)</f>
        <v>0.0753429250386744</v>
      </c>
      <c r="I281" s="53" t="n">
        <f aca="false">SUM(B281:H281)</f>
        <v>-1.99740073341457</v>
      </c>
      <c r="J281" s="53" t="n">
        <f aca="true">NORMINV(RAND(),0,J$7)</f>
        <v>-0.326496809517957</v>
      </c>
      <c r="K281" s="53" t="n">
        <f aca="true">NORMINV(RAND(),0,K$7)</f>
        <v>-0.287904893002168</v>
      </c>
      <c r="L281" s="53" t="n">
        <f aca="true">NORMINV(RAND(),0,L$7)</f>
        <v>0.147116622236288</v>
      </c>
      <c r="M281" s="53" t="n">
        <f aca="true">NORMINV(RAND(),0,M$7)</f>
        <v>-0.200410799329928</v>
      </c>
      <c r="N281" s="53" t="n">
        <f aca="true">NORMINV(RAND(),0,N$7)</f>
        <v>0.0557580885056186</v>
      </c>
      <c r="O281" s="53" t="n">
        <f aca="false">SUM(J281:N281)</f>
        <v>-0.611937791108146</v>
      </c>
    </row>
    <row r="282" customFormat="false" ht="15" hidden="false" customHeight="false" outlineLevel="0" collapsed="false">
      <c r="A282" s="2" t="n">
        <v>274</v>
      </c>
      <c r="B282" s="53" t="n">
        <f aca="true">NORMINV(RAND(),0,B$7)</f>
        <v>-1.23143430963699</v>
      </c>
      <c r="C282" s="53" t="n">
        <f aca="true">NORMINV(RAND(),0,C$7)</f>
        <v>0.0145114851011102</v>
      </c>
      <c r="D282" s="53" t="n">
        <f aca="true">NORMINV(RAND(),0,D$7)</f>
        <v>0.254061619262193</v>
      </c>
      <c r="E282" s="53" t="n">
        <f aca="true">NORMINV(RAND(),0,E$7)</f>
        <v>-0.305708948568253</v>
      </c>
      <c r="F282" s="53" t="n">
        <f aca="true">NORMINV(RAND(),0,F$7)</f>
        <v>0.436065495038766</v>
      </c>
      <c r="G282" s="53" t="n">
        <f aca="true">NORMINV(RAND(),0,G$7)</f>
        <v>1.93944048169225</v>
      </c>
      <c r="H282" s="53" t="n">
        <f aca="true">NORMINV(RAND(),0,H$7)</f>
        <v>0.274990533882124</v>
      </c>
      <c r="I282" s="53" t="n">
        <f aca="false">SUM(B282:H282)</f>
        <v>1.3819263567712</v>
      </c>
      <c r="J282" s="53" t="n">
        <f aca="true">NORMINV(RAND(),0,J$7)</f>
        <v>2.68730686630627</v>
      </c>
      <c r="K282" s="53" t="n">
        <f aca="true">NORMINV(RAND(),0,K$7)</f>
        <v>0.333465585657758</v>
      </c>
      <c r="L282" s="53" t="n">
        <f aca="true">NORMINV(RAND(),0,L$7)</f>
        <v>0.634196487779392</v>
      </c>
      <c r="M282" s="53" t="n">
        <f aca="true">NORMINV(RAND(),0,M$7)</f>
        <v>-0.173134709723816</v>
      </c>
      <c r="N282" s="53" t="n">
        <f aca="true">NORMINV(RAND(),0,N$7)</f>
        <v>-0.593681585940861</v>
      </c>
      <c r="O282" s="53" t="n">
        <f aca="false">SUM(J282:N282)</f>
        <v>2.88815264407874</v>
      </c>
    </row>
    <row r="283" customFormat="false" ht="15" hidden="false" customHeight="false" outlineLevel="0" collapsed="false">
      <c r="A283" s="2" t="n">
        <v>275</v>
      </c>
      <c r="B283" s="53" t="n">
        <f aca="true">NORMINV(RAND(),0,B$7)</f>
        <v>-0.49372123992262</v>
      </c>
      <c r="C283" s="53" t="n">
        <f aca="true">NORMINV(RAND(),0,C$7)</f>
        <v>-1.58722773017792</v>
      </c>
      <c r="D283" s="53" t="n">
        <f aca="true">NORMINV(RAND(),0,D$7)</f>
        <v>-0.994926012760285</v>
      </c>
      <c r="E283" s="53" t="n">
        <f aca="true">NORMINV(RAND(),0,E$7)</f>
        <v>-0.14234029872685</v>
      </c>
      <c r="F283" s="53" t="n">
        <f aca="true">NORMINV(RAND(),0,F$7)</f>
        <v>0.254688178387035</v>
      </c>
      <c r="G283" s="53" t="n">
        <f aca="true">NORMINV(RAND(),0,G$7)</f>
        <v>-0.826465986416488</v>
      </c>
      <c r="H283" s="53" t="n">
        <f aca="true">NORMINV(RAND(),0,H$7)</f>
        <v>0.1800741156891</v>
      </c>
      <c r="I283" s="53" t="n">
        <f aca="false">SUM(B283:H283)</f>
        <v>-3.60991897392802</v>
      </c>
      <c r="J283" s="53" t="n">
        <f aca="true">NORMINV(RAND(),0,J$7)</f>
        <v>0.263465867956041</v>
      </c>
      <c r="K283" s="53" t="n">
        <f aca="true">NORMINV(RAND(),0,K$7)</f>
        <v>0.458932146148755</v>
      </c>
      <c r="L283" s="53" t="n">
        <f aca="true">NORMINV(RAND(),0,L$7)</f>
        <v>-0.83247832520202</v>
      </c>
      <c r="M283" s="53" t="n">
        <f aca="true">NORMINV(RAND(),0,M$7)</f>
        <v>0.00752581764195922</v>
      </c>
      <c r="N283" s="53" t="n">
        <f aca="true">NORMINV(RAND(),0,N$7)</f>
        <v>-0.0696703588631943</v>
      </c>
      <c r="O283" s="53" t="n">
        <f aca="false">SUM(J283:N283)</f>
        <v>-0.172224852318459</v>
      </c>
    </row>
    <row r="284" customFormat="false" ht="15" hidden="false" customHeight="false" outlineLevel="0" collapsed="false">
      <c r="A284" s="2" t="n">
        <v>276</v>
      </c>
      <c r="B284" s="53" t="n">
        <f aca="true">NORMINV(RAND(),0,B$7)</f>
        <v>1.88015180297126</v>
      </c>
      <c r="C284" s="53" t="n">
        <f aca="true">NORMINV(RAND(),0,C$7)</f>
        <v>3.50915452035837</v>
      </c>
      <c r="D284" s="53" t="n">
        <f aca="true">NORMINV(RAND(),0,D$7)</f>
        <v>0.967739183310428</v>
      </c>
      <c r="E284" s="53" t="n">
        <f aca="true">NORMINV(RAND(),0,E$7)</f>
        <v>-0.513316420289005</v>
      </c>
      <c r="F284" s="53" t="n">
        <f aca="true">NORMINV(RAND(),0,F$7)</f>
        <v>0.24624626283083</v>
      </c>
      <c r="G284" s="53" t="n">
        <f aca="true">NORMINV(RAND(),0,G$7)</f>
        <v>0.511808260956543</v>
      </c>
      <c r="H284" s="53" t="n">
        <f aca="true">NORMINV(RAND(),0,H$7)</f>
        <v>-0.628481383364177</v>
      </c>
      <c r="I284" s="53" t="n">
        <f aca="false">SUM(B284:H284)</f>
        <v>5.97330222677425</v>
      </c>
      <c r="J284" s="53" t="n">
        <f aca="true">NORMINV(RAND(),0,J$7)</f>
        <v>0.0855118572498806</v>
      </c>
      <c r="K284" s="53" t="n">
        <f aca="true">NORMINV(RAND(),0,K$7)</f>
        <v>-0.374142002626229</v>
      </c>
      <c r="L284" s="53" t="n">
        <f aca="true">NORMINV(RAND(),0,L$7)</f>
        <v>-0.243336391885445</v>
      </c>
      <c r="M284" s="53" t="n">
        <f aca="true">NORMINV(RAND(),0,M$7)</f>
        <v>0.076288368520451</v>
      </c>
      <c r="N284" s="53" t="n">
        <f aca="true">NORMINV(RAND(),0,N$7)</f>
        <v>0.4295876742704</v>
      </c>
      <c r="O284" s="53" t="n">
        <f aca="false">SUM(J284:N284)</f>
        <v>-0.026090494470942</v>
      </c>
    </row>
    <row r="285" customFormat="false" ht="15" hidden="false" customHeight="false" outlineLevel="0" collapsed="false">
      <c r="A285" s="2" t="n">
        <v>277</v>
      </c>
      <c r="B285" s="53" t="n">
        <f aca="true">NORMINV(RAND(),0,B$7)</f>
        <v>-0.0671433114053615</v>
      </c>
      <c r="C285" s="53" t="n">
        <f aca="true">NORMINV(RAND(),0,C$7)</f>
        <v>0.444219698823003</v>
      </c>
      <c r="D285" s="53" t="n">
        <f aca="true">NORMINV(RAND(),0,D$7)</f>
        <v>-2.07359567979468</v>
      </c>
      <c r="E285" s="53" t="n">
        <f aca="true">NORMINV(RAND(),0,E$7)</f>
        <v>-0.100580725969242</v>
      </c>
      <c r="F285" s="53" t="n">
        <f aca="true">NORMINV(RAND(),0,F$7)</f>
        <v>-0.3636078149679</v>
      </c>
      <c r="G285" s="53" t="n">
        <f aca="true">NORMINV(RAND(),0,G$7)</f>
        <v>0.296302931611421</v>
      </c>
      <c r="H285" s="53" t="n">
        <f aca="true">NORMINV(RAND(),0,H$7)</f>
        <v>0.0213630349982254</v>
      </c>
      <c r="I285" s="53" t="n">
        <f aca="false">SUM(B285:H285)</f>
        <v>-1.84304186670454</v>
      </c>
      <c r="J285" s="53" t="n">
        <f aca="true">NORMINV(RAND(),0,J$7)</f>
        <v>1.65242315384477</v>
      </c>
      <c r="K285" s="53" t="n">
        <f aca="true">NORMINV(RAND(),0,K$7)</f>
        <v>-0.95404626504858</v>
      </c>
      <c r="L285" s="53" t="n">
        <f aca="true">NORMINV(RAND(),0,L$7)</f>
        <v>-0.00993864300255187</v>
      </c>
      <c r="M285" s="53" t="n">
        <f aca="true">NORMINV(RAND(),0,M$7)</f>
        <v>-0.0815924142966473</v>
      </c>
      <c r="N285" s="53" t="n">
        <f aca="true">NORMINV(RAND(),0,N$7)</f>
        <v>0.277404163603951</v>
      </c>
      <c r="O285" s="53" t="n">
        <f aca="false">SUM(J285:N285)</f>
        <v>0.884249995100945</v>
      </c>
    </row>
    <row r="286" customFormat="false" ht="15" hidden="false" customHeight="false" outlineLevel="0" collapsed="false">
      <c r="A286" s="2" t="n">
        <v>278</v>
      </c>
      <c r="B286" s="53" t="n">
        <f aca="true">NORMINV(RAND(),0,B$7)</f>
        <v>-0.494717159645989</v>
      </c>
      <c r="C286" s="53" t="n">
        <f aca="true">NORMINV(RAND(),0,C$7)</f>
        <v>0.333185448825146</v>
      </c>
      <c r="D286" s="53" t="n">
        <f aca="true">NORMINV(RAND(),0,D$7)</f>
        <v>0.0833849459988644</v>
      </c>
      <c r="E286" s="53" t="n">
        <f aca="true">NORMINV(RAND(),0,E$7)</f>
        <v>0.227667098169116</v>
      </c>
      <c r="F286" s="53" t="n">
        <f aca="true">NORMINV(RAND(),0,F$7)</f>
        <v>-0.831605073350542</v>
      </c>
      <c r="G286" s="53" t="n">
        <f aca="true">NORMINV(RAND(),0,G$7)</f>
        <v>-1.51874739016413</v>
      </c>
      <c r="H286" s="53" t="n">
        <f aca="true">NORMINV(RAND(),0,H$7)</f>
        <v>0.654755332671605</v>
      </c>
      <c r="I286" s="53" t="n">
        <f aca="false">SUM(B286:H286)</f>
        <v>-1.54607679749593</v>
      </c>
      <c r="J286" s="53" t="n">
        <f aca="true">NORMINV(RAND(),0,J$7)</f>
        <v>1.60640876544433</v>
      </c>
      <c r="K286" s="53" t="n">
        <f aca="true">NORMINV(RAND(),0,K$7)</f>
        <v>0.103586316907601</v>
      </c>
      <c r="L286" s="53" t="n">
        <f aca="true">NORMINV(RAND(),0,L$7)</f>
        <v>-0.414449780582841</v>
      </c>
      <c r="M286" s="53" t="n">
        <f aca="true">NORMINV(RAND(),0,M$7)</f>
        <v>0.0698171757702404</v>
      </c>
      <c r="N286" s="53" t="n">
        <f aca="true">NORMINV(RAND(),0,N$7)</f>
        <v>-0.508712921870968</v>
      </c>
      <c r="O286" s="53" t="n">
        <f aca="false">SUM(J286:N286)</f>
        <v>0.856649555668361</v>
      </c>
    </row>
    <row r="287" customFormat="false" ht="15" hidden="false" customHeight="false" outlineLevel="0" collapsed="false">
      <c r="A287" s="2" t="n">
        <v>279</v>
      </c>
      <c r="B287" s="53" t="n">
        <f aca="true">NORMINV(RAND(),0,B$7)</f>
        <v>-0.516514869182237</v>
      </c>
      <c r="C287" s="53" t="n">
        <f aca="true">NORMINV(RAND(),0,C$7)</f>
        <v>-0.708164900624001</v>
      </c>
      <c r="D287" s="53" t="n">
        <f aca="true">NORMINV(RAND(),0,D$7)</f>
        <v>-2.74157291900878</v>
      </c>
      <c r="E287" s="53" t="n">
        <f aca="true">NORMINV(RAND(),0,E$7)</f>
        <v>0.44366595036403</v>
      </c>
      <c r="F287" s="53" t="n">
        <f aca="true">NORMINV(RAND(),0,F$7)</f>
        <v>-0.646292509559117</v>
      </c>
      <c r="G287" s="53" t="n">
        <f aca="true">NORMINV(RAND(),0,G$7)</f>
        <v>-0.428263143965044</v>
      </c>
      <c r="H287" s="53" t="n">
        <f aca="true">NORMINV(RAND(),0,H$7)</f>
        <v>-0.0868479235511299</v>
      </c>
      <c r="I287" s="53" t="n">
        <f aca="false">SUM(B287:H287)</f>
        <v>-4.68399031552628</v>
      </c>
      <c r="J287" s="53" t="n">
        <f aca="true">NORMINV(RAND(),0,J$7)</f>
        <v>1.53514243328076</v>
      </c>
      <c r="K287" s="53" t="n">
        <f aca="true">NORMINV(RAND(),0,K$7)</f>
        <v>-0.56015586640888</v>
      </c>
      <c r="L287" s="53" t="n">
        <f aca="true">NORMINV(RAND(),0,L$7)</f>
        <v>-0.204925337470465</v>
      </c>
      <c r="M287" s="53" t="n">
        <f aca="true">NORMINV(RAND(),0,M$7)</f>
        <v>0.0411928488241254</v>
      </c>
      <c r="N287" s="53" t="n">
        <f aca="true">NORMINV(RAND(),0,N$7)</f>
        <v>0.255837278313575</v>
      </c>
      <c r="O287" s="53" t="n">
        <f aca="false">SUM(J287:N287)</f>
        <v>1.06709135653912</v>
      </c>
    </row>
    <row r="288" customFormat="false" ht="15" hidden="false" customHeight="false" outlineLevel="0" collapsed="false">
      <c r="A288" s="2" t="n">
        <v>280</v>
      </c>
      <c r="B288" s="53" t="n">
        <f aca="true">NORMINV(RAND(),0,B$7)</f>
        <v>0.0154380222171339</v>
      </c>
      <c r="C288" s="53" t="n">
        <f aca="true">NORMINV(RAND(),0,C$7)</f>
        <v>-0.807522393694594</v>
      </c>
      <c r="D288" s="53" t="n">
        <f aca="true">NORMINV(RAND(),0,D$7)</f>
        <v>0.681418012338675</v>
      </c>
      <c r="E288" s="53" t="n">
        <f aca="true">NORMINV(RAND(),0,E$7)</f>
        <v>-0.218217856235446</v>
      </c>
      <c r="F288" s="53" t="n">
        <f aca="true">NORMINV(RAND(),0,F$7)</f>
        <v>-0.565100803648503</v>
      </c>
      <c r="G288" s="53" t="n">
        <f aca="true">NORMINV(RAND(),0,G$7)</f>
        <v>1.73945028592244</v>
      </c>
      <c r="H288" s="53" t="n">
        <f aca="true">NORMINV(RAND(),0,H$7)</f>
        <v>-0.546497397898034</v>
      </c>
      <c r="I288" s="53" t="n">
        <f aca="false">SUM(B288:H288)</f>
        <v>0.298967869001676</v>
      </c>
      <c r="J288" s="53" t="n">
        <f aca="true">NORMINV(RAND(),0,J$7)</f>
        <v>-0.561674367519471</v>
      </c>
      <c r="K288" s="53" t="n">
        <f aca="true">NORMINV(RAND(),0,K$7)</f>
        <v>1.02201893951129</v>
      </c>
      <c r="L288" s="53" t="n">
        <f aca="true">NORMINV(RAND(),0,L$7)</f>
        <v>0.239956454907667</v>
      </c>
      <c r="M288" s="53" t="n">
        <f aca="true">NORMINV(RAND(),0,M$7)</f>
        <v>-0.0480590592299954</v>
      </c>
      <c r="N288" s="53" t="n">
        <f aca="true">NORMINV(RAND(),0,N$7)</f>
        <v>-0.619301610775437</v>
      </c>
      <c r="O288" s="53" t="n">
        <f aca="false">SUM(J288:N288)</f>
        <v>0.0329403568940561</v>
      </c>
    </row>
    <row r="289" customFormat="false" ht="15" hidden="false" customHeight="false" outlineLevel="0" collapsed="false">
      <c r="A289" s="2" t="n">
        <v>281</v>
      </c>
      <c r="B289" s="53" t="n">
        <f aca="true">NORMINV(RAND(),0,B$7)</f>
        <v>2.24263645829929</v>
      </c>
      <c r="C289" s="53" t="n">
        <f aca="true">NORMINV(RAND(),0,C$7)</f>
        <v>2.63800123771485</v>
      </c>
      <c r="D289" s="53" t="n">
        <f aca="true">NORMINV(RAND(),0,D$7)</f>
        <v>1.68692797270041</v>
      </c>
      <c r="E289" s="53" t="n">
        <f aca="true">NORMINV(RAND(),0,E$7)</f>
        <v>-0.0756090361325029</v>
      </c>
      <c r="F289" s="53" t="n">
        <f aca="true">NORMINV(RAND(),0,F$7)</f>
        <v>-0.031712645816827</v>
      </c>
      <c r="G289" s="53" t="n">
        <f aca="true">NORMINV(RAND(),0,G$7)</f>
        <v>0.638670244726505</v>
      </c>
      <c r="H289" s="53" t="n">
        <f aca="true">NORMINV(RAND(),0,H$7)</f>
        <v>-0.0926455569318004</v>
      </c>
      <c r="I289" s="53" t="n">
        <f aca="false">SUM(B289:H289)</f>
        <v>7.00626867455994</v>
      </c>
      <c r="J289" s="53" t="n">
        <f aca="true">NORMINV(RAND(),0,J$7)</f>
        <v>3.62611424202443</v>
      </c>
      <c r="K289" s="53" t="n">
        <f aca="true">NORMINV(RAND(),0,K$7)</f>
        <v>-0.371211224819036</v>
      </c>
      <c r="L289" s="53" t="n">
        <f aca="true">NORMINV(RAND(),0,L$7)</f>
        <v>-0.482658375705037</v>
      </c>
      <c r="M289" s="53" t="n">
        <f aca="true">NORMINV(RAND(),0,M$7)</f>
        <v>-0.153135677452105</v>
      </c>
      <c r="N289" s="53" t="n">
        <f aca="true">NORMINV(RAND(),0,N$7)</f>
        <v>0.533462649640799</v>
      </c>
      <c r="O289" s="53" t="n">
        <f aca="false">SUM(J289:N289)</f>
        <v>3.15257161368905</v>
      </c>
    </row>
    <row r="290" customFormat="false" ht="15" hidden="false" customHeight="false" outlineLevel="0" collapsed="false">
      <c r="A290" s="2" t="n">
        <v>282</v>
      </c>
      <c r="B290" s="53" t="n">
        <f aca="true">NORMINV(RAND(),0,B$7)</f>
        <v>-2.17368983279446</v>
      </c>
      <c r="C290" s="53" t="n">
        <f aca="true">NORMINV(RAND(),0,C$7)</f>
        <v>-2.15878742885891</v>
      </c>
      <c r="D290" s="53" t="n">
        <f aca="true">NORMINV(RAND(),0,D$7)</f>
        <v>0.761654000927847</v>
      </c>
      <c r="E290" s="53" t="n">
        <f aca="true">NORMINV(RAND(),0,E$7)</f>
        <v>0.337620651970706</v>
      </c>
      <c r="F290" s="53" t="n">
        <f aca="true">NORMINV(RAND(),0,F$7)</f>
        <v>-0.111206779933593</v>
      </c>
      <c r="G290" s="53" t="n">
        <f aca="true">NORMINV(RAND(),0,G$7)</f>
        <v>0.231025303129856</v>
      </c>
      <c r="H290" s="53" t="n">
        <f aca="true">NORMINV(RAND(),0,H$7)</f>
        <v>-0.134784418890587</v>
      </c>
      <c r="I290" s="53" t="n">
        <f aca="false">SUM(B290:H290)</f>
        <v>-3.24816850444914</v>
      </c>
      <c r="J290" s="53" t="n">
        <f aca="true">NORMINV(RAND(),0,J$7)</f>
        <v>0.677787842545469</v>
      </c>
      <c r="K290" s="53" t="n">
        <f aca="true">NORMINV(RAND(),0,K$7)</f>
        <v>-2.07580543951708</v>
      </c>
      <c r="L290" s="53" t="n">
        <f aca="true">NORMINV(RAND(),0,L$7)</f>
        <v>0.177275232202083</v>
      </c>
      <c r="M290" s="53" t="n">
        <f aca="true">NORMINV(RAND(),0,M$7)</f>
        <v>-0.133594993954576</v>
      </c>
      <c r="N290" s="53" t="n">
        <f aca="true">NORMINV(RAND(),0,N$7)</f>
        <v>-0.321966090371327</v>
      </c>
      <c r="O290" s="53" t="n">
        <f aca="false">SUM(J290:N290)</f>
        <v>-1.67630344909543</v>
      </c>
    </row>
    <row r="291" customFormat="false" ht="15" hidden="false" customHeight="false" outlineLevel="0" collapsed="false">
      <c r="A291" s="2" t="n">
        <v>283</v>
      </c>
      <c r="B291" s="53" t="n">
        <f aca="true">NORMINV(RAND(),0,B$7)</f>
        <v>-0.49993604943565</v>
      </c>
      <c r="C291" s="53" t="n">
        <f aca="true">NORMINV(RAND(),0,C$7)</f>
        <v>-1.1296099307253</v>
      </c>
      <c r="D291" s="53" t="n">
        <f aca="true">NORMINV(RAND(),0,D$7)</f>
        <v>-3.67271384900882</v>
      </c>
      <c r="E291" s="53" t="n">
        <f aca="true">NORMINV(RAND(),0,E$7)</f>
        <v>-0.292344545455203</v>
      </c>
      <c r="F291" s="53" t="n">
        <f aca="true">NORMINV(RAND(),0,F$7)</f>
        <v>0.0817325394272002</v>
      </c>
      <c r="G291" s="53" t="n">
        <f aca="true">NORMINV(RAND(),0,G$7)</f>
        <v>0.693462123977573</v>
      </c>
      <c r="H291" s="53" t="n">
        <f aca="true">NORMINV(RAND(),0,H$7)</f>
        <v>0.352258337610842</v>
      </c>
      <c r="I291" s="53" t="n">
        <f aca="false">SUM(B291:H291)</f>
        <v>-4.46715137360935</v>
      </c>
      <c r="J291" s="53" t="n">
        <f aca="true">NORMINV(RAND(),0,J$7)</f>
        <v>-1.93276941482733</v>
      </c>
      <c r="K291" s="53" t="n">
        <f aca="true">NORMINV(RAND(),0,K$7)</f>
        <v>-0.0441739595769033</v>
      </c>
      <c r="L291" s="53" t="n">
        <f aca="true">NORMINV(RAND(),0,L$7)</f>
        <v>-0.348694291165509</v>
      </c>
      <c r="M291" s="53" t="n">
        <f aca="true">NORMINV(RAND(),0,M$7)</f>
        <v>0.026092871073651</v>
      </c>
      <c r="N291" s="53" t="n">
        <f aca="true">NORMINV(RAND(),0,N$7)</f>
        <v>0.36730689928799</v>
      </c>
      <c r="O291" s="53" t="n">
        <f aca="false">SUM(J291:N291)</f>
        <v>-1.9322378952081</v>
      </c>
    </row>
    <row r="292" customFormat="false" ht="15" hidden="false" customHeight="false" outlineLevel="0" collapsed="false">
      <c r="A292" s="2" t="n">
        <v>284</v>
      </c>
      <c r="B292" s="53" t="n">
        <f aca="true">NORMINV(RAND(),0,B$7)</f>
        <v>1.60057810214763</v>
      </c>
      <c r="C292" s="53" t="n">
        <f aca="true">NORMINV(RAND(),0,C$7)</f>
        <v>1.07112681692144</v>
      </c>
      <c r="D292" s="53" t="n">
        <f aca="true">NORMINV(RAND(),0,D$7)</f>
        <v>1.2832833909534</v>
      </c>
      <c r="E292" s="53" t="n">
        <f aca="true">NORMINV(RAND(),0,E$7)</f>
        <v>-0.0319788439471559</v>
      </c>
      <c r="F292" s="53" t="n">
        <f aca="true">NORMINV(RAND(),0,F$7)</f>
        <v>0.0917022124378579</v>
      </c>
      <c r="G292" s="53" t="n">
        <f aca="true">NORMINV(RAND(),0,G$7)</f>
        <v>0.951884747167308</v>
      </c>
      <c r="H292" s="53" t="n">
        <f aca="true">NORMINV(RAND(),0,H$7)</f>
        <v>-0.000883418793939662</v>
      </c>
      <c r="I292" s="53" t="n">
        <f aca="false">SUM(B292:H292)</f>
        <v>4.96571300688653</v>
      </c>
      <c r="J292" s="53" t="n">
        <f aca="true">NORMINV(RAND(),0,J$7)</f>
        <v>1.7556299312331</v>
      </c>
      <c r="K292" s="53" t="n">
        <f aca="true">NORMINV(RAND(),0,K$7)</f>
        <v>-0.464573578826055</v>
      </c>
      <c r="L292" s="53" t="n">
        <f aca="true">NORMINV(RAND(),0,L$7)</f>
        <v>-0.119169285995379</v>
      </c>
      <c r="M292" s="53" t="n">
        <f aca="true">NORMINV(RAND(),0,M$7)</f>
        <v>-0.352950496906002</v>
      </c>
      <c r="N292" s="53" t="n">
        <f aca="true">NORMINV(RAND(),0,N$7)</f>
        <v>-0.223959832917564</v>
      </c>
      <c r="O292" s="53" t="n">
        <f aca="false">SUM(J292:N292)</f>
        <v>0.5949767365881</v>
      </c>
    </row>
    <row r="293" customFormat="false" ht="15" hidden="false" customHeight="false" outlineLevel="0" collapsed="false">
      <c r="A293" s="2" t="n">
        <v>285</v>
      </c>
      <c r="B293" s="53" t="n">
        <f aca="true">NORMINV(RAND(),0,B$7)</f>
        <v>0.683944105617127</v>
      </c>
      <c r="C293" s="53" t="n">
        <f aca="true">NORMINV(RAND(),0,C$7)</f>
        <v>-0.77416927857879</v>
      </c>
      <c r="D293" s="53" t="n">
        <f aca="true">NORMINV(RAND(),0,D$7)</f>
        <v>0.951575178781729</v>
      </c>
      <c r="E293" s="53" t="n">
        <f aca="true">NORMINV(RAND(),0,E$7)</f>
        <v>0.273693281268298</v>
      </c>
      <c r="F293" s="53" t="n">
        <f aca="true">NORMINV(RAND(),0,F$7)</f>
        <v>0.142734701417561</v>
      </c>
      <c r="G293" s="53" t="n">
        <f aca="true">NORMINV(RAND(),0,G$7)</f>
        <v>2.17788115730598</v>
      </c>
      <c r="H293" s="53" t="n">
        <f aca="true">NORMINV(RAND(),0,H$7)</f>
        <v>0.0241591194584519</v>
      </c>
      <c r="I293" s="53" t="n">
        <f aca="false">SUM(B293:H293)</f>
        <v>3.47981826527036</v>
      </c>
      <c r="J293" s="53" t="n">
        <f aca="true">NORMINV(RAND(),0,J$7)</f>
        <v>-0.571064879329571</v>
      </c>
      <c r="K293" s="53" t="n">
        <f aca="true">NORMINV(RAND(),0,K$7)</f>
        <v>-1.60338654089472</v>
      </c>
      <c r="L293" s="53" t="n">
        <f aca="true">NORMINV(RAND(),0,L$7)</f>
        <v>0.10694399916524</v>
      </c>
      <c r="M293" s="53" t="n">
        <f aca="true">NORMINV(RAND(),0,M$7)</f>
        <v>-0.18618571993032</v>
      </c>
      <c r="N293" s="53" t="n">
        <f aca="true">NORMINV(RAND(),0,N$7)</f>
        <v>-0.136317584713596</v>
      </c>
      <c r="O293" s="53" t="n">
        <f aca="false">SUM(J293:N293)</f>
        <v>-2.39001072570297</v>
      </c>
    </row>
    <row r="294" customFormat="false" ht="15" hidden="false" customHeight="false" outlineLevel="0" collapsed="false">
      <c r="A294" s="2" t="n">
        <v>286</v>
      </c>
      <c r="B294" s="53" t="n">
        <f aca="true">NORMINV(RAND(),0,B$7)</f>
        <v>-0.317654830838179</v>
      </c>
      <c r="C294" s="53" t="n">
        <f aca="true">NORMINV(RAND(),0,C$7)</f>
        <v>-1.78647620690521</v>
      </c>
      <c r="D294" s="53" t="n">
        <f aca="true">NORMINV(RAND(),0,D$7)</f>
        <v>2.07404791485609</v>
      </c>
      <c r="E294" s="53" t="n">
        <f aca="true">NORMINV(RAND(),0,E$7)</f>
        <v>0.149188735293985</v>
      </c>
      <c r="F294" s="53" t="n">
        <f aca="true">NORMINV(RAND(),0,F$7)</f>
        <v>0.581998023070402</v>
      </c>
      <c r="G294" s="53" t="n">
        <f aca="true">NORMINV(RAND(),0,G$7)</f>
        <v>-1.2393450538276</v>
      </c>
      <c r="H294" s="53" t="n">
        <f aca="true">NORMINV(RAND(),0,H$7)</f>
        <v>0.25934461800321</v>
      </c>
      <c r="I294" s="53" t="n">
        <f aca="false">SUM(B294:H294)</f>
        <v>-0.278896800347302</v>
      </c>
      <c r="J294" s="53" t="n">
        <f aca="true">NORMINV(RAND(),0,J$7)</f>
        <v>3.94353426569621</v>
      </c>
      <c r="K294" s="53" t="n">
        <f aca="true">NORMINV(RAND(),0,K$7)</f>
        <v>-0.352846062478117</v>
      </c>
      <c r="L294" s="53" t="n">
        <f aca="true">NORMINV(RAND(),0,L$7)</f>
        <v>-0.399693091702255</v>
      </c>
      <c r="M294" s="53" t="n">
        <f aca="true">NORMINV(RAND(),0,M$7)</f>
        <v>-0.0388787738502117</v>
      </c>
      <c r="N294" s="53" t="n">
        <f aca="true">NORMINV(RAND(),0,N$7)</f>
        <v>-0.752860467367237</v>
      </c>
      <c r="O294" s="53" t="n">
        <f aca="false">SUM(J294:N294)</f>
        <v>2.39925587029838</v>
      </c>
    </row>
    <row r="295" customFormat="false" ht="15" hidden="false" customHeight="false" outlineLevel="0" collapsed="false">
      <c r="A295" s="2" t="n">
        <v>287</v>
      </c>
      <c r="B295" s="53" t="n">
        <f aca="true">NORMINV(RAND(),0,B$7)</f>
        <v>-0.00721045198525699</v>
      </c>
      <c r="C295" s="53" t="n">
        <f aca="true">NORMINV(RAND(),0,C$7)</f>
        <v>0.914977301940635</v>
      </c>
      <c r="D295" s="53" t="n">
        <f aca="true">NORMINV(RAND(),0,D$7)</f>
        <v>1.43806848189265</v>
      </c>
      <c r="E295" s="53" t="n">
        <f aca="true">NORMINV(RAND(),0,E$7)</f>
        <v>0.958564354328807</v>
      </c>
      <c r="F295" s="53" t="n">
        <f aca="true">NORMINV(RAND(),0,F$7)</f>
        <v>0.320169519052865</v>
      </c>
      <c r="G295" s="53" t="n">
        <f aca="true">NORMINV(RAND(),0,G$7)</f>
        <v>-0.140190658120304</v>
      </c>
      <c r="H295" s="53" t="n">
        <f aca="true">NORMINV(RAND(),0,H$7)</f>
        <v>-0.0655110738759015</v>
      </c>
      <c r="I295" s="53" t="n">
        <f aca="false">SUM(B295:H295)</f>
        <v>3.41886747323349</v>
      </c>
      <c r="J295" s="53" t="n">
        <f aca="true">NORMINV(RAND(),0,J$7)</f>
        <v>0.627730558771015</v>
      </c>
      <c r="K295" s="53" t="n">
        <f aca="true">NORMINV(RAND(),0,K$7)</f>
        <v>-0.566400677586991</v>
      </c>
      <c r="L295" s="53" t="n">
        <f aca="true">NORMINV(RAND(),0,L$7)</f>
        <v>-0.493710911931436</v>
      </c>
      <c r="M295" s="53" t="n">
        <f aca="true">NORMINV(RAND(),0,M$7)</f>
        <v>0.0205662705816973</v>
      </c>
      <c r="N295" s="53" t="n">
        <f aca="true">NORMINV(RAND(),0,N$7)</f>
        <v>0.0977659811526817</v>
      </c>
      <c r="O295" s="53" t="n">
        <f aca="false">SUM(J295:N295)</f>
        <v>-0.314048779013034</v>
      </c>
    </row>
    <row r="296" customFormat="false" ht="15" hidden="false" customHeight="false" outlineLevel="0" collapsed="false">
      <c r="A296" s="2" t="n">
        <v>288</v>
      </c>
      <c r="B296" s="53" t="n">
        <f aca="true">NORMINV(RAND(),0,B$7)</f>
        <v>0.750025455792937</v>
      </c>
      <c r="C296" s="53" t="n">
        <f aca="true">NORMINV(RAND(),0,C$7)</f>
        <v>-0.333163117002407</v>
      </c>
      <c r="D296" s="53" t="n">
        <f aca="true">NORMINV(RAND(),0,D$7)</f>
        <v>1.94854481677286</v>
      </c>
      <c r="E296" s="53" t="n">
        <f aca="true">NORMINV(RAND(),0,E$7)</f>
        <v>0.0205773137406611</v>
      </c>
      <c r="F296" s="53" t="n">
        <f aca="true">NORMINV(RAND(),0,F$7)</f>
        <v>0.40271413573173</v>
      </c>
      <c r="G296" s="53" t="n">
        <f aca="true">NORMINV(RAND(),0,G$7)</f>
        <v>0.792927119876998</v>
      </c>
      <c r="H296" s="53" t="n">
        <f aca="true">NORMINV(RAND(),0,H$7)</f>
        <v>-0.10897873268546</v>
      </c>
      <c r="I296" s="53" t="n">
        <f aca="false">SUM(B296:H296)</f>
        <v>3.47264699222732</v>
      </c>
      <c r="J296" s="53" t="n">
        <f aca="true">NORMINV(RAND(),0,J$7)</f>
        <v>-2.12400314382521</v>
      </c>
      <c r="K296" s="53" t="n">
        <f aca="true">NORMINV(RAND(),0,K$7)</f>
        <v>-0.30708373653013</v>
      </c>
      <c r="L296" s="53" t="n">
        <f aca="true">NORMINV(RAND(),0,L$7)</f>
        <v>0.455517895476866</v>
      </c>
      <c r="M296" s="53" t="n">
        <f aca="true">NORMINV(RAND(),0,M$7)</f>
        <v>0.192239545923624</v>
      </c>
      <c r="N296" s="53" t="n">
        <f aca="true">NORMINV(RAND(),0,N$7)</f>
        <v>-0.336485704400885</v>
      </c>
      <c r="O296" s="53" t="n">
        <f aca="false">SUM(J296:N296)</f>
        <v>-2.11981514335573</v>
      </c>
    </row>
    <row r="297" customFormat="false" ht="15" hidden="false" customHeight="false" outlineLevel="0" collapsed="false">
      <c r="A297" s="2" t="n">
        <v>289</v>
      </c>
      <c r="B297" s="53" t="n">
        <f aca="true">NORMINV(RAND(),0,B$7)</f>
        <v>-0.535437345863367</v>
      </c>
      <c r="C297" s="53" t="n">
        <f aca="true">NORMINV(RAND(),0,C$7)</f>
        <v>1.80958045900949</v>
      </c>
      <c r="D297" s="53" t="n">
        <f aca="true">NORMINV(RAND(),0,D$7)</f>
        <v>-3.98355234844559</v>
      </c>
      <c r="E297" s="53" t="n">
        <f aca="true">NORMINV(RAND(),0,E$7)</f>
        <v>0.0675952246383789</v>
      </c>
      <c r="F297" s="53" t="n">
        <f aca="true">NORMINV(RAND(),0,F$7)</f>
        <v>0.155335356017935</v>
      </c>
      <c r="G297" s="53" t="n">
        <f aca="true">NORMINV(RAND(),0,G$7)</f>
        <v>-0.508009814922778</v>
      </c>
      <c r="H297" s="53" t="n">
        <f aca="true">NORMINV(RAND(),0,H$7)</f>
        <v>0.260122637756619</v>
      </c>
      <c r="I297" s="53" t="n">
        <f aca="false">SUM(B297:H297)</f>
        <v>-2.73436583180931</v>
      </c>
      <c r="J297" s="53" t="n">
        <f aca="true">NORMINV(RAND(),0,J$7)</f>
        <v>2.20058123078574</v>
      </c>
      <c r="K297" s="53" t="n">
        <f aca="true">NORMINV(RAND(),0,K$7)</f>
        <v>-0.517159001498513</v>
      </c>
      <c r="L297" s="53" t="n">
        <f aca="true">NORMINV(RAND(),0,L$7)</f>
        <v>0.0305132890932187</v>
      </c>
      <c r="M297" s="53" t="n">
        <f aca="true">NORMINV(RAND(),0,M$7)</f>
        <v>0.560995208322293</v>
      </c>
      <c r="N297" s="53" t="n">
        <f aca="true">NORMINV(RAND(),0,N$7)</f>
        <v>0.136140245295632</v>
      </c>
      <c r="O297" s="53" t="n">
        <f aca="false">SUM(J297:N297)</f>
        <v>2.41107097199837</v>
      </c>
    </row>
    <row r="298" customFormat="false" ht="15" hidden="false" customHeight="false" outlineLevel="0" collapsed="false">
      <c r="A298" s="2" t="n">
        <v>290</v>
      </c>
      <c r="B298" s="53" t="n">
        <f aca="true">NORMINV(RAND(),0,B$7)</f>
        <v>0.570632565397242</v>
      </c>
      <c r="C298" s="53" t="n">
        <f aca="true">NORMINV(RAND(),0,C$7)</f>
        <v>-0.776919005203927</v>
      </c>
      <c r="D298" s="53" t="n">
        <f aca="true">NORMINV(RAND(),0,D$7)</f>
        <v>-1.74182891419863</v>
      </c>
      <c r="E298" s="53" t="n">
        <f aca="true">NORMINV(RAND(),0,E$7)</f>
        <v>0.0657816801773384</v>
      </c>
      <c r="F298" s="53" t="n">
        <f aca="true">NORMINV(RAND(),0,F$7)</f>
        <v>0.00725781950333643</v>
      </c>
      <c r="G298" s="53" t="n">
        <f aca="true">NORMINV(RAND(),0,G$7)</f>
        <v>1.77539876126734</v>
      </c>
      <c r="H298" s="53" t="n">
        <f aca="true">NORMINV(RAND(),0,H$7)</f>
        <v>0.193753617282007</v>
      </c>
      <c r="I298" s="53" t="n">
        <f aca="false">SUM(B298:H298)</f>
        <v>0.0940765242247073</v>
      </c>
      <c r="J298" s="53" t="n">
        <f aca="true">NORMINV(RAND(),0,J$7)</f>
        <v>-0.371222119402772</v>
      </c>
      <c r="K298" s="53" t="n">
        <f aca="true">NORMINV(RAND(),0,K$7)</f>
        <v>-1.03726056121359</v>
      </c>
      <c r="L298" s="53" t="n">
        <f aca="true">NORMINV(RAND(),0,L$7)</f>
        <v>-0.110608638338225</v>
      </c>
      <c r="M298" s="53" t="n">
        <f aca="true">NORMINV(RAND(),0,M$7)</f>
        <v>-0.179980409901532</v>
      </c>
      <c r="N298" s="53" t="n">
        <f aca="true">NORMINV(RAND(),0,N$7)</f>
        <v>0.606853480616998</v>
      </c>
      <c r="O298" s="53" t="n">
        <f aca="false">SUM(J298:N298)</f>
        <v>-1.09221824823912</v>
      </c>
    </row>
    <row r="299" customFormat="false" ht="15" hidden="false" customHeight="false" outlineLevel="0" collapsed="false">
      <c r="A299" s="2" t="n">
        <v>291</v>
      </c>
      <c r="B299" s="53" t="n">
        <f aca="true">NORMINV(RAND(),0,B$7)</f>
        <v>-0.879595992504784</v>
      </c>
      <c r="C299" s="53" t="n">
        <f aca="true">NORMINV(RAND(),0,C$7)</f>
        <v>-3.95782173760371</v>
      </c>
      <c r="D299" s="53" t="n">
        <f aca="true">NORMINV(RAND(),0,D$7)</f>
        <v>-1.35396849471057</v>
      </c>
      <c r="E299" s="53" t="n">
        <f aca="true">NORMINV(RAND(),0,E$7)</f>
        <v>-0.27527807650083</v>
      </c>
      <c r="F299" s="53" t="n">
        <f aca="true">NORMINV(RAND(),0,F$7)</f>
        <v>0.0426589977198009</v>
      </c>
      <c r="G299" s="53" t="n">
        <f aca="true">NORMINV(RAND(),0,G$7)</f>
        <v>0.701515945982723</v>
      </c>
      <c r="H299" s="53" t="n">
        <f aca="true">NORMINV(RAND(),0,H$7)</f>
        <v>0.35202815084823</v>
      </c>
      <c r="I299" s="53" t="n">
        <f aca="false">SUM(B299:H299)</f>
        <v>-5.37046120676914</v>
      </c>
      <c r="J299" s="53" t="n">
        <f aca="true">NORMINV(RAND(),0,J$7)</f>
        <v>-4.6394664665265</v>
      </c>
      <c r="K299" s="53" t="n">
        <f aca="true">NORMINV(RAND(),0,K$7)</f>
        <v>0.258677408538284</v>
      </c>
      <c r="L299" s="53" t="n">
        <f aca="true">NORMINV(RAND(),0,L$7)</f>
        <v>-0.459825110763245</v>
      </c>
      <c r="M299" s="53" t="n">
        <f aca="true">NORMINV(RAND(),0,M$7)</f>
        <v>0.0756355259588107</v>
      </c>
      <c r="N299" s="53" t="n">
        <f aca="true">NORMINV(RAND(),0,N$7)</f>
        <v>-0.0928525593756309</v>
      </c>
      <c r="O299" s="53" t="n">
        <f aca="false">SUM(J299:N299)</f>
        <v>-4.85783120216828</v>
      </c>
    </row>
    <row r="300" customFormat="false" ht="15" hidden="false" customHeight="false" outlineLevel="0" collapsed="false">
      <c r="A300" s="2" t="n">
        <v>292</v>
      </c>
      <c r="B300" s="53" t="n">
        <f aca="true">NORMINV(RAND(),0,B$7)</f>
        <v>-1.85731959904149</v>
      </c>
      <c r="C300" s="53" t="n">
        <f aca="true">NORMINV(RAND(),0,C$7)</f>
        <v>1.20867037478467</v>
      </c>
      <c r="D300" s="53" t="n">
        <f aca="true">NORMINV(RAND(),0,D$7)</f>
        <v>1.83581587997627</v>
      </c>
      <c r="E300" s="53" t="n">
        <f aca="true">NORMINV(RAND(),0,E$7)</f>
        <v>0.355623959396552</v>
      </c>
      <c r="F300" s="53" t="n">
        <f aca="true">NORMINV(RAND(),0,F$7)</f>
        <v>0.163076449862159</v>
      </c>
      <c r="G300" s="53" t="n">
        <f aca="true">NORMINV(RAND(),0,G$7)</f>
        <v>-2.76023741129196</v>
      </c>
      <c r="H300" s="53" t="n">
        <f aca="true">NORMINV(RAND(),0,H$7)</f>
        <v>-0.591721704581716</v>
      </c>
      <c r="I300" s="53" t="n">
        <f aca="false">SUM(B300:H300)</f>
        <v>-1.64609205089551</v>
      </c>
      <c r="J300" s="53" t="n">
        <f aca="true">NORMINV(RAND(),0,J$7)</f>
        <v>-2.11980257399847</v>
      </c>
      <c r="K300" s="53" t="n">
        <f aca="true">NORMINV(RAND(),0,K$7)</f>
        <v>0.144984582003664</v>
      </c>
      <c r="L300" s="53" t="n">
        <f aca="true">NORMINV(RAND(),0,L$7)</f>
        <v>0.0758742569522841</v>
      </c>
      <c r="M300" s="53" t="n">
        <f aca="true">NORMINV(RAND(),0,M$7)</f>
        <v>0.335947240527952</v>
      </c>
      <c r="N300" s="53" t="n">
        <f aca="true">NORMINV(RAND(),0,N$7)</f>
        <v>0.128842401144193</v>
      </c>
      <c r="O300" s="53" t="n">
        <f aca="false">SUM(J300:N300)</f>
        <v>-1.43415409337037</v>
      </c>
    </row>
    <row r="301" customFormat="false" ht="15" hidden="false" customHeight="false" outlineLevel="0" collapsed="false">
      <c r="A301" s="2" t="n">
        <v>293</v>
      </c>
      <c r="B301" s="53" t="n">
        <f aca="true">NORMINV(RAND(),0,B$7)</f>
        <v>-0.443986545379725</v>
      </c>
      <c r="C301" s="53" t="n">
        <f aca="true">NORMINV(RAND(),0,C$7)</f>
        <v>-1.26176548662256</v>
      </c>
      <c r="D301" s="53" t="n">
        <f aca="true">NORMINV(RAND(),0,D$7)</f>
        <v>0.323167006814738</v>
      </c>
      <c r="E301" s="53" t="n">
        <f aca="true">NORMINV(RAND(),0,E$7)</f>
        <v>-0.128241920826244</v>
      </c>
      <c r="F301" s="53" t="n">
        <f aca="true">NORMINV(RAND(),0,F$7)</f>
        <v>0.259099659123137</v>
      </c>
      <c r="G301" s="53" t="n">
        <f aca="true">NORMINV(RAND(),0,G$7)</f>
        <v>0.431127564762105</v>
      </c>
      <c r="H301" s="53" t="n">
        <f aca="true">NORMINV(RAND(),0,H$7)</f>
        <v>0.0554545455119762</v>
      </c>
      <c r="I301" s="53" t="n">
        <f aca="false">SUM(B301:H301)</f>
        <v>-0.765145176616572</v>
      </c>
      <c r="J301" s="53" t="n">
        <f aca="true">NORMINV(RAND(),0,J$7)</f>
        <v>2.00133331688451</v>
      </c>
      <c r="K301" s="53" t="n">
        <f aca="true">NORMINV(RAND(),0,K$7)</f>
        <v>-0.239908475831519</v>
      </c>
      <c r="L301" s="53" t="n">
        <f aca="true">NORMINV(RAND(),0,L$7)</f>
        <v>0.232401239123505</v>
      </c>
      <c r="M301" s="53" t="n">
        <f aca="true">NORMINV(RAND(),0,M$7)</f>
        <v>0.140007630964174</v>
      </c>
      <c r="N301" s="53" t="n">
        <f aca="true">NORMINV(RAND(),0,N$7)</f>
        <v>-0.2973093070576</v>
      </c>
      <c r="O301" s="53" t="n">
        <f aca="false">SUM(J301:N301)</f>
        <v>1.83652440408307</v>
      </c>
    </row>
    <row r="302" customFormat="false" ht="15" hidden="false" customHeight="false" outlineLevel="0" collapsed="false">
      <c r="A302" s="2" t="n">
        <v>294</v>
      </c>
      <c r="B302" s="53" t="n">
        <f aca="true">NORMINV(RAND(),0,B$7)</f>
        <v>-1.32237698730462</v>
      </c>
      <c r="C302" s="53" t="n">
        <f aca="true">NORMINV(RAND(),0,C$7)</f>
        <v>0.3336479442851</v>
      </c>
      <c r="D302" s="53" t="n">
        <f aca="true">NORMINV(RAND(),0,D$7)</f>
        <v>1.30648566754996</v>
      </c>
      <c r="E302" s="53" t="n">
        <f aca="true">NORMINV(RAND(),0,E$7)</f>
        <v>-0.091698885280767</v>
      </c>
      <c r="F302" s="53" t="n">
        <f aca="true">NORMINV(RAND(),0,F$7)</f>
        <v>-0.341984597201093</v>
      </c>
      <c r="G302" s="53" t="n">
        <f aca="true">NORMINV(RAND(),0,G$7)</f>
        <v>0.7696771081149</v>
      </c>
      <c r="H302" s="53" t="n">
        <f aca="true">NORMINV(RAND(),0,H$7)</f>
        <v>-0.263105981831872</v>
      </c>
      <c r="I302" s="53" t="n">
        <f aca="false">SUM(B302:H302)</f>
        <v>0.390644268331614</v>
      </c>
      <c r="J302" s="53" t="n">
        <f aca="true">NORMINV(RAND(),0,J$7)</f>
        <v>3.19014725871196</v>
      </c>
      <c r="K302" s="53" t="n">
        <f aca="true">NORMINV(RAND(),0,K$7)</f>
        <v>-0.776267152062933</v>
      </c>
      <c r="L302" s="53" t="n">
        <f aca="true">NORMINV(RAND(),0,L$7)</f>
        <v>0.00805591724709401</v>
      </c>
      <c r="M302" s="53" t="n">
        <f aca="true">NORMINV(RAND(),0,M$7)</f>
        <v>0.188814948040437</v>
      </c>
      <c r="N302" s="53" t="n">
        <f aca="true">NORMINV(RAND(),0,N$7)</f>
        <v>0.400383635884615</v>
      </c>
      <c r="O302" s="53" t="n">
        <f aca="false">SUM(J302:N302)</f>
        <v>3.01113460782117</v>
      </c>
    </row>
    <row r="303" customFormat="false" ht="15" hidden="false" customHeight="false" outlineLevel="0" collapsed="false">
      <c r="A303" s="2" t="n">
        <v>295</v>
      </c>
      <c r="B303" s="53" t="n">
        <f aca="true">NORMINV(RAND(),0,B$7)</f>
        <v>0.612028526779937</v>
      </c>
      <c r="C303" s="53" t="n">
        <f aca="true">NORMINV(RAND(),0,C$7)</f>
        <v>1.02113870164633</v>
      </c>
      <c r="D303" s="53" t="n">
        <f aca="true">NORMINV(RAND(),0,D$7)</f>
        <v>0.438087770346174</v>
      </c>
      <c r="E303" s="53" t="n">
        <f aca="true">NORMINV(RAND(),0,E$7)</f>
        <v>-0.301812026449637</v>
      </c>
      <c r="F303" s="53" t="n">
        <f aca="true">NORMINV(RAND(),0,F$7)</f>
        <v>-0.221014095649397</v>
      </c>
      <c r="G303" s="53" t="n">
        <f aca="true">NORMINV(RAND(),0,G$7)</f>
        <v>1.161425283418</v>
      </c>
      <c r="H303" s="53" t="n">
        <f aca="true">NORMINV(RAND(),0,H$7)</f>
        <v>-0.131040748933585</v>
      </c>
      <c r="I303" s="53" t="n">
        <f aca="false">SUM(B303:H303)</f>
        <v>2.57881341115782</v>
      </c>
      <c r="J303" s="53" t="n">
        <f aca="true">NORMINV(RAND(),0,J$7)</f>
        <v>1.56454465026092</v>
      </c>
      <c r="K303" s="53" t="n">
        <f aca="true">NORMINV(RAND(),0,K$7)</f>
        <v>-0.726148936896332</v>
      </c>
      <c r="L303" s="53" t="n">
        <f aca="true">NORMINV(RAND(),0,L$7)</f>
        <v>-0.506411199422176</v>
      </c>
      <c r="M303" s="53" t="n">
        <f aca="true">NORMINV(RAND(),0,M$7)</f>
        <v>0.115517189631916</v>
      </c>
      <c r="N303" s="53" t="n">
        <f aca="true">NORMINV(RAND(),0,N$7)</f>
        <v>-0.615710401738406</v>
      </c>
      <c r="O303" s="53" t="n">
        <f aca="false">SUM(J303:N303)</f>
        <v>-0.168208698164081</v>
      </c>
    </row>
    <row r="304" customFormat="false" ht="15" hidden="false" customHeight="false" outlineLevel="0" collapsed="false">
      <c r="A304" s="2" t="n">
        <v>296</v>
      </c>
      <c r="B304" s="53" t="n">
        <f aca="true">NORMINV(RAND(),0,B$7)</f>
        <v>-0.589504019091171</v>
      </c>
      <c r="C304" s="53" t="n">
        <f aca="true">NORMINV(RAND(),0,C$7)</f>
        <v>1.00655816021912</v>
      </c>
      <c r="D304" s="53" t="n">
        <f aca="true">NORMINV(RAND(),0,D$7)</f>
        <v>0.395594891535553</v>
      </c>
      <c r="E304" s="53" t="n">
        <f aca="true">NORMINV(RAND(),0,E$7)</f>
        <v>-0.00503257400154835</v>
      </c>
      <c r="F304" s="53" t="n">
        <f aca="true">NORMINV(RAND(),0,F$7)</f>
        <v>0.355742597087462</v>
      </c>
      <c r="G304" s="53" t="n">
        <f aca="true">NORMINV(RAND(),0,G$7)</f>
        <v>-1.64905605243682</v>
      </c>
      <c r="H304" s="53" t="n">
        <f aca="true">NORMINV(RAND(),0,H$7)</f>
        <v>0.115891756862726</v>
      </c>
      <c r="I304" s="53" t="n">
        <f aca="false">SUM(B304:H304)</f>
        <v>-0.369805239824673</v>
      </c>
      <c r="J304" s="53" t="n">
        <f aca="true">NORMINV(RAND(),0,J$7)</f>
        <v>0.422023817118096</v>
      </c>
      <c r="K304" s="53" t="n">
        <f aca="true">NORMINV(RAND(),0,K$7)</f>
        <v>0.0787041522745833</v>
      </c>
      <c r="L304" s="53" t="n">
        <f aca="true">NORMINV(RAND(),0,L$7)</f>
        <v>0.0451475563310762</v>
      </c>
      <c r="M304" s="53" t="n">
        <f aca="true">NORMINV(RAND(),0,M$7)</f>
        <v>0.1272210124834</v>
      </c>
      <c r="N304" s="53" t="n">
        <f aca="true">NORMINV(RAND(),0,N$7)</f>
        <v>0.377849684868911</v>
      </c>
      <c r="O304" s="53" t="n">
        <f aca="false">SUM(J304:N304)</f>
        <v>1.05094622307607</v>
      </c>
    </row>
    <row r="305" customFormat="false" ht="15" hidden="false" customHeight="false" outlineLevel="0" collapsed="false">
      <c r="A305" s="2" t="n">
        <v>297</v>
      </c>
      <c r="B305" s="53" t="n">
        <f aca="true">NORMINV(RAND(),0,B$7)</f>
        <v>-0.548403063458444</v>
      </c>
      <c r="C305" s="53" t="n">
        <f aca="true">NORMINV(RAND(),0,C$7)</f>
        <v>-0.690800198313417</v>
      </c>
      <c r="D305" s="53" t="n">
        <f aca="true">NORMINV(RAND(),0,D$7)</f>
        <v>0.763652045634603</v>
      </c>
      <c r="E305" s="53" t="n">
        <f aca="true">NORMINV(RAND(),0,E$7)</f>
        <v>0.282948738935778</v>
      </c>
      <c r="F305" s="53" t="n">
        <f aca="true">NORMINV(RAND(),0,F$7)</f>
        <v>0.294264071855034</v>
      </c>
      <c r="G305" s="53" t="n">
        <f aca="true">NORMINV(RAND(),0,G$7)</f>
        <v>0.140990451919236</v>
      </c>
      <c r="H305" s="53" t="n">
        <f aca="true">NORMINV(RAND(),0,H$7)</f>
        <v>0.36435759349337</v>
      </c>
      <c r="I305" s="53" t="n">
        <f aca="false">SUM(B305:H305)</f>
        <v>0.607009640066159</v>
      </c>
      <c r="J305" s="53" t="n">
        <f aca="true">NORMINV(RAND(),0,J$7)</f>
        <v>1.88733241052005</v>
      </c>
      <c r="K305" s="53" t="n">
        <f aca="true">NORMINV(RAND(),0,K$7)</f>
        <v>0.24507152474015</v>
      </c>
      <c r="L305" s="53" t="n">
        <f aca="true">NORMINV(RAND(),0,L$7)</f>
        <v>0.189673086700619</v>
      </c>
      <c r="M305" s="53" t="n">
        <f aca="true">NORMINV(RAND(),0,M$7)</f>
        <v>-0.106582358868504</v>
      </c>
      <c r="N305" s="53" t="n">
        <f aca="true">NORMINV(RAND(),0,N$7)</f>
        <v>-0.107486467159068</v>
      </c>
      <c r="O305" s="53" t="n">
        <f aca="false">SUM(J305:N305)</f>
        <v>2.10800819593324</v>
      </c>
    </row>
    <row r="306" customFormat="false" ht="15" hidden="false" customHeight="false" outlineLevel="0" collapsed="false">
      <c r="A306" s="2" t="n">
        <v>298</v>
      </c>
      <c r="B306" s="53" t="n">
        <f aca="true">NORMINV(RAND(),0,B$7)</f>
        <v>-2.16554662002995</v>
      </c>
      <c r="C306" s="53" t="n">
        <f aca="true">NORMINV(RAND(),0,C$7)</f>
        <v>-4.05091126743649</v>
      </c>
      <c r="D306" s="53" t="n">
        <f aca="true">NORMINV(RAND(),0,D$7)</f>
        <v>-0.63518209565909</v>
      </c>
      <c r="E306" s="53" t="n">
        <f aca="true">NORMINV(RAND(),0,E$7)</f>
        <v>-0.236388977958968</v>
      </c>
      <c r="F306" s="53" t="n">
        <f aca="true">NORMINV(RAND(),0,F$7)</f>
        <v>0.334828420846424</v>
      </c>
      <c r="G306" s="53" t="n">
        <f aca="true">NORMINV(RAND(),0,G$7)</f>
        <v>1.5540396138518</v>
      </c>
      <c r="H306" s="53" t="n">
        <f aca="true">NORMINV(RAND(),0,H$7)</f>
        <v>-0.706587615861135</v>
      </c>
      <c r="I306" s="53" t="n">
        <f aca="false">SUM(B306:H306)</f>
        <v>-5.90574854224741</v>
      </c>
      <c r="J306" s="53" t="n">
        <f aca="true">NORMINV(RAND(),0,J$7)</f>
        <v>-1.10390955185983</v>
      </c>
      <c r="K306" s="53" t="n">
        <f aca="true">NORMINV(RAND(),0,K$7)</f>
        <v>-0.495629236137137</v>
      </c>
      <c r="L306" s="53" t="n">
        <f aca="true">NORMINV(RAND(),0,L$7)</f>
        <v>0.00942032270878958</v>
      </c>
      <c r="M306" s="53" t="n">
        <f aca="true">NORMINV(RAND(),0,M$7)</f>
        <v>-0.148278256561112</v>
      </c>
      <c r="N306" s="53" t="n">
        <f aca="true">NORMINV(RAND(),0,N$7)</f>
        <v>-0.21263672514116</v>
      </c>
      <c r="O306" s="53" t="n">
        <f aca="false">SUM(J306:N306)</f>
        <v>-1.95103344699045</v>
      </c>
    </row>
    <row r="307" customFormat="false" ht="15" hidden="false" customHeight="false" outlineLevel="0" collapsed="false">
      <c r="A307" s="2" t="n">
        <v>299</v>
      </c>
      <c r="B307" s="53" t="n">
        <f aca="true">NORMINV(RAND(),0,B$7)</f>
        <v>-1.75052649144587</v>
      </c>
      <c r="C307" s="53" t="n">
        <f aca="true">NORMINV(RAND(),0,C$7)</f>
        <v>0.647221148443956</v>
      </c>
      <c r="D307" s="53" t="n">
        <f aca="true">NORMINV(RAND(),0,D$7)</f>
        <v>-1.44066273513174</v>
      </c>
      <c r="E307" s="53" t="n">
        <f aca="true">NORMINV(RAND(),0,E$7)</f>
        <v>-0.23265329190172</v>
      </c>
      <c r="F307" s="53" t="n">
        <f aca="true">NORMINV(RAND(),0,F$7)</f>
        <v>-0.0100688489447108</v>
      </c>
      <c r="G307" s="53" t="n">
        <f aca="true">NORMINV(RAND(),0,G$7)</f>
        <v>-0.735802028062987</v>
      </c>
      <c r="H307" s="53" t="n">
        <f aca="true">NORMINV(RAND(),0,H$7)</f>
        <v>0.148630297531177</v>
      </c>
      <c r="I307" s="53" t="n">
        <f aca="false">SUM(B307:H307)</f>
        <v>-3.3738619495119</v>
      </c>
      <c r="J307" s="53" t="n">
        <f aca="true">NORMINV(RAND(),0,J$7)</f>
        <v>1.74879841089485</v>
      </c>
      <c r="K307" s="53" t="n">
        <f aca="true">NORMINV(RAND(),0,K$7)</f>
        <v>-0.478464831082052</v>
      </c>
      <c r="L307" s="53" t="n">
        <f aca="true">NORMINV(RAND(),0,L$7)</f>
        <v>0.0404677305596011</v>
      </c>
      <c r="M307" s="53" t="n">
        <f aca="true">NORMINV(RAND(),0,M$7)</f>
        <v>0.0310306471889874</v>
      </c>
      <c r="N307" s="53" t="n">
        <f aca="true">NORMINV(RAND(),0,N$7)</f>
        <v>-0.106197198957868</v>
      </c>
      <c r="O307" s="53" t="n">
        <f aca="false">SUM(J307:N307)</f>
        <v>1.23563475860351</v>
      </c>
    </row>
    <row r="308" customFormat="false" ht="15" hidden="false" customHeight="false" outlineLevel="0" collapsed="false">
      <c r="A308" s="2" t="n">
        <v>300</v>
      </c>
      <c r="B308" s="53" t="n">
        <f aca="true">NORMINV(RAND(),0,B$7)</f>
        <v>-2.46275623133945</v>
      </c>
      <c r="C308" s="53" t="n">
        <f aca="true">NORMINV(RAND(),0,C$7)</f>
        <v>-0.0581406984849564</v>
      </c>
      <c r="D308" s="53" t="n">
        <f aca="true">NORMINV(RAND(),0,D$7)</f>
        <v>-1.52737911802185</v>
      </c>
      <c r="E308" s="53" t="n">
        <f aca="true">NORMINV(RAND(),0,E$7)</f>
        <v>0.207870973885692</v>
      </c>
      <c r="F308" s="53" t="n">
        <f aca="true">NORMINV(RAND(),0,F$7)</f>
        <v>-0.0473803553877699</v>
      </c>
      <c r="G308" s="53" t="n">
        <f aca="true">NORMINV(RAND(),0,G$7)</f>
        <v>0.252996280760447</v>
      </c>
      <c r="H308" s="53" t="n">
        <f aca="true">NORMINV(RAND(),0,H$7)</f>
        <v>-0.389725270794452</v>
      </c>
      <c r="I308" s="53" t="n">
        <f aca="false">SUM(B308:H308)</f>
        <v>-4.02451441938234</v>
      </c>
      <c r="J308" s="53" t="n">
        <f aca="true">NORMINV(RAND(),0,J$7)</f>
        <v>-1.28163836638313</v>
      </c>
      <c r="K308" s="53" t="n">
        <f aca="true">NORMINV(RAND(),0,K$7)</f>
        <v>0.102488707966544</v>
      </c>
      <c r="L308" s="53" t="n">
        <f aca="true">NORMINV(RAND(),0,L$7)</f>
        <v>0.00131564308143589</v>
      </c>
      <c r="M308" s="53" t="n">
        <f aca="true">NORMINV(RAND(),0,M$7)</f>
        <v>-0.0664655375263617</v>
      </c>
      <c r="N308" s="53" t="n">
        <f aca="true">NORMINV(RAND(),0,N$7)</f>
        <v>-0.120201969621056</v>
      </c>
      <c r="O308" s="53" t="n">
        <f aca="false">SUM(J308:N308)</f>
        <v>-1.36450152248257</v>
      </c>
    </row>
    <row r="309" customFormat="false" ht="15" hidden="false" customHeight="false" outlineLevel="0" collapsed="false">
      <c r="A309" s="2" t="n">
        <v>301</v>
      </c>
      <c r="B309" s="53" t="n">
        <f aca="true">NORMINV(RAND(),0,B$7)</f>
        <v>-0.078084877821053</v>
      </c>
      <c r="C309" s="53" t="n">
        <f aca="true">NORMINV(RAND(),0,C$7)</f>
        <v>-1.49344810787513</v>
      </c>
      <c r="D309" s="53" t="n">
        <f aca="true">NORMINV(RAND(),0,D$7)</f>
        <v>-1.71353840264932</v>
      </c>
      <c r="E309" s="53" t="n">
        <f aca="true">NORMINV(RAND(),0,E$7)</f>
        <v>-0.143570304797941</v>
      </c>
      <c r="F309" s="53" t="n">
        <f aca="true">NORMINV(RAND(),0,F$7)</f>
        <v>-0.00495894912770607</v>
      </c>
      <c r="G309" s="53" t="n">
        <f aca="true">NORMINV(RAND(),0,G$7)</f>
        <v>-0.60094663741799</v>
      </c>
      <c r="H309" s="53" t="n">
        <f aca="true">NORMINV(RAND(),0,H$7)</f>
        <v>0.152134510972512</v>
      </c>
      <c r="I309" s="53" t="n">
        <f aca="false">SUM(B309:H309)</f>
        <v>-3.88241276871662</v>
      </c>
      <c r="J309" s="53" t="n">
        <f aca="true">NORMINV(RAND(),0,J$7)</f>
        <v>-0.843185054047825</v>
      </c>
      <c r="K309" s="53" t="n">
        <f aca="true">NORMINV(RAND(),0,K$7)</f>
        <v>-0.0974152098325467</v>
      </c>
      <c r="L309" s="53" t="n">
        <f aca="true">NORMINV(RAND(),0,L$7)</f>
        <v>-0.193069667046331</v>
      </c>
      <c r="M309" s="53" t="n">
        <f aca="true">NORMINV(RAND(),0,M$7)</f>
        <v>0.274179697516046</v>
      </c>
      <c r="N309" s="53" t="n">
        <f aca="true">NORMINV(RAND(),0,N$7)</f>
        <v>-0.357637101430186</v>
      </c>
      <c r="O309" s="53" t="n">
        <f aca="false">SUM(J309:N309)</f>
        <v>-1.21712733484084</v>
      </c>
    </row>
    <row r="310" customFormat="false" ht="15" hidden="false" customHeight="false" outlineLevel="0" collapsed="false">
      <c r="A310" s="2" t="n">
        <v>302</v>
      </c>
      <c r="B310" s="53" t="n">
        <f aca="true">NORMINV(RAND(),0,B$7)</f>
        <v>0.289587004717991</v>
      </c>
      <c r="C310" s="53" t="n">
        <f aca="true">NORMINV(RAND(),0,C$7)</f>
        <v>-1.99512733840203</v>
      </c>
      <c r="D310" s="53" t="n">
        <f aca="true">NORMINV(RAND(),0,D$7)</f>
        <v>-0.390212223756769</v>
      </c>
      <c r="E310" s="53" t="n">
        <f aca="true">NORMINV(RAND(),0,E$7)</f>
        <v>0.00162014609341736</v>
      </c>
      <c r="F310" s="53" t="n">
        <f aca="true">NORMINV(RAND(),0,F$7)</f>
        <v>0.290712620548451</v>
      </c>
      <c r="G310" s="53" t="n">
        <f aca="true">NORMINV(RAND(),0,G$7)</f>
        <v>-0.328773584921713</v>
      </c>
      <c r="H310" s="53" t="n">
        <f aca="true">NORMINV(RAND(),0,H$7)</f>
        <v>-0.279331387403605</v>
      </c>
      <c r="I310" s="53" t="n">
        <f aca="false">SUM(B310:H310)</f>
        <v>-2.41152476312426</v>
      </c>
      <c r="J310" s="53" t="n">
        <f aca="true">NORMINV(RAND(),0,J$7)</f>
        <v>-0.457267212488089</v>
      </c>
      <c r="K310" s="53" t="n">
        <f aca="true">NORMINV(RAND(),0,K$7)</f>
        <v>-0.0893046556260587</v>
      </c>
      <c r="L310" s="53" t="n">
        <f aca="true">NORMINV(RAND(),0,L$7)</f>
        <v>-0.142134073258093</v>
      </c>
      <c r="M310" s="53" t="n">
        <f aca="true">NORMINV(RAND(),0,M$7)</f>
        <v>-0.12802037273437</v>
      </c>
      <c r="N310" s="53" t="n">
        <f aca="true">NORMINV(RAND(),0,N$7)</f>
        <v>-0.289305915958634</v>
      </c>
      <c r="O310" s="53" t="n">
        <f aca="false">SUM(J310:N310)</f>
        <v>-1.10603223006524</v>
      </c>
    </row>
    <row r="311" customFormat="false" ht="15" hidden="false" customHeight="false" outlineLevel="0" collapsed="false">
      <c r="A311" s="2" t="n">
        <v>303</v>
      </c>
      <c r="B311" s="53" t="n">
        <f aca="true">NORMINV(RAND(),0,B$7)</f>
        <v>-0.278305712566328</v>
      </c>
      <c r="C311" s="53" t="n">
        <f aca="true">NORMINV(RAND(),0,C$7)</f>
        <v>-0.369330300885614</v>
      </c>
      <c r="D311" s="53" t="n">
        <f aca="true">NORMINV(RAND(),0,D$7)</f>
        <v>1.31817518933232</v>
      </c>
      <c r="E311" s="53" t="n">
        <f aca="true">NORMINV(RAND(),0,E$7)</f>
        <v>-0.500881798201078</v>
      </c>
      <c r="F311" s="53" t="n">
        <f aca="true">NORMINV(RAND(),0,F$7)</f>
        <v>0.263254514661293</v>
      </c>
      <c r="G311" s="53" t="n">
        <f aca="true">NORMINV(RAND(),0,G$7)</f>
        <v>0.692731757119081</v>
      </c>
      <c r="H311" s="53" t="n">
        <f aca="true">NORMINV(RAND(),0,H$7)</f>
        <v>-0.055802587576382</v>
      </c>
      <c r="I311" s="53" t="n">
        <f aca="false">SUM(B311:H311)</f>
        <v>1.06984106188329</v>
      </c>
      <c r="J311" s="53" t="n">
        <f aca="true">NORMINV(RAND(),0,J$7)</f>
        <v>1.47164022795377</v>
      </c>
      <c r="K311" s="53" t="n">
        <f aca="true">NORMINV(RAND(),0,K$7)</f>
        <v>-0.109080459555593</v>
      </c>
      <c r="L311" s="53" t="n">
        <f aca="true">NORMINV(RAND(),0,L$7)</f>
        <v>-0.840693023539649</v>
      </c>
      <c r="M311" s="53" t="n">
        <f aca="true">NORMINV(RAND(),0,M$7)</f>
        <v>-0.189381420750876</v>
      </c>
      <c r="N311" s="53" t="n">
        <f aca="true">NORMINV(RAND(),0,N$7)</f>
        <v>-0.357573902420224</v>
      </c>
      <c r="O311" s="53" t="n">
        <f aca="false">SUM(J311:N311)</f>
        <v>-0.0250885783125744</v>
      </c>
    </row>
    <row r="312" customFormat="false" ht="15" hidden="false" customHeight="false" outlineLevel="0" collapsed="false">
      <c r="A312" s="2" t="n">
        <v>304</v>
      </c>
      <c r="B312" s="53" t="n">
        <f aca="true">NORMINV(RAND(),0,B$7)</f>
        <v>1.09844364563548</v>
      </c>
      <c r="C312" s="53" t="n">
        <f aca="true">NORMINV(RAND(),0,C$7)</f>
        <v>-2.22924093706734</v>
      </c>
      <c r="D312" s="53" t="n">
        <f aca="true">NORMINV(RAND(),0,D$7)</f>
        <v>0.466677861254581</v>
      </c>
      <c r="E312" s="53" t="n">
        <f aca="true">NORMINV(RAND(),0,E$7)</f>
        <v>-0.770927781267033</v>
      </c>
      <c r="F312" s="53" t="n">
        <f aca="true">NORMINV(RAND(),0,F$7)</f>
        <v>-0.105500762737105</v>
      </c>
      <c r="G312" s="53" t="n">
        <f aca="true">NORMINV(RAND(),0,G$7)</f>
        <v>-2.39448350332966</v>
      </c>
      <c r="H312" s="53" t="n">
        <f aca="true">NORMINV(RAND(),0,H$7)</f>
        <v>-0.0291155153717862</v>
      </c>
      <c r="I312" s="53" t="n">
        <f aca="false">SUM(B312:H312)</f>
        <v>-3.96414699288285</v>
      </c>
      <c r="J312" s="53" t="n">
        <f aca="true">NORMINV(RAND(),0,J$7)</f>
        <v>0.841068119674493</v>
      </c>
      <c r="K312" s="53" t="n">
        <f aca="true">NORMINV(RAND(),0,K$7)</f>
        <v>-0.30562111817093</v>
      </c>
      <c r="L312" s="53" t="n">
        <f aca="true">NORMINV(RAND(),0,L$7)</f>
        <v>-0.341143481718639</v>
      </c>
      <c r="M312" s="53" t="n">
        <f aca="true">NORMINV(RAND(),0,M$7)</f>
        <v>-0.328420587262728</v>
      </c>
      <c r="N312" s="53" t="n">
        <f aca="true">NORMINV(RAND(),0,N$7)</f>
        <v>0.281260977344337</v>
      </c>
      <c r="O312" s="53" t="n">
        <f aca="false">SUM(J312:N312)</f>
        <v>0.147143909866533</v>
      </c>
    </row>
    <row r="313" customFormat="false" ht="15" hidden="false" customHeight="false" outlineLevel="0" collapsed="false">
      <c r="A313" s="2" t="n">
        <v>305</v>
      </c>
      <c r="B313" s="53" t="n">
        <f aca="true">NORMINV(RAND(),0,B$7)</f>
        <v>-0.863203830505371</v>
      </c>
      <c r="C313" s="53" t="n">
        <f aca="true">NORMINV(RAND(),0,C$7)</f>
        <v>0.0421323253802879</v>
      </c>
      <c r="D313" s="53" t="n">
        <f aca="true">NORMINV(RAND(),0,D$7)</f>
        <v>-1.63257738957246</v>
      </c>
      <c r="E313" s="53" t="n">
        <f aca="true">NORMINV(RAND(),0,E$7)</f>
        <v>0.356032375208642</v>
      </c>
      <c r="F313" s="53" t="n">
        <f aca="true">NORMINV(RAND(),0,F$7)</f>
        <v>0.445679680470852</v>
      </c>
      <c r="G313" s="53" t="n">
        <f aca="true">NORMINV(RAND(),0,G$7)</f>
        <v>0.204599897439047</v>
      </c>
      <c r="H313" s="53" t="n">
        <f aca="true">NORMINV(RAND(),0,H$7)</f>
        <v>0.0432169332961386</v>
      </c>
      <c r="I313" s="53" t="n">
        <f aca="false">SUM(B313:H313)</f>
        <v>-1.40412000828286</v>
      </c>
      <c r="J313" s="53" t="n">
        <f aca="true">NORMINV(RAND(),0,J$7)</f>
        <v>-1.60649598982968</v>
      </c>
      <c r="K313" s="53" t="n">
        <f aca="true">NORMINV(RAND(),0,K$7)</f>
        <v>0.238334505995636</v>
      </c>
      <c r="L313" s="53" t="n">
        <f aca="true">NORMINV(RAND(),0,L$7)</f>
        <v>0.409243141682363</v>
      </c>
      <c r="M313" s="53" t="n">
        <f aca="true">NORMINV(RAND(),0,M$7)</f>
        <v>0.0874406445822958</v>
      </c>
      <c r="N313" s="53" t="n">
        <f aca="true">NORMINV(RAND(),0,N$7)</f>
        <v>-0.00689825109572935</v>
      </c>
      <c r="O313" s="53" t="n">
        <f aca="false">SUM(J313:N313)</f>
        <v>-0.878375948665111</v>
      </c>
    </row>
    <row r="314" customFormat="false" ht="15" hidden="false" customHeight="false" outlineLevel="0" collapsed="false">
      <c r="A314" s="2" t="n">
        <v>306</v>
      </c>
      <c r="B314" s="53" t="n">
        <f aca="true">NORMINV(RAND(),0,B$7)</f>
        <v>-0.327152351666783</v>
      </c>
      <c r="C314" s="53" t="n">
        <f aca="true">NORMINV(RAND(),0,C$7)</f>
        <v>-0.736752914844128</v>
      </c>
      <c r="D314" s="53" t="n">
        <f aca="true">NORMINV(RAND(),0,D$7)</f>
        <v>-3.97750684085712</v>
      </c>
      <c r="E314" s="53" t="n">
        <f aca="true">NORMINV(RAND(),0,E$7)</f>
        <v>0.0966038955205735</v>
      </c>
      <c r="F314" s="53" t="n">
        <f aca="true">NORMINV(RAND(),0,F$7)</f>
        <v>-0.0968672740389268</v>
      </c>
      <c r="G314" s="53" t="n">
        <f aca="true">NORMINV(RAND(),0,G$7)</f>
        <v>0.468448625869915</v>
      </c>
      <c r="H314" s="53" t="n">
        <f aca="true">NORMINV(RAND(),0,H$7)</f>
        <v>-0.322292347309498</v>
      </c>
      <c r="I314" s="53" t="n">
        <f aca="false">SUM(B314:H314)</f>
        <v>-4.89551920732597</v>
      </c>
      <c r="J314" s="53" t="n">
        <f aca="true">NORMINV(RAND(),0,J$7)</f>
        <v>1.87382917513323</v>
      </c>
      <c r="K314" s="53" t="n">
        <f aca="true">NORMINV(RAND(),0,K$7)</f>
        <v>1.05430706330327</v>
      </c>
      <c r="L314" s="53" t="n">
        <f aca="true">NORMINV(RAND(),0,L$7)</f>
        <v>0.191096502374423</v>
      </c>
      <c r="M314" s="53" t="n">
        <f aca="true">NORMINV(RAND(),0,M$7)</f>
        <v>0.0664364870323714</v>
      </c>
      <c r="N314" s="53" t="n">
        <f aca="true">NORMINV(RAND(),0,N$7)</f>
        <v>0.475316274199644</v>
      </c>
      <c r="O314" s="53" t="n">
        <f aca="false">SUM(J314:N314)</f>
        <v>3.66098550204294</v>
      </c>
    </row>
    <row r="315" customFormat="false" ht="15" hidden="false" customHeight="false" outlineLevel="0" collapsed="false">
      <c r="A315" s="2" t="n">
        <v>307</v>
      </c>
      <c r="B315" s="53" t="n">
        <f aca="true">NORMINV(RAND(),0,B$7)</f>
        <v>-1.53706506303452</v>
      </c>
      <c r="C315" s="53" t="n">
        <f aca="true">NORMINV(RAND(),0,C$7)</f>
        <v>-0.416751700480418</v>
      </c>
      <c r="D315" s="53" t="n">
        <f aca="true">NORMINV(RAND(),0,D$7)</f>
        <v>-0.804966708204982</v>
      </c>
      <c r="E315" s="53" t="n">
        <f aca="true">NORMINV(RAND(),0,E$7)</f>
        <v>0.0607103335281343</v>
      </c>
      <c r="F315" s="53" t="n">
        <f aca="true">NORMINV(RAND(),0,F$7)</f>
        <v>-0.0475920072027489</v>
      </c>
      <c r="G315" s="53" t="n">
        <f aca="true">NORMINV(RAND(),0,G$7)</f>
        <v>0.393142957474163</v>
      </c>
      <c r="H315" s="53" t="n">
        <f aca="true">NORMINV(RAND(),0,H$7)</f>
        <v>-0.10474573946407</v>
      </c>
      <c r="I315" s="53" t="n">
        <f aca="false">SUM(B315:H315)</f>
        <v>-2.45726792738444</v>
      </c>
      <c r="J315" s="53" t="n">
        <f aca="true">NORMINV(RAND(),0,J$7)</f>
        <v>2.54162169912167</v>
      </c>
      <c r="K315" s="53" t="n">
        <f aca="true">NORMINV(RAND(),0,K$7)</f>
        <v>-0.803368148936883</v>
      </c>
      <c r="L315" s="53" t="n">
        <f aca="true">NORMINV(RAND(),0,L$7)</f>
        <v>-0.467914348671305</v>
      </c>
      <c r="M315" s="53" t="n">
        <f aca="true">NORMINV(RAND(),0,M$7)</f>
        <v>-0.410701456433439</v>
      </c>
      <c r="N315" s="53" t="n">
        <f aca="true">NORMINV(RAND(),0,N$7)</f>
        <v>-0.100763924050102</v>
      </c>
      <c r="O315" s="53" t="n">
        <f aca="false">SUM(J315:N315)</f>
        <v>0.758873821029944</v>
      </c>
    </row>
    <row r="316" customFormat="false" ht="15" hidden="false" customHeight="false" outlineLevel="0" collapsed="false">
      <c r="A316" s="2" t="n">
        <v>308</v>
      </c>
      <c r="B316" s="53" t="n">
        <f aca="true">NORMINV(RAND(),0,B$7)</f>
        <v>1.50544362739045</v>
      </c>
      <c r="C316" s="53" t="n">
        <f aca="true">NORMINV(RAND(),0,C$7)</f>
        <v>2.5427925705514</v>
      </c>
      <c r="D316" s="53" t="n">
        <f aca="true">NORMINV(RAND(),0,D$7)</f>
        <v>1.96158367613004</v>
      </c>
      <c r="E316" s="53" t="n">
        <f aca="true">NORMINV(RAND(),0,E$7)</f>
        <v>0.380346859967981</v>
      </c>
      <c r="F316" s="53" t="n">
        <f aca="true">NORMINV(RAND(),0,F$7)</f>
        <v>-0.290453735572354</v>
      </c>
      <c r="G316" s="53" t="n">
        <f aca="true">NORMINV(RAND(),0,G$7)</f>
        <v>-0.954896616977582</v>
      </c>
      <c r="H316" s="53" t="n">
        <f aca="true">NORMINV(RAND(),0,H$7)</f>
        <v>0.423924362262981</v>
      </c>
      <c r="I316" s="53" t="n">
        <f aca="false">SUM(B316:H316)</f>
        <v>5.56874074375291</v>
      </c>
      <c r="J316" s="53" t="n">
        <f aca="true">NORMINV(RAND(),0,J$7)</f>
        <v>1.33641467631742</v>
      </c>
      <c r="K316" s="53" t="n">
        <f aca="true">NORMINV(RAND(),0,K$7)</f>
        <v>0.333025383542816</v>
      </c>
      <c r="L316" s="53" t="n">
        <f aca="true">NORMINV(RAND(),0,L$7)</f>
        <v>0.0642290641272944</v>
      </c>
      <c r="M316" s="53" t="n">
        <f aca="true">NORMINV(RAND(),0,M$7)</f>
        <v>0.201284226754395</v>
      </c>
      <c r="N316" s="53" t="n">
        <f aca="true">NORMINV(RAND(),0,N$7)</f>
        <v>0.163708351909234</v>
      </c>
      <c r="O316" s="53" t="n">
        <f aca="false">SUM(J316:N316)</f>
        <v>2.09866170265116</v>
      </c>
    </row>
    <row r="317" customFormat="false" ht="15" hidden="false" customHeight="false" outlineLevel="0" collapsed="false">
      <c r="A317" s="2" t="n">
        <v>309</v>
      </c>
      <c r="B317" s="53" t="n">
        <f aca="true">NORMINV(RAND(),0,B$7)</f>
        <v>1.913266601519</v>
      </c>
      <c r="C317" s="53" t="n">
        <f aca="true">NORMINV(RAND(),0,C$7)</f>
        <v>-1.18059182810265</v>
      </c>
      <c r="D317" s="53" t="n">
        <f aca="true">NORMINV(RAND(),0,D$7)</f>
        <v>2.67148626186618</v>
      </c>
      <c r="E317" s="53" t="n">
        <f aca="true">NORMINV(RAND(),0,E$7)</f>
        <v>0.145731723325704</v>
      </c>
      <c r="F317" s="53" t="n">
        <f aca="true">NORMINV(RAND(),0,F$7)</f>
        <v>0.174492825348191</v>
      </c>
      <c r="G317" s="53" t="n">
        <f aca="true">NORMINV(RAND(),0,G$7)</f>
        <v>-2.91311130691653</v>
      </c>
      <c r="H317" s="53" t="n">
        <f aca="true">NORMINV(RAND(),0,H$7)</f>
        <v>0.522816821913784</v>
      </c>
      <c r="I317" s="53" t="n">
        <f aca="false">SUM(B317:H317)</f>
        <v>1.33409109895368</v>
      </c>
      <c r="J317" s="53" t="n">
        <f aca="true">NORMINV(RAND(),0,J$7)</f>
        <v>-1.25338430935699</v>
      </c>
      <c r="K317" s="53" t="n">
        <f aca="true">NORMINV(RAND(),0,K$7)</f>
        <v>-0.233526465488983</v>
      </c>
      <c r="L317" s="53" t="n">
        <f aca="true">NORMINV(RAND(),0,L$7)</f>
        <v>0.425051829813378</v>
      </c>
      <c r="M317" s="53" t="n">
        <f aca="true">NORMINV(RAND(),0,M$7)</f>
        <v>0.231440672324464</v>
      </c>
      <c r="N317" s="53" t="n">
        <f aca="true">NORMINV(RAND(),0,N$7)</f>
        <v>-0.0972151544972359</v>
      </c>
      <c r="O317" s="53" t="n">
        <f aca="false">SUM(J317:N317)</f>
        <v>-0.927633427205369</v>
      </c>
    </row>
    <row r="318" customFormat="false" ht="15" hidden="false" customHeight="false" outlineLevel="0" collapsed="false">
      <c r="A318" s="2" t="n">
        <v>310</v>
      </c>
      <c r="B318" s="53" t="n">
        <f aca="true">NORMINV(RAND(),0,B$7)</f>
        <v>-1.13082492341382</v>
      </c>
      <c r="C318" s="53" t="n">
        <f aca="true">NORMINV(RAND(),0,C$7)</f>
        <v>0.803664196404196</v>
      </c>
      <c r="D318" s="53" t="n">
        <f aca="true">NORMINV(RAND(),0,D$7)</f>
        <v>-1.49465628291594</v>
      </c>
      <c r="E318" s="53" t="n">
        <f aca="true">NORMINV(RAND(),0,E$7)</f>
        <v>0.550476407278079</v>
      </c>
      <c r="F318" s="53" t="n">
        <f aca="true">NORMINV(RAND(),0,F$7)</f>
        <v>0.361720241251685</v>
      </c>
      <c r="G318" s="53" t="n">
        <f aca="true">NORMINV(RAND(),0,G$7)</f>
        <v>2.0255156444652</v>
      </c>
      <c r="H318" s="53" t="n">
        <f aca="true">NORMINV(RAND(),0,H$7)</f>
        <v>-0.141968420466809</v>
      </c>
      <c r="I318" s="53" t="n">
        <f aca="false">SUM(B318:H318)</f>
        <v>0.973926862602591</v>
      </c>
      <c r="J318" s="53" t="n">
        <f aca="true">NORMINV(RAND(),0,J$7)</f>
        <v>-1.02318498918706</v>
      </c>
      <c r="K318" s="53" t="n">
        <f aca="true">NORMINV(RAND(),0,K$7)</f>
        <v>0.306589535156893</v>
      </c>
      <c r="L318" s="53" t="n">
        <f aca="true">NORMINV(RAND(),0,L$7)</f>
        <v>0.0503390420748268</v>
      </c>
      <c r="M318" s="53" t="n">
        <f aca="true">NORMINV(RAND(),0,M$7)</f>
        <v>0.0907782045942916</v>
      </c>
      <c r="N318" s="53" t="n">
        <f aca="true">NORMINV(RAND(),0,N$7)</f>
        <v>0.591044132755583</v>
      </c>
      <c r="O318" s="53" t="n">
        <f aca="false">SUM(J318:N318)</f>
        <v>0.0155659253945329</v>
      </c>
    </row>
    <row r="319" customFormat="false" ht="15" hidden="false" customHeight="false" outlineLevel="0" collapsed="false">
      <c r="A319" s="2" t="n">
        <v>311</v>
      </c>
      <c r="B319" s="53" t="n">
        <f aca="true">NORMINV(RAND(),0,B$7)</f>
        <v>1.23053118549718</v>
      </c>
      <c r="C319" s="53" t="n">
        <f aca="true">NORMINV(RAND(),0,C$7)</f>
        <v>1.20262919177696</v>
      </c>
      <c r="D319" s="53" t="n">
        <f aca="true">NORMINV(RAND(),0,D$7)</f>
        <v>-1.10718254375256</v>
      </c>
      <c r="E319" s="53" t="n">
        <f aca="true">NORMINV(RAND(),0,E$7)</f>
        <v>-0.197379936991483</v>
      </c>
      <c r="F319" s="53" t="n">
        <f aca="true">NORMINV(RAND(),0,F$7)</f>
        <v>0.451805129971403</v>
      </c>
      <c r="G319" s="53" t="n">
        <f aca="true">NORMINV(RAND(),0,G$7)</f>
        <v>1.97984113188262</v>
      </c>
      <c r="H319" s="53" t="n">
        <f aca="true">NORMINV(RAND(),0,H$7)</f>
        <v>-0.20937571654106</v>
      </c>
      <c r="I319" s="53" t="n">
        <f aca="false">SUM(B319:H319)</f>
        <v>3.35086844184306</v>
      </c>
      <c r="J319" s="53" t="n">
        <f aca="true">NORMINV(RAND(),0,J$7)</f>
        <v>2.32436547490071</v>
      </c>
      <c r="K319" s="53" t="n">
        <f aca="true">NORMINV(RAND(),0,K$7)</f>
        <v>-1.9700422493497</v>
      </c>
      <c r="L319" s="53" t="n">
        <f aca="true">NORMINV(RAND(),0,L$7)</f>
        <v>-0.499071154286972</v>
      </c>
      <c r="M319" s="53" t="n">
        <f aca="true">NORMINV(RAND(),0,M$7)</f>
        <v>-0.298596862361417</v>
      </c>
      <c r="N319" s="53" t="n">
        <f aca="true">NORMINV(RAND(),0,N$7)</f>
        <v>-0.0421644422052832</v>
      </c>
      <c r="O319" s="53" t="n">
        <f aca="false">SUM(J319:N319)</f>
        <v>-0.48550923330267</v>
      </c>
    </row>
    <row r="320" customFormat="false" ht="15" hidden="false" customHeight="false" outlineLevel="0" collapsed="false">
      <c r="A320" s="2" t="n">
        <v>312</v>
      </c>
      <c r="B320" s="53" t="n">
        <f aca="true">NORMINV(RAND(),0,B$7)</f>
        <v>-1.5718515803427</v>
      </c>
      <c r="C320" s="53" t="n">
        <f aca="true">NORMINV(RAND(),0,C$7)</f>
        <v>-3.38552544027797</v>
      </c>
      <c r="D320" s="53" t="n">
        <f aca="true">NORMINV(RAND(),0,D$7)</f>
        <v>2.37546278517872</v>
      </c>
      <c r="E320" s="53" t="n">
        <f aca="true">NORMINV(RAND(),0,E$7)</f>
        <v>0.199341743534289</v>
      </c>
      <c r="F320" s="53" t="n">
        <f aca="true">NORMINV(RAND(),0,F$7)</f>
        <v>-0.335379607136105</v>
      </c>
      <c r="G320" s="53" t="n">
        <f aca="true">NORMINV(RAND(),0,G$7)</f>
        <v>-0.13256565910666</v>
      </c>
      <c r="H320" s="53" t="n">
        <f aca="true">NORMINV(RAND(),0,H$7)</f>
        <v>-0.305226157858447</v>
      </c>
      <c r="I320" s="53" t="n">
        <f aca="false">SUM(B320:H320)</f>
        <v>-3.15574391600887</v>
      </c>
      <c r="J320" s="53" t="n">
        <f aca="true">NORMINV(RAND(),0,J$7)</f>
        <v>3.7972751118505</v>
      </c>
      <c r="K320" s="53" t="n">
        <f aca="true">NORMINV(RAND(),0,K$7)</f>
        <v>-1.2094413632716</v>
      </c>
      <c r="L320" s="53" t="n">
        <f aca="true">NORMINV(RAND(),0,L$7)</f>
        <v>0.212440690503311</v>
      </c>
      <c r="M320" s="53" t="n">
        <f aca="true">NORMINV(RAND(),0,M$7)</f>
        <v>0.0600799904537734</v>
      </c>
      <c r="N320" s="53" t="n">
        <f aca="true">NORMINV(RAND(),0,N$7)</f>
        <v>-0.168343864326517</v>
      </c>
      <c r="O320" s="53" t="n">
        <f aca="false">SUM(J320:N320)</f>
        <v>2.69201056520946</v>
      </c>
    </row>
    <row r="321" customFormat="false" ht="15" hidden="false" customHeight="false" outlineLevel="0" collapsed="false">
      <c r="A321" s="2" t="n">
        <v>313</v>
      </c>
      <c r="B321" s="53" t="n">
        <f aca="true">NORMINV(RAND(),0,B$7)</f>
        <v>-1.20443589237005</v>
      </c>
      <c r="C321" s="53" t="n">
        <f aca="true">NORMINV(RAND(),0,C$7)</f>
        <v>0.768706228508427</v>
      </c>
      <c r="D321" s="53" t="n">
        <f aca="true">NORMINV(RAND(),0,D$7)</f>
        <v>-0.892722716916989</v>
      </c>
      <c r="E321" s="53" t="n">
        <f aca="true">NORMINV(RAND(),0,E$7)</f>
        <v>0.183964557490669</v>
      </c>
      <c r="F321" s="53" t="n">
        <f aca="true">NORMINV(RAND(),0,F$7)</f>
        <v>-0.300273771590929</v>
      </c>
      <c r="G321" s="53" t="n">
        <f aca="true">NORMINV(RAND(),0,G$7)</f>
        <v>0.203806303043554</v>
      </c>
      <c r="H321" s="53" t="n">
        <f aca="true">NORMINV(RAND(),0,H$7)</f>
        <v>0.218213381341706</v>
      </c>
      <c r="I321" s="53" t="n">
        <f aca="false">SUM(B321:H321)</f>
        <v>-1.02274191049362</v>
      </c>
      <c r="J321" s="53" t="n">
        <f aca="true">NORMINV(RAND(),0,J$7)</f>
        <v>-1.23767936021394</v>
      </c>
      <c r="K321" s="53" t="n">
        <f aca="true">NORMINV(RAND(),0,K$7)</f>
        <v>0.804677703694255</v>
      </c>
      <c r="L321" s="53" t="n">
        <f aca="true">NORMINV(RAND(),0,L$7)</f>
        <v>-0.0424695044541652</v>
      </c>
      <c r="M321" s="53" t="n">
        <f aca="true">NORMINV(RAND(),0,M$7)</f>
        <v>0.173887277807276</v>
      </c>
      <c r="N321" s="53" t="n">
        <f aca="true">NORMINV(RAND(),0,N$7)</f>
        <v>0.357383113872314</v>
      </c>
      <c r="O321" s="53" t="n">
        <f aca="false">SUM(J321:N321)</f>
        <v>0.0557992307057371</v>
      </c>
    </row>
    <row r="322" customFormat="false" ht="15" hidden="false" customHeight="false" outlineLevel="0" collapsed="false">
      <c r="A322" s="2" t="n">
        <v>314</v>
      </c>
      <c r="B322" s="53" t="n">
        <f aca="true">NORMINV(RAND(),0,B$7)</f>
        <v>-0.420014370449494</v>
      </c>
      <c r="C322" s="53" t="n">
        <f aca="true">NORMINV(RAND(),0,C$7)</f>
        <v>0.720571576290134</v>
      </c>
      <c r="D322" s="53" t="n">
        <f aca="true">NORMINV(RAND(),0,D$7)</f>
        <v>0.639812033509011</v>
      </c>
      <c r="E322" s="53" t="n">
        <f aca="true">NORMINV(RAND(),0,E$7)</f>
        <v>-0.385329209850239</v>
      </c>
      <c r="F322" s="53" t="n">
        <f aca="true">NORMINV(RAND(),0,F$7)</f>
        <v>-0.630648510402769</v>
      </c>
      <c r="G322" s="53" t="n">
        <f aca="true">NORMINV(RAND(),0,G$7)</f>
        <v>0.101632855250799</v>
      </c>
      <c r="H322" s="53" t="n">
        <f aca="true">NORMINV(RAND(),0,H$7)</f>
        <v>0.181455867111046</v>
      </c>
      <c r="I322" s="53" t="n">
        <f aca="false">SUM(B322:H322)</f>
        <v>0.207480241458488</v>
      </c>
      <c r="J322" s="53" t="n">
        <f aca="true">NORMINV(RAND(),0,J$7)</f>
        <v>-1.99805638854829</v>
      </c>
      <c r="K322" s="53" t="n">
        <f aca="true">NORMINV(RAND(),0,K$7)</f>
        <v>-0.00448321712749106</v>
      </c>
      <c r="L322" s="53" t="n">
        <f aca="true">NORMINV(RAND(),0,L$7)</f>
        <v>0.028555724435184</v>
      </c>
      <c r="M322" s="53" t="n">
        <f aca="true">NORMINV(RAND(),0,M$7)</f>
        <v>0.102028606931171</v>
      </c>
      <c r="N322" s="53" t="n">
        <f aca="true">NORMINV(RAND(),0,N$7)</f>
        <v>-0.230901970933454</v>
      </c>
      <c r="O322" s="53" t="n">
        <f aca="false">SUM(J322:N322)</f>
        <v>-2.10285724524288</v>
      </c>
    </row>
    <row r="323" customFormat="false" ht="15" hidden="false" customHeight="false" outlineLevel="0" collapsed="false">
      <c r="A323" s="2" t="n">
        <v>315</v>
      </c>
      <c r="B323" s="53" t="n">
        <f aca="true">NORMINV(RAND(),0,B$7)</f>
        <v>1.15304635942076</v>
      </c>
      <c r="C323" s="53" t="n">
        <f aca="true">NORMINV(RAND(),0,C$7)</f>
        <v>0.705697685763842</v>
      </c>
      <c r="D323" s="53" t="n">
        <f aca="true">NORMINV(RAND(),0,D$7)</f>
        <v>0.233002241909994</v>
      </c>
      <c r="E323" s="53" t="n">
        <f aca="true">NORMINV(RAND(),0,E$7)</f>
        <v>-0.102576826008417</v>
      </c>
      <c r="F323" s="53" t="n">
        <f aca="true">NORMINV(RAND(),0,F$7)</f>
        <v>0.246676730280837</v>
      </c>
      <c r="G323" s="53" t="n">
        <f aca="true">NORMINV(RAND(),0,G$7)</f>
        <v>1.03646669816956</v>
      </c>
      <c r="H323" s="53" t="n">
        <f aca="true">NORMINV(RAND(),0,H$7)</f>
        <v>-0.189773118123479</v>
      </c>
      <c r="I323" s="53" t="n">
        <f aca="false">SUM(B323:H323)</f>
        <v>3.0825397714131</v>
      </c>
      <c r="J323" s="53" t="n">
        <f aca="true">NORMINV(RAND(),0,J$7)</f>
        <v>-0.212058226435969</v>
      </c>
      <c r="K323" s="53" t="n">
        <f aca="true">NORMINV(RAND(),0,K$7)</f>
        <v>0.429634382707203</v>
      </c>
      <c r="L323" s="53" t="n">
        <f aca="true">NORMINV(RAND(),0,L$7)</f>
        <v>0.0329327976971083</v>
      </c>
      <c r="M323" s="53" t="n">
        <f aca="true">NORMINV(RAND(),0,M$7)</f>
        <v>-0.135727899630014</v>
      </c>
      <c r="N323" s="53" t="n">
        <f aca="true">NORMINV(RAND(),0,N$7)</f>
        <v>0.30178451671106</v>
      </c>
      <c r="O323" s="53" t="n">
        <f aca="false">SUM(J323:N323)</f>
        <v>0.416565571049388</v>
      </c>
    </row>
    <row r="324" customFormat="false" ht="15" hidden="false" customHeight="false" outlineLevel="0" collapsed="false">
      <c r="A324" s="2" t="n">
        <v>316</v>
      </c>
      <c r="B324" s="53" t="n">
        <f aca="true">NORMINV(RAND(),0,B$7)</f>
        <v>-1.88950658002556</v>
      </c>
      <c r="C324" s="53" t="n">
        <f aca="true">NORMINV(RAND(),0,C$7)</f>
        <v>1.76739729843988</v>
      </c>
      <c r="D324" s="53" t="n">
        <f aca="true">NORMINV(RAND(),0,D$7)</f>
        <v>3.02555932705243</v>
      </c>
      <c r="E324" s="53" t="n">
        <f aca="true">NORMINV(RAND(),0,E$7)</f>
        <v>0.689456734883173</v>
      </c>
      <c r="F324" s="53" t="n">
        <f aca="true">NORMINV(RAND(),0,F$7)</f>
        <v>0.389309233390235</v>
      </c>
      <c r="G324" s="53" t="n">
        <f aca="true">NORMINV(RAND(),0,G$7)</f>
        <v>-0.702666147332098</v>
      </c>
      <c r="H324" s="53" t="n">
        <f aca="true">NORMINV(RAND(),0,H$7)</f>
        <v>0.273273499627067</v>
      </c>
      <c r="I324" s="53" t="n">
        <f aca="false">SUM(B324:H324)</f>
        <v>3.55282336603513</v>
      </c>
      <c r="J324" s="53" t="n">
        <f aca="true">NORMINV(RAND(),0,J$7)</f>
        <v>0.35820057837842</v>
      </c>
      <c r="K324" s="53" t="n">
        <f aca="true">NORMINV(RAND(),0,K$7)</f>
        <v>0.138875977811115</v>
      </c>
      <c r="L324" s="53" t="n">
        <f aca="true">NORMINV(RAND(),0,L$7)</f>
        <v>-0.103593587982286</v>
      </c>
      <c r="M324" s="53" t="n">
        <f aca="true">NORMINV(RAND(),0,M$7)</f>
        <v>0.151639942037775</v>
      </c>
      <c r="N324" s="53" t="n">
        <f aca="true">NORMINV(RAND(),0,N$7)</f>
        <v>-0.203132541789136</v>
      </c>
      <c r="O324" s="53" t="n">
        <f aca="false">SUM(J324:N324)</f>
        <v>0.341990368455887</v>
      </c>
    </row>
    <row r="325" customFormat="false" ht="15" hidden="false" customHeight="false" outlineLevel="0" collapsed="false">
      <c r="A325" s="2" t="n">
        <v>317</v>
      </c>
      <c r="B325" s="53" t="n">
        <f aca="true">NORMINV(RAND(),0,B$7)</f>
        <v>-1.38488375519121</v>
      </c>
      <c r="C325" s="53" t="n">
        <f aca="true">NORMINV(RAND(),0,C$7)</f>
        <v>-0.558932718558675</v>
      </c>
      <c r="D325" s="53" t="n">
        <f aca="true">NORMINV(RAND(),0,D$7)</f>
        <v>2.39609662849833</v>
      </c>
      <c r="E325" s="53" t="n">
        <f aca="true">NORMINV(RAND(),0,E$7)</f>
        <v>0.234378776391193</v>
      </c>
      <c r="F325" s="53" t="n">
        <f aca="true">NORMINV(RAND(),0,F$7)</f>
        <v>0.0972562107076258</v>
      </c>
      <c r="G325" s="53" t="n">
        <f aca="true">NORMINV(RAND(),0,G$7)</f>
        <v>0.45664153392193</v>
      </c>
      <c r="H325" s="53" t="n">
        <f aca="true">NORMINV(RAND(),0,H$7)</f>
        <v>-0.1852087608621</v>
      </c>
      <c r="I325" s="53" t="n">
        <f aca="false">SUM(B325:H325)</f>
        <v>1.05534791490709</v>
      </c>
      <c r="J325" s="53" t="n">
        <f aca="true">NORMINV(RAND(),0,J$7)</f>
        <v>-2.34362095461091</v>
      </c>
      <c r="K325" s="53" t="n">
        <f aca="true">NORMINV(RAND(),0,K$7)</f>
        <v>0.0671257864912055</v>
      </c>
      <c r="L325" s="53" t="n">
        <f aca="true">NORMINV(RAND(),0,L$7)</f>
        <v>-0.181841829862413</v>
      </c>
      <c r="M325" s="53" t="n">
        <f aca="true">NORMINV(RAND(),0,M$7)</f>
        <v>0.109386865057271</v>
      </c>
      <c r="N325" s="53" t="n">
        <f aca="true">NORMINV(RAND(),0,N$7)</f>
        <v>-0.164832975926632</v>
      </c>
      <c r="O325" s="53" t="n">
        <f aca="false">SUM(J325:N325)</f>
        <v>-2.51378310885148</v>
      </c>
    </row>
    <row r="326" customFormat="false" ht="15" hidden="false" customHeight="false" outlineLevel="0" collapsed="false">
      <c r="A326" s="2" t="n">
        <v>318</v>
      </c>
      <c r="B326" s="53" t="n">
        <f aca="true">NORMINV(RAND(),0,B$7)</f>
        <v>0.633529866174056</v>
      </c>
      <c r="C326" s="53" t="n">
        <f aca="true">NORMINV(RAND(),0,C$7)</f>
        <v>0.778594348212307</v>
      </c>
      <c r="D326" s="53" t="n">
        <f aca="true">NORMINV(RAND(),0,D$7)</f>
        <v>0.880217210126225</v>
      </c>
      <c r="E326" s="53" t="n">
        <f aca="true">NORMINV(RAND(),0,E$7)</f>
        <v>-0.217889362581208</v>
      </c>
      <c r="F326" s="53" t="n">
        <f aca="true">NORMINV(RAND(),0,F$7)</f>
        <v>0.109434924072455</v>
      </c>
      <c r="G326" s="53" t="n">
        <f aca="true">NORMINV(RAND(),0,G$7)</f>
        <v>-0.149286102840865</v>
      </c>
      <c r="H326" s="53" t="n">
        <f aca="true">NORMINV(RAND(),0,H$7)</f>
        <v>0.680801317021982</v>
      </c>
      <c r="I326" s="53" t="n">
        <f aca="false">SUM(B326:H326)</f>
        <v>2.71540220018495</v>
      </c>
      <c r="J326" s="53" t="n">
        <f aca="true">NORMINV(RAND(),0,J$7)</f>
        <v>2.45178335477685</v>
      </c>
      <c r="K326" s="53" t="n">
        <f aca="true">NORMINV(RAND(),0,K$7)</f>
        <v>-0.930865347296405</v>
      </c>
      <c r="L326" s="53" t="n">
        <f aca="true">NORMINV(RAND(),0,L$7)</f>
        <v>0.11909655853041</v>
      </c>
      <c r="M326" s="53" t="n">
        <f aca="true">NORMINV(RAND(),0,M$7)</f>
        <v>-0.0923696403871662</v>
      </c>
      <c r="N326" s="53" t="n">
        <f aca="true">NORMINV(RAND(),0,N$7)</f>
        <v>0.117250797851952</v>
      </c>
      <c r="O326" s="53" t="n">
        <f aca="false">SUM(J326:N326)</f>
        <v>1.66489572347565</v>
      </c>
    </row>
    <row r="327" customFormat="false" ht="15" hidden="false" customHeight="false" outlineLevel="0" collapsed="false">
      <c r="A327" s="2" t="n">
        <v>319</v>
      </c>
      <c r="B327" s="53" t="n">
        <f aca="true">NORMINV(RAND(),0,B$7)</f>
        <v>1.00780011957163</v>
      </c>
      <c r="C327" s="53" t="n">
        <f aca="true">NORMINV(RAND(),0,C$7)</f>
        <v>2.68781188154364</v>
      </c>
      <c r="D327" s="53" t="n">
        <f aca="true">NORMINV(RAND(),0,D$7)</f>
        <v>-0.0252157548563225</v>
      </c>
      <c r="E327" s="53" t="n">
        <f aca="true">NORMINV(RAND(),0,E$7)</f>
        <v>0.100602156276425</v>
      </c>
      <c r="F327" s="53" t="n">
        <f aca="true">NORMINV(RAND(),0,F$7)</f>
        <v>0.178443317554281</v>
      </c>
      <c r="G327" s="53" t="n">
        <f aca="true">NORMINV(RAND(),0,G$7)</f>
        <v>-0.614285543694132</v>
      </c>
      <c r="H327" s="53" t="n">
        <f aca="true">NORMINV(RAND(),0,H$7)</f>
        <v>-0.0919526653961119</v>
      </c>
      <c r="I327" s="53" t="n">
        <f aca="false">SUM(B327:H327)</f>
        <v>3.24320351099942</v>
      </c>
      <c r="J327" s="53" t="n">
        <f aca="true">NORMINV(RAND(),0,J$7)</f>
        <v>-3.31905138393113</v>
      </c>
      <c r="K327" s="53" t="n">
        <f aca="true">NORMINV(RAND(),0,K$7)</f>
        <v>-0.501050025792762</v>
      </c>
      <c r="L327" s="53" t="n">
        <f aca="true">NORMINV(RAND(),0,L$7)</f>
        <v>0.936050154759432</v>
      </c>
      <c r="M327" s="53" t="n">
        <f aca="true">NORMINV(RAND(),0,M$7)</f>
        <v>0.0409920002263074</v>
      </c>
      <c r="N327" s="53" t="n">
        <f aca="true">NORMINV(RAND(),0,N$7)</f>
        <v>0.0748628402752381</v>
      </c>
      <c r="O327" s="53" t="n">
        <f aca="false">SUM(J327:N327)</f>
        <v>-2.76819641446291</v>
      </c>
    </row>
    <row r="328" customFormat="false" ht="15" hidden="false" customHeight="false" outlineLevel="0" collapsed="false">
      <c r="A328" s="2" t="n">
        <v>320</v>
      </c>
      <c r="B328" s="53" t="n">
        <f aca="true">NORMINV(RAND(),0,B$7)</f>
        <v>-0.985105582146256</v>
      </c>
      <c r="C328" s="53" t="n">
        <f aca="true">NORMINV(RAND(),0,C$7)</f>
        <v>1.54947219162261</v>
      </c>
      <c r="D328" s="53" t="n">
        <f aca="true">NORMINV(RAND(),0,D$7)</f>
        <v>1.64241041983569</v>
      </c>
      <c r="E328" s="53" t="n">
        <f aca="true">NORMINV(RAND(),0,E$7)</f>
        <v>0.304353386897586</v>
      </c>
      <c r="F328" s="53" t="n">
        <f aca="true">NORMINV(RAND(),0,F$7)</f>
        <v>0.000946082874643199</v>
      </c>
      <c r="G328" s="53" t="n">
        <f aca="true">NORMINV(RAND(),0,G$7)</f>
        <v>0.936621488284685</v>
      </c>
      <c r="H328" s="53" t="n">
        <f aca="true">NORMINV(RAND(),0,H$7)</f>
        <v>-0.295464985884834</v>
      </c>
      <c r="I328" s="53" t="n">
        <f aca="false">SUM(B328:H328)</f>
        <v>3.15323300148412</v>
      </c>
      <c r="J328" s="53" t="n">
        <f aca="true">NORMINV(RAND(),0,J$7)</f>
        <v>-2.20850086570042</v>
      </c>
      <c r="K328" s="53" t="n">
        <f aca="true">NORMINV(RAND(),0,K$7)</f>
        <v>-0.0333761860326409</v>
      </c>
      <c r="L328" s="53" t="n">
        <f aca="true">NORMINV(RAND(),0,L$7)</f>
        <v>0.809092939702285</v>
      </c>
      <c r="M328" s="53" t="n">
        <f aca="true">NORMINV(RAND(),0,M$7)</f>
        <v>0.0441243926437382</v>
      </c>
      <c r="N328" s="53" t="n">
        <f aca="true">NORMINV(RAND(),0,N$7)</f>
        <v>0.0896040338719066</v>
      </c>
      <c r="O328" s="53" t="n">
        <f aca="false">SUM(J328:N328)</f>
        <v>-1.29905568551513</v>
      </c>
    </row>
    <row r="329" customFormat="false" ht="15" hidden="false" customHeight="false" outlineLevel="0" collapsed="false">
      <c r="A329" s="2" t="n">
        <v>321</v>
      </c>
      <c r="B329" s="53" t="n">
        <f aca="true">NORMINV(RAND(),0,B$7)</f>
        <v>1.30506797343592</v>
      </c>
      <c r="C329" s="53" t="n">
        <f aca="true">NORMINV(RAND(),0,C$7)</f>
        <v>-0.888760763181743</v>
      </c>
      <c r="D329" s="53" t="n">
        <f aca="true">NORMINV(RAND(),0,D$7)</f>
        <v>1.60278025268645</v>
      </c>
      <c r="E329" s="53" t="n">
        <f aca="true">NORMINV(RAND(),0,E$7)</f>
        <v>0.770162109845369</v>
      </c>
      <c r="F329" s="53" t="n">
        <f aca="true">NORMINV(RAND(),0,F$7)</f>
        <v>-0.0103806006378883</v>
      </c>
      <c r="G329" s="53" t="n">
        <f aca="true">NORMINV(RAND(),0,G$7)</f>
        <v>-1.52227591870429</v>
      </c>
      <c r="H329" s="53" t="n">
        <f aca="true">NORMINV(RAND(),0,H$7)</f>
        <v>-0.25782671591358</v>
      </c>
      <c r="I329" s="53" t="n">
        <f aca="false">SUM(B329:H329)</f>
        <v>0.998766337530238</v>
      </c>
      <c r="J329" s="53" t="n">
        <f aca="true">NORMINV(RAND(),0,J$7)</f>
        <v>1.37652761426455</v>
      </c>
      <c r="K329" s="53" t="n">
        <f aca="true">NORMINV(RAND(),0,K$7)</f>
        <v>-0.629395772734806</v>
      </c>
      <c r="L329" s="53" t="n">
        <f aca="true">NORMINV(RAND(),0,L$7)</f>
        <v>-0.165875013732669</v>
      </c>
      <c r="M329" s="53" t="n">
        <f aca="true">NORMINV(RAND(),0,M$7)</f>
        <v>0.275925007895804</v>
      </c>
      <c r="N329" s="53" t="n">
        <f aca="true">NORMINV(RAND(),0,N$7)</f>
        <v>-0.206708663669236</v>
      </c>
      <c r="O329" s="53" t="n">
        <f aca="false">SUM(J329:N329)</f>
        <v>0.65047317202364</v>
      </c>
    </row>
    <row r="330" customFormat="false" ht="15" hidden="false" customHeight="false" outlineLevel="0" collapsed="false">
      <c r="A330" s="2" t="n">
        <v>322</v>
      </c>
      <c r="B330" s="53" t="n">
        <f aca="true">NORMINV(RAND(),0,B$7)</f>
        <v>-0.622148562064108</v>
      </c>
      <c r="C330" s="53" t="n">
        <f aca="true">NORMINV(RAND(),0,C$7)</f>
        <v>0.0684438074608951</v>
      </c>
      <c r="D330" s="53" t="n">
        <f aca="true">NORMINV(RAND(),0,D$7)</f>
        <v>4.49658885936374</v>
      </c>
      <c r="E330" s="53" t="n">
        <f aca="true">NORMINV(RAND(),0,E$7)</f>
        <v>-0.774227532072958</v>
      </c>
      <c r="F330" s="53" t="n">
        <f aca="true">NORMINV(RAND(),0,F$7)</f>
        <v>-0.0505446145751632</v>
      </c>
      <c r="G330" s="53" t="n">
        <f aca="true">NORMINV(RAND(),0,G$7)</f>
        <v>0.362991640311778</v>
      </c>
      <c r="H330" s="53" t="n">
        <f aca="true">NORMINV(RAND(),0,H$7)</f>
        <v>0.147394424173225</v>
      </c>
      <c r="I330" s="53" t="n">
        <f aca="false">SUM(B330:H330)</f>
        <v>3.62849802259741</v>
      </c>
      <c r="J330" s="53" t="n">
        <f aca="true">NORMINV(RAND(),0,J$7)</f>
        <v>1.12067878163428</v>
      </c>
      <c r="K330" s="53" t="n">
        <f aca="true">NORMINV(RAND(),0,K$7)</f>
        <v>-1.3001206685799</v>
      </c>
      <c r="L330" s="53" t="n">
        <f aca="true">NORMINV(RAND(),0,L$7)</f>
        <v>0.36405052183086</v>
      </c>
      <c r="M330" s="53" t="n">
        <f aca="true">NORMINV(RAND(),0,M$7)</f>
        <v>0.00150267404595036</v>
      </c>
      <c r="N330" s="53" t="n">
        <f aca="true">NORMINV(RAND(),0,N$7)</f>
        <v>0.059478438938736</v>
      </c>
      <c r="O330" s="53" t="n">
        <f aca="false">SUM(J330:N330)</f>
        <v>0.245589747869927</v>
      </c>
    </row>
    <row r="331" customFormat="false" ht="15" hidden="false" customHeight="false" outlineLevel="0" collapsed="false">
      <c r="A331" s="2" t="n">
        <v>323</v>
      </c>
      <c r="B331" s="53" t="n">
        <f aca="true">NORMINV(RAND(),0,B$7)</f>
        <v>-1.13334788638115</v>
      </c>
      <c r="C331" s="53" t="n">
        <f aca="true">NORMINV(RAND(),0,C$7)</f>
        <v>1.10510284154508</v>
      </c>
      <c r="D331" s="53" t="n">
        <f aca="true">NORMINV(RAND(),0,D$7)</f>
        <v>1.04418072005402</v>
      </c>
      <c r="E331" s="53" t="n">
        <f aca="true">NORMINV(RAND(),0,E$7)</f>
        <v>-0.529841365080908</v>
      </c>
      <c r="F331" s="53" t="n">
        <f aca="true">NORMINV(RAND(),0,F$7)</f>
        <v>0.215622196990626</v>
      </c>
      <c r="G331" s="53" t="n">
        <f aca="true">NORMINV(RAND(),0,G$7)</f>
        <v>-1.71138445167416</v>
      </c>
      <c r="H331" s="53" t="n">
        <f aca="true">NORMINV(RAND(),0,H$7)</f>
        <v>-0.120975397880864</v>
      </c>
      <c r="I331" s="53" t="n">
        <f aca="false">SUM(B331:H331)</f>
        <v>-1.13064334242735</v>
      </c>
      <c r="J331" s="53" t="n">
        <f aca="true">NORMINV(RAND(),0,J$7)</f>
        <v>-3.64319615577916</v>
      </c>
      <c r="K331" s="53" t="n">
        <f aca="true">NORMINV(RAND(),0,K$7)</f>
        <v>-0.302353633658564</v>
      </c>
      <c r="L331" s="53" t="n">
        <f aca="true">NORMINV(RAND(),0,L$7)</f>
        <v>-0.232839038516414</v>
      </c>
      <c r="M331" s="53" t="n">
        <f aca="true">NORMINV(RAND(),0,M$7)</f>
        <v>-0.189733095975827</v>
      </c>
      <c r="N331" s="53" t="n">
        <f aca="true">NORMINV(RAND(),0,N$7)</f>
        <v>-0.415157614351743</v>
      </c>
      <c r="O331" s="53" t="n">
        <f aca="false">SUM(J331:N331)</f>
        <v>-4.78327953828171</v>
      </c>
    </row>
    <row r="332" customFormat="false" ht="15" hidden="false" customHeight="false" outlineLevel="0" collapsed="false">
      <c r="A332" s="2" t="n">
        <v>324</v>
      </c>
      <c r="B332" s="53" t="n">
        <f aca="true">NORMINV(RAND(),0,B$7)</f>
        <v>1.39624507978165</v>
      </c>
      <c r="C332" s="53" t="n">
        <f aca="true">NORMINV(RAND(),0,C$7)</f>
        <v>1.80376289544678</v>
      </c>
      <c r="D332" s="53" t="n">
        <f aca="true">NORMINV(RAND(),0,D$7)</f>
        <v>2.91882518808066</v>
      </c>
      <c r="E332" s="53" t="n">
        <f aca="true">NORMINV(RAND(),0,E$7)</f>
        <v>0.144183698214827</v>
      </c>
      <c r="F332" s="53" t="n">
        <f aca="true">NORMINV(RAND(),0,F$7)</f>
        <v>-0.304977771934405</v>
      </c>
      <c r="G332" s="53" t="n">
        <f aca="true">NORMINV(RAND(),0,G$7)</f>
        <v>0.00400645904535878</v>
      </c>
      <c r="H332" s="53" t="n">
        <f aca="true">NORMINV(RAND(),0,H$7)</f>
        <v>-0.0235357802923</v>
      </c>
      <c r="I332" s="53" t="n">
        <f aca="false">SUM(B332:H332)</f>
        <v>5.93850976834257</v>
      </c>
      <c r="J332" s="53" t="n">
        <f aca="true">NORMINV(RAND(),0,J$7)</f>
        <v>-0.967187092860631</v>
      </c>
      <c r="K332" s="53" t="n">
        <f aca="true">NORMINV(RAND(),0,K$7)</f>
        <v>-0.420315589662425</v>
      </c>
      <c r="L332" s="53" t="n">
        <f aca="true">NORMINV(RAND(),0,L$7)</f>
        <v>0.00377051934149532</v>
      </c>
      <c r="M332" s="53" t="n">
        <f aca="true">NORMINV(RAND(),0,M$7)</f>
        <v>0.0933471001293804</v>
      </c>
      <c r="N332" s="53" t="n">
        <f aca="true">NORMINV(RAND(),0,N$7)</f>
        <v>0.307692423277365</v>
      </c>
      <c r="O332" s="53" t="n">
        <f aca="false">SUM(J332:N332)</f>
        <v>-0.982692639774816</v>
      </c>
    </row>
    <row r="333" customFormat="false" ht="15" hidden="false" customHeight="false" outlineLevel="0" collapsed="false">
      <c r="A333" s="2" t="n">
        <v>325</v>
      </c>
      <c r="B333" s="53" t="n">
        <f aca="true">NORMINV(RAND(),0,B$7)</f>
        <v>-1.69582844897234</v>
      </c>
      <c r="C333" s="53" t="n">
        <f aca="true">NORMINV(RAND(),0,C$7)</f>
        <v>0.00869368070574384</v>
      </c>
      <c r="D333" s="53" t="n">
        <f aca="true">NORMINV(RAND(),0,D$7)</f>
        <v>-1.97580339043746</v>
      </c>
      <c r="E333" s="53" t="n">
        <f aca="true">NORMINV(RAND(),0,E$7)</f>
        <v>0.109795114919318</v>
      </c>
      <c r="F333" s="53" t="n">
        <f aca="true">NORMINV(RAND(),0,F$7)</f>
        <v>-0.0645404755521781</v>
      </c>
      <c r="G333" s="53" t="n">
        <f aca="true">NORMINV(RAND(),0,G$7)</f>
        <v>-1.3322110603804</v>
      </c>
      <c r="H333" s="53" t="n">
        <f aca="true">NORMINV(RAND(),0,H$7)</f>
        <v>-0.473699712181197</v>
      </c>
      <c r="I333" s="53" t="n">
        <f aca="false">SUM(B333:H333)</f>
        <v>-5.42359429189851</v>
      </c>
      <c r="J333" s="53" t="n">
        <f aca="true">NORMINV(RAND(),0,J$7)</f>
        <v>-2.05851304763994</v>
      </c>
      <c r="K333" s="53" t="n">
        <f aca="true">NORMINV(RAND(),0,K$7)</f>
        <v>-0.179204118870436</v>
      </c>
      <c r="L333" s="53" t="n">
        <f aca="true">NORMINV(RAND(),0,L$7)</f>
        <v>-0.147412139179894</v>
      </c>
      <c r="M333" s="53" t="n">
        <f aca="true">NORMINV(RAND(),0,M$7)</f>
        <v>0.420042273197956</v>
      </c>
      <c r="N333" s="53" t="n">
        <f aca="true">NORMINV(RAND(),0,N$7)</f>
        <v>0.104659421262971</v>
      </c>
      <c r="O333" s="53" t="n">
        <f aca="false">SUM(J333:N333)</f>
        <v>-1.86042761122935</v>
      </c>
    </row>
    <row r="334" customFormat="false" ht="15" hidden="false" customHeight="false" outlineLevel="0" collapsed="false">
      <c r="A334" s="2" t="n">
        <v>326</v>
      </c>
      <c r="B334" s="53" t="n">
        <f aca="true">NORMINV(RAND(),0,B$7)</f>
        <v>0.427534131314656</v>
      </c>
      <c r="C334" s="53" t="n">
        <f aca="true">NORMINV(RAND(),0,C$7)</f>
        <v>0.843353757334439</v>
      </c>
      <c r="D334" s="53" t="n">
        <f aca="true">NORMINV(RAND(),0,D$7)</f>
        <v>3.44961648060036</v>
      </c>
      <c r="E334" s="53" t="n">
        <f aca="true">NORMINV(RAND(),0,E$7)</f>
        <v>0.108940295417973</v>
      </c>
      <c r="F334" s="53" t="n">
        <f aca="true">NORMINV(RAND(),0,F$7)</f>
        <v>0.0376108208640913</v>
      </c>
      <c r="G334" s="53" t="n">
        <f aca="true">NORMINV(RAND(),0,G$7)</f>
        <v>0.733365256857468</v>
      </c>
      <c r="H334" s="53" t="n">
        <f aca="true">NORMINV(RAND(),0,H$7)</f>
        <v>0.491430134651535</v>
      </c>
      <c r="I334" s="53" t="n">
        <f aca="false">SUM(B334:H334)</f>
        <v>6.09185087704052</v>
      </c>
      <c r="J334" s="53" t="n">
        <f aca="true">NORMINV(RAND(),0,J$7)</f>
        <v>3.64675648872838</v>
      </c>
      <c r="K334" s="53" t="n">
        <f aca="true">NORMINV(RAND(),0,K$7)</f>
        <v>0.36377393596765</v>
      </c>
      <c r="L334" s="53" t="n">
        <f aca="true">NORMINV(RAND(),0,L$7)</f>
        <v>0.48251025907784</v>
      </c>
      <c r="M334" s="53" t="n">
        <f aca="true">NORMINV(RAND(),0,M$7)</f>
        <v>0.0248813423680567</v>
      </c>
      <c r="N334" s="53" t="n">
        <f aca="true">NORMINV(RAND(),0,N$7)</f>
        <v>-0.0722296923364316</v>
      </c>
      <c r="O334" s="53" t="n">
        <f aca="false">SUM(J334:N334)</f>
        <v>4.4456923338055</v>
      </c>
    </row>
    <row r="335" customFormat="false" ht="15" hidden="false" customHeight="false" outlineLevel="0" collapsed="false">
      <c r="A335" s="2" t="n">
        <v>327</v>
      </c>
      <c r="B335" s="53" t="n">
        <f aca="true">NORMINV(RAND(),0,B$7)</f>
        <v>-0.0983855848779425</v>
      </c>
      <c r="C335" s="53" t="n">
        <f aca="true">NORMINV(RAND(),0,C$7)</f>
        <v>-0.0738730691639434</v>
      </c>
      <c r="D335" s="53" t="n">
        <f aca="true">NORMINV(RAND(),0,D$7)</f>
        <v>-1.04492968308466</v>
      </c>
      <c r="E335" s="53" t="n">
        <f aca="true">NORMINV(RAND(),0,E$7)</f>
        <v>-0.195033258593544</v>
      </c>
      <c r="F335" s="53" t="n">
        <f aca="true">NORMINV(RAND(),0,F$7)</f>
        <v>0.348327363801985</v>
      </c>
      <c r="G335" s="53" t="n">
        <f aca="true">NORMINV(RAND(),0,G$7)</f>
        <v>-1.02200654598676</v>
      </c>
      <c r="H335" s="53" t="n">
        <f aca="true">NORMINV(RAND(),0,H$7)</f>
        <v>-0.351057406932567</v>
      </c>
      <c r="I335" s="53" t="n">
        <f aca="false">SUM(B335:H335)</f>
        <v>-2.43695818483743</v>
      </c>
      <c r="J335" s="53" t="n">
        <f aca="true">NORMINV(RAND(),0,J$7)</f>
        <v>-0.40472344264462</v>
      </c>
      <c r="K335" s="53" t="n">
        <f aca="true">NORMINV(RAND(),0,K$7)</f>
        <v>1.80244572043693</v>
      </c>
      <c r="L335" s="53" t="n">
        <f aca="true">NORMINV(RAND(),0,L$7)</f>
        <v>-0.003597958176507</v>
      </c>
      <c r="M335" s="53" t="n">
        <f aca="true">NORMINV(RAND(),0,M$7)</f>
        <v>0.0712986130140367</v>
      </c>
      <c r="N335" s="53" t="n">
        <f aca="true">NORMINV(RAND(),0,N$7)</f>
        <v>-0.252570484888333</v>
      </c>
      <c r="O335" s="53" t="n">
        <f aca="false">SUM(J335:N335)</f>
        <v>1.21285244774151</v>
      </c>
    </row>
    <row r="336" customFormat="false" ht="15" hidden="false" customHeight="false" outlineLevel="0" collapsed="false">
      <c r="A336" s="2" t="n">
        <v>328</v>
      </c>
      <c r="B336" s="53" t="n">
        <f aca="true">NORMINV(RAND(),0,B$7)</f>
        <v>0.360651939898146</v>
      </c>
      <c r="C336" s="53" t="n">
        <f aca="true">NORMINV(RAND(),0,C$7)</f>
        <v>0.782589208661203</v>
      </c>
      <c r="D336" s="53" t="n">
        <f aca="true">NORMINV(RAND(),0,D$7)</f>
        <v>2.38375269298271</v>
      </c>
      <c r="E336" s="53" t="n">
        <f aca="true">NORMINV(RAND(),0,E$7)</f>
        <v>-0.161296834343394</v>
      </c>
      <c r="F336" s="53" t="n">
        <f aca="true">NORMINV(RAND(),0,F$7)</f>
        <v>-0.0671094185572525</v>
      </c>
      <c r="G336" s="53" t="n">
        <f aca="true">NORMINV(RAND(),0,G$7)</f>
        <v>0.101436138699338</v>
      </c>
      <c r="H336" s="53" t="n">
        <f aca="true">NORMINV(RAND(),0,H$7)</f>
        <v>-0.171179343005974</v>
      </c>
      <c r="I336" s="53" t="n">
        <f aca="false">SUM(B336:H336)</f>
        <v>3.22884438433478</v>
      </c>
      <c r="J336" s="53" t="n">
        <f aca="true">NORMINV(RAND(),0,J$7)</f>
        <v>2.76951464425109</v>
      </c>
      <c r="K336" s="53" t="n">
        <f aca="true">NORMINV(RAND(),0,K$7)</f>
        <v>0.835272193346994</v>
      </c>
      <c r="L336" s="53" t="n">
        <f aca="true">NORMINV(RAND(),0,L$7)</f>
        <v>0.589507631276718</v>
      </c>
      <c r="M336" s="53" t="n">
        <f aca="true">NORMINV(RAND(),0,M$7)</f>
        <v>-0.12227243215725</v>
      </c>
      <c r="N336" s="53" t="n">
        <f aca="true">NORMINV(RAND(),0,N$7)</f>
        <v>-0.490421611391841</v>
      </c>
      <c r="O336" s="53" t="n">
        <f aca="false">SUM(J336:N336)</f>
        <v>3.58160042532571</v>
      </c>
    </row>
    <row r="337" customFormat="false" ht="15" hidden="false" customHeight="false" outlineLevel="0" collapsed="false">
      <c r="A337" s="2" t="n">
        <v>329</v>
      </c>
      <c r="B337" s="53" t="n">
        <f aca="true">NORMINV(RAND(),0,B$7)</f>
        <v>1.40884306799992</v>
      </c>
      <c r="C337" s="53" t="n">
        <f aca="true">NORMINV(RAND(),0,C$7)</f>
        <v>0.414567710188964</v>
      </c>
      <c r="D337" s="53" t="n">
        <f aca="true">NORMINV(RAND(),0,D$7)</f>
        <v>2.35517082555451</v>
      </c>
      <c r="E337" s="53" t="n">
        <f aca="true">NORMINV(RAND(),0,E$7)</f>
        <v>0.0766295535766104</v>
      </c>
      <c r="F337" s="53" t="n">
        <f aca="true">NORMINV(RAND(),0,F$7)</f>
        <v>-0.251988336106412</v>
      </c>
      <c r="G337" s="53" t="n">
        <f aca="true">NORMINV(RAND(),0,G$7)</f>
        <v>0.491920695459329</v>
      </c>
      <c r="H337" s="53" t="n">
        <f aca="true">NORMINV(RAND(),0,H$7)</f>
        <v>0.14280432183818</v>
      </c>
      <c r="I337" s="53" t="n">
        <f aca="false">SUM(B337:H337)</f>
        <v>4.6379478385111</v>
      </c>
      <c r="J337" s="53" t="n">
        <f aca="true">NORMINV(RAND(),0,J$7)</f>
        <v>-1.71249019767046</v>
      </c>
      <c r="K337" s="53" t="n">
        <f aca="true">NORMINV(RAND(),0,K$7)</f>
        <v>-0.118947744509853</v>
      </c>
      <c r="L337" s="53" t="n">
        <f aca="true">NORMINV(RAND(),0,L$7)</f>
        <v>0.13907201196882</v>
      </c>
      <c r="M337" s="53" t="n">
        <f aca="true">NORMINV(RAND(),0,M$7)</f>
        <v>-0.0609303251301392</v>
      </c>
      <c r="N337" s="53" t="n">
        <f aca="true">NORMINV(RAND(),0,N$7)</f>
        <v>0.17856940601956</v>
      </c>
      <c r="O337" s="53" t="n">
        <f aca="false">SUM(J337:N337)</f>
        <v>-1.57472684932208</v>
      </c>
    </row>
    <row r="338" customFormat="false" ht="15" hidden="false" customHeight="false" outlineLevel="0" collapsed="false">
      <c r="A338" s="2" t="n">
        <v>330</v>
      </c>
      <c r="B338" s="53" t="n">
        <f aca="true">NORMINV(RAND(),0,B$7)</f>
        <v>-0.222092735235592</v>
      </c>
      <c r="C338" s="53" t="n">
        <f aca="true">NORMINV(RAND(),0,C$7)</f>
        <v>0.396929069305282</v>
      </c>
      <c r="D338" s="53" t="n">
        <f aca="true">NORMINV(RAND(),0,D$7)</f>
        <v>-0.238592545369276</v>
      </c>
      <c r="E338" s="53" t="n">
        <f aca="true">NORMINV(RAND(),0,E$7)</f>
        <v>0.0877784603717368</v>
      </c>
      <c r="F338" s="53" t="n">
        <f aca="true">NORMINV(RAND(),0,F$7)</f>
        <v>0.0955368778573956</v>
      </c>
      <c r="G338" s="53" t="n">
        <f aca="true">NORMINV(RAND(),0,G$7)</f>
        <v>-0.399308246768063</v>
      </c>
      <c r="H338" s="53" t="n">
        <f aca="true">NORMINV(RAND(),0,H$7)</f>
        <v>0.00551061325215072</v>
      </c>
      <c r="I338" s="53" t="n">
        <f aca="false">SUM(B338:H338)</f>
        <v>-0.274238506586365</v>
      </c>
      <c r="J338" s="53" t="n">
        <f aca="true">NORMINV(RAND(),0,J$7)</f>
        <v>-3.53743765224987</v>
      </c>
      <c r="K338" s="53" t="n">
        <f aca="true">NORMINV(RAND(),0,K$7)</f>
        <v>0.452435270818607</v>
      </c>
      <c r="L338" s="53" t="n">
        <f aca="true">NORMINV(RAND(),0,L$7)</f>
        <v>-0.2690650194853</v>
      </c>
      <c r="M338" s="53" t="n">
        <f aca="true">NORMINV(RAND(),0,M$7)</f>
        <v>-0.225092454747915</v>
      </c>
      <c r="N338" s="53" t="n">
        <f aca="true">NORMINV(RAND(),0,N$7)</f>
        <v>-0.537663484102976</v>
      </c>
      <c r="O338" s="53" t="n">
        <f aca="false">SUM(J338:N338)</f>
        <v>-4.11682333976745</v>
      </c>
    </row>
    <row r="339" customFormat="false" ht="15" hidden="false" customHeight="false" outlineLevel="0" collapsed="false">
      <c r="A339" s="2" t="n">
        <v>331</v>
      </c>
      <c r="B339" s="53" t="n">
        <f aca="true">NORMINV(RAND(),0,B$7)</f>
        <v>0.539719172247127</v>
      </c>
      <c r="C339" s="53" t="n">
        <f aca="true">NORMINV(RAND(),0,C$7)</f>
        <v>-4.04474997827178</v>
      </c>
      <c r="D339" s="53" t="n">
        <f aca="true">NORMINV(RAND(),0,D$7)</f>
        <v>-1.65650611346605</v>
      </c>
      <c r="E339" s="53" t="n">
        <f aca="true">NORMINV(RAND(),0,E$7)</f>
        <v>0.0121730135454672</v>
      </c>
      <c r="F339" s="53" t="n">
        <f aca="true">NORMINV(RAND(),0,F$7)</f>
        <v>-0.280231629048206</v>
      </c>
      <c r="G339" s="53" t="n">
        <f aca="true">NORMINV(RAND(),0,G$7)</f>
        <v>2.32628929125127</v>
      </c>
      <c r="H339" s="53" t="n">
        <f aca="true">NORMINV(RAND(),0,H$7)</f>
        <v>-0.249944003464695</v>
      </c>
      <c r="I339" s="53" t="n">
        <f aca="false">SUM(B339:H339)</f>
        <v>-3.35325024720687</v>
      </c>
      <c r="J339" s="53" t="n">
        <f aca="true">NORMINV(RAND(),0,J$7)</f>
        <v>-2.79858493803386</v>
      </c>
      <c r="K339" s="53" t="n">
        <f aca="true">NORMINV(RAND(),0,K$7)</f>
        <v>0.641111911470252</v>
      </c>
      <c r="L339" s="53" t="n">
        <f aca="true">NORMINV(RAND(),0,L$7)</f>
        <v>-0.32643926213251</v>
      </c>
      <c r="M339" s="53" t="n">
        <f aca="true">NORMINV(RAND(),0,M$7)</f>
        <v>0.0931188705548515</v>
      </c>
      <c r="N339" s="53" t="n">
        <f aca="true">NORMINV(RAND(),0,N$7)</f>
        <v>-0.445141239299565</v>
      </c>
      <c r="O339" s="53" t="n">
        <f aca="false">SUM(J339:N339)</f>
        <v>-2.83593465744083</v>
      </c>
    </row>
    <row r="340" customFormat="false" ht="15" hidden="false" customHeight="false" outlineLevel="0" collapsed="false">
      <c r="A340" s="2" t="n">
        <v>332</v>
      </c>
      <c r="B340" s="53" t="n">
        <f aca="true">NORMINV(RAND(),0,B$7)</f>
        <v>-1.04175222097382</v>
      </c>
      <c r="C340" s="53" t="n">
        <f aca="true">NORMINV(RAND(),0,C$7)</f>
        <v>-1.10182745160857</v>
      </c>
      <c r="D340" s="53" t="n">
        <f aca="true">NORMINV(RAND(),0,D$7)</f>
        <v>-2.87659099330937</v>
      </c>
      <c r="E340" s="53" t="n">
        <f aca="true">NORMINV(RAND(),0,E$7)</f>
        <v>-0.384523929713099</v>
      </c>
      <c r="F340" s="53" t="n">
        <f aca="true">NORMINV(RAND(),0,F$7)</f>
        <v>-0.0529838594337879</v>
      </c>
      <c r="G340" s="53" t="n">
        <f aca="true">NORMINV(RAND(),0,G$7)</f>
        <v>-0.515151135383998</v>
      </c>
      <c r="H340" s="53" t="n">
        <f aca="true">NORMINV(RAND(),0,H$7)</f>
        <v>-0.25186264280983</v>
      </c>
      <c r="I340" s="53" t="n">
        <f aca="false">SUM(B340:H340)</f>
        <v>-6.22469223323247</v>
      </c>
      <c r="J340" s="53" t="n">
        <f aca="true">NORMINV(RAND(),0,J$7)</f>
        <v>-2.64709492943139</v>
      </c>
      <c r="K340" s="53" t="n">
        <f aca="true">NORMINV(RAND(),0,K$7)</f>
        <v>-0.556263656466728</v>
      </c>
      <c r="L340" s="53" t="n">
        <f aca="true">NORMINV(RAND(),0,L$7)</f>
        <v>-0.380946976945614</v>
      </c>
      <c r="M340" s="53" t="n">
        <f aca="true">NORMINV(RAND(),0,M$7)</f>
        <v>-0.243451927257535</v>
      </c>
      <c r="N340" s="53" t="n">
        <f aca="true">NORMINV(RAND(),0,N$7)</f>
        <v>0.0988973955450446</v>
      </c>
      <c r="O340" s="53" t="n">
        <f aca="false">SUM(J340:N340)</f>
        <v>-3.72886009455623</v>
      </c>
    </row>
    <row r="341" customFormat="false" ht="15" hidden="false" customHeight="false" outlineLevel="0" collapsed="false">
      <c r="A341" s="2" t="n">
        <v>333</v>
      </c>
      <c r="B341" s="53" t="n">
        <f aca="true">NORMINV(RAND(),0,B$7)</f>
        <v>-1.13775140693161</v>
      </c>
      <c r="C341" s="53" t="n">
        <f aca="true">NORMINV(RAND(),0,C$7)</f>
        <v>2.22859278445295</v>
      </c>
      <c r="D341" s="53" t="n">
        <f aca="true">NORMINV(RAND(),0,D$7)</f>
        <v>-0.5574566907341</v>
      </c>
      <c r="E341" s="53" t="n">
        <f aca="true">NORMINV(RAND(),0,E$7)</f>
        <v>-0.4050382097995</v>
      </c>
      <c r="F341" s="53" t="n">
        <f aca="true">NORMINV(RAND(),0,F$7)</f>
        <v>0.0127844176038967</v>
      </c>
      <c r="G341" s="53" t="n">
        <f aca="true">NORMINV(RAND(),0,G$7)</f>
        <v>-2.7299998326903</v>
      </c>
      <c r="H341" s="53" t="n">
        <f aca="true">NORMINV(RAND(),0,H$7)</f>
        <v>0.0868682253091987</v>
      </c>
      <c r="I341" s="53" t="n">
        <f aca="false">SUM(B341:H341)</f>
        <v>-2.50200071278947</v>
      </c>
      <c r="J341" s="53" t="n">
        <f aca="true">NORMINV(RAND(),0,J$7)</f>
        <v>2.28669564896053</v>
      </c>
      <c r="K341" s="53" t="n">
        <f aca="true">NORMINV(RAND(),0,K$7)</f>
        <v>0.595197815049878</v>
      </c>
      <c r="L341" s="53" t="n">
        <f aca="true">NORMINV(RAND(),0,L$7)</f>
        <v>0.417512574244721</v>
      </c>
      <c r="M341" s="53" t="n">
        <f aca="true">NORMINV(RAND(),0,M$7)</f>
        <v>-0.149915696704415</v>
      </c>
      <c r="N341" s="53" t="n">
        <f aca="true">NORMINV(RAND(),0,N$7)</f>
        <v>0.239052546740298</v>
      </c>
      <c r="O341" s="53" t="n">
        <f aca="false">SUM(J341:N341)</f>
        <v>3.38854288829101</v>
      </c>
    </row>
    <row r="342" customFormat="false" ht="15" hidden="false" customHeight="false" outlineLevel="0" collapsed="false">
      <c r="A342" s="2" t="n">
        <v>334</v>
      </c>
      <c r="B342" s="53" t="n">
        <f aca="true">NORMINV(RAND(),0,B$7)</f>
        <v>1.29273250167112</v>
      </c>
      <c r="C342" s="53" t="n">
        <f aca="true">NORMINV(RAND(),0,C$7)</f>
        <v>-1.26573144070157</v>
      </c>
      <c r="D342" s="53" t="n">
        <f aca="true">NORMINV(RAND(),0,D$7)</f>
        <v>1.41130244313045</v>
      </c>
      <c r="E342" s="53" t="n">
        <f aca="true">NORMINV(RAND(),0,E$7)</f>
        <v>0.390486669614524</v>
      </c>
      <c r="F342" s="53" t="n">
        <f aca="true">NORMINV(RAND(),0,F$7)</f>
        <v>-0.617606412175093</v>
      </c>
      <c r="G342" s="53" t="n">
        <f aca="true">NORMINV(RAND(),0,G$7)</f>
        <v>-0.404098667435001</v>
      </c>
      <c r="H342" s="53" t="n">
        <f aca="true">NORMINV(RAND(),0,H$7)</f>
        <v>0.00874842443414065</v>
      </c>
      <c r="I342" s="53" t="n">
        <f aca="false">SUM(B342:H342)</f>
        <v>0.815833518538578</v>
      </c>
      <c r="J342" s="53" t="n">
        <f aca="true">NORMINV(RAND(),0,J$7)</f>
        <v>2.50283659816577</v>
      </c>
      <c r="K342" s="53" t="n">
        <f aca="true">NORMINV(RAND(),0,K$7)</f>
        <v>-0.110819907264336</v>
      </c>
      <c r="L342" s="53" t="n">
        <f aca="true">NORMINV(RAND(),0,L$7)</f>
        <v>-0.4407156407078</v>
      </c>
      <c r="M342" s="53" t="n">
        <f aca="true">NORMINV(RAND(),0,M$7)</f>
        <v>0.0886986550825107</v>
      </c>
      <c r="N342" s="53" t="n">
        <f aca="true">NORMINV(RAND(),0,N$7)</f>
        <v>0.150009849664068</v>
      </c>
      <c r="O342" s="53" t="n">
        <f aca="false">SUM(J342:N342)</f>
        <v>2.19000955494021</v>
      </c>
    </row>
    <row r="343" customFormat="false" ht="15" hidden="false" customHeight="false" outlineLevel="0" collapsed="false">
      <c r="A343" s="2" t="n">
        <v>335</v>
      </c>
      <c r="B343" s="53" t="n">
        <f aca="true">NORMINV(RAND(),0,B$7)</f>
        <v>0.506383365718061</v>
      </c>
      <c r="C343" s="53" t="n">
        <f aca="true">NORMINV(RAND(),0,C$7)</f>
        <v>-1.37219412827793</v>
      </c>
      <c r="D343" s="53" t="n">
        <f aca="true">NORMINV(RAND(),0,D$7)</f>
        <v>-2.75210957899151</v>
      </c>
      <c r="E343" s="53" t="n">
        <f aca="true">NORMINV(RAND(),0,E$7)</f>
        <v>-0.575310545319715</v>
      </c>
      <c r="F343" s="53" t="n">
        <f aca="true">NORMINV(RAND(),0,F$7)</f>
        <v>-0.148513577443028</v>
      </c>
      <c r="G343" s="53" t="n">
        <f aca="true">NORMINV(RAND(),0,G$7)</f>
        <v>1.45606336592901</v>
      </c>
      <c r="H343" s="53" t="n">
        <f aca="true">NORMINV(RAND(),0,H$7)</f>
        <v>0.0401705837276462</v>
      </c>
      <c r="I343" s="53" t="n">
        <f aca="false">SUM(B343:H343)</f>
        <v>-2.84551051465746</v>
      </c>
      <c r="J343" s="53" t="n">
        <f aca="true">NORMINV(RAND(),0,J$7)</f>
        <v>-1.63885799999839</v>
      </c>
      <c r="K343" s="53" t="n">
        <f aca="true">NORMINV(RAND(),0,K$7)</f>
        <v>-1.05390285714118</v>
      </c>
      <c r="L343" s="53" t="n">
        <f aca="true">NORMINV(RAND(),0,L$7)</f>
        <v>0.00846978316397622</v>
      </c>
      <c r="M343" s="53" t="n">
        <f aca="true">NORMINV(RAND(),0,M$7)</f>
        <v>0.0656334560822546</v>
      </c>
      <c r="N343" s="53" t="n">
        <f aca="true">NORMINV(RAND(),0,N$7)</f>
        <v>-0.303968524915036</v>
      </c>
      <c r="O343" s="53" t="n">
        <f aca="false">SUM(J343:N343)</f>
        <v>-2.92262614280837</v>
      </c>
    </row>
    <row r="344" customFormat="false" ht="15" hidden="false" customHeight="false" outlineLevel="0" collapsed="false">
      <c r="A344" s="2" t="n">
        <v>336</v>
      </c>
      <c r="B344" s="53" t="n">
        <f aca="true">NORMINV(RAND(),0,B$7)</f>
        <v>1.2407513949026</v>
      </c>
      <c r="C344" s="53" t="n">
        <f aca="true">NORMINV(RAND(),0,C$7)</f>
        <v>-2.4532391569383</v>
      </c>
      <c r="D344" s="53" t="n">
        <f aca="true">NORMINV(RAND(),0,D$7)</f>
        <v>1.49282575131882</v>
      </c>
      <c r="E344" s="53" t="n">
        <f aca="true">NORMINV(RAND(),0,E$7)</f>
        <v>0.296299844511673</v>
      </c>
      <c r="F344" s="53" t="n">
        <f aca="true">NORMINV(RAND(),0,F$7)</f>
        <v>0.288055037178297</v>
      </c>
      <c r="G344" s="53" t="n">
        <f aca="true">NORMINV(RAND(),0,G$7)</f>
        <v>1.29383647420361</v>
      </c>
      <c r="H344" s="53" t="n">
        <f aca="true">NORMINV(RAND(),0,H$7)</f>
        <v>0.939899093275843</v>
      </c>
      <c r="I344" s="53" t="n">
        <f aca="false">SUM(B344:H344)</f>
        <v>3.09842843845254</v>
      </c>
      <c r="J344" s="53" t="n">
        <f aca="true">NORMINV(RAND(),0,J$7)</f>
        <v>0.323606581416893</v>
      </c>
      <c r="K344" s="53" t="n">
        <f aca="true">NORMINV(RAND(),0,K$7)</f>
        <v>-1.12025459695384</v>
      </c>
      <c r="L344" s="53" t="n">
        <f aca="true">NORMINV(RAND(),0,L$7)</f>
        <v>-0.20035472870106</v>
      </c>
      <c r="M344" s="53" t="n">
        <f aca="true">NORMINV(RAND(),0,M$7)</f>
        <v>-0.0446032323072454</v>
      </c>
      <c r="N344" s="53" t="n">
        <f aca="true">NORMINV(RAND(),0,N$7)</f>
        <v>0.25549550668291</v>
      </c>
      <c r="O344" s="53" t="n">
        <f aca="false">SUM(J344:N344)</f>
        <v>-0.786110469862338</v>
      </c>
    </row>
    <row r="345" customFormat="false" ht="15" hidden="false" customHeight="false" outlineLevel="0" collapsed="false">
      <c r="A345" s="2" t="n">
        <v>337</v>
      </c>
      <c r="B345" s="53" t="n">
        <f aca="true">NORMINV(RAND(),0,B$7)</f>
        <v>3.07220679936916</v>
      </c>
      <c r="C345" s="53" t="n">
        <f aca="true">NORMINV(RAND(),0,C$7)</f>
        <v>-0.0390473432328879</v>
      </c>
      <c r="D345" s="53" t="n">
        <f aca="true">NORMINV(RAND(),0,D$7)</f>
        <v>1.23888126826993</v>
      </c>
      <c r="E345" s="53" t="n">
        <f aca="true">NORMINV(RAND(),0,E$7)</f>
        <v>0.49021969909766</v>
      </c>
      <c r="F345" s="53" t="n">
        <f aca="true">NORMINV(RAND(),0,F$7)</f>
        <v>-0.712682315421356</v>
      </c>
      <c r="G345" s="53" t="n">
        <f aca="true">NORMINV(RAND(),0,G$7)</f>
        <v>-0.778945554103304</v>
      </c>
      <c r="H345" s="53" t="n">
        <f aca="true">NORMINV(RAND(),0,H$7)</f>
        <v>-0.269317466316944</v>
      </c>
      <c r="I345" s="53" t="n">
        <f aca="false">SUM(B345:H345)</f>
        <v>3.00131508766225</v>
      </c>
      <c r="J345" s="53" t="n">
        <f aca="true">NORMINV(RAND(),0,J$7)</f>
        <v>-1.11087032376095</v>
      </c>
      <c r="K345" s="53" t="n">
        <f aca="true">NORMINV(RAND(),0,K$7)</f>
        <v>-0.310893858656312</v>
      </c>
      <c r="L345" s="53" t="n">
        <f aca="true">NORMINV(RAND(),0,L$7)</f>
        <v>-0.796515238713492</v>
      </c>
      <c r="M345" s="53" t="n">
        <f aca="true">NORMINV(RAND(),0,M$7)</f>
        <v>0.0761459640786081</v>
      </c>
      <c r="N345" s="53" t="n">
        <f aca="true">NORMINV(RAND(),0,N$7)</f>
        <v>-0.0931973349331939</v>
      </c>
      <c r="O345" s="53" t="n">
        <f aca="false">SUM(J345:N345)</f>
        <v>-2.23533079198534</v>
      </c>
    </row>
    <row r="346" customFormat="false" ht="15" hidden="false" customHeight="false" outlineLevel="0" collapsed="false">
      <c r="A346" s="2" t="n">
        <v>338</v>
      </c>
      <c r="B346" s="53" t="n">
        <f aca="true">NORMINV(RAND(),0,B$7)</f>
        <v>0.131590716243898</v>
      </c>
      <c r="C346" s="53" t="n">
        <f aca="true">NORMINV(RAND(),0,C$7)</f>
        <v>-0.637082599576623</v>
      </c>
      <c r="D346" s="53" t="n">
        <f aca="true">NORMINV(RAND(),0,D$7)</f>
        <v>-2.73128144536326</v>
      </c>
      <c r="E346" s="53" t="n">
        <f aca="true">NORMINV(RAND(),0,E$7)</f>
        <v>-0.338700765058405</v>
      </c>
      <c r="F346" s="53" t="n">
        <f aca="true">NORMINV(RAND(),0,F$7)</f>
        <v>0.417181321788985</v>
      </c>
      <c r="G346" s="53" t="n">
        <f aca="true">NORMINV(RAND(),0,G$7)</f>
        <v>1.38844776709638</v>
      </c>
      <c r="H346" s="53" t="n">
        <f aca="true">NORMINV(RAND(),0,H$7)</f>
        <v>-0.725686845127386</v>
      </c>
      <c r="I346" s="53" t="n">
        <f aca="false">SUM(B346:H346)</f>
        <v>-2.49553184999641</v>
      </c>
      <c r="J346" s="53" t="n">
        <f aca="true">NORMINV(RAND(),0,J$7)</f>
        <v>0.902099072098707</v>
      </c>
      <c r="K346" s="53" t="n">
        <f aca="true">NORMINV(RAND(),0,K$7)</f>
        <v>0.213097990572446</v>
      </c>
      <c r="L346" s="53" t="n">
        <f aca="true">NORMINV(RAND(),0,L$7)</f>
        <v>-0.403403408177933</v>
      </c>
      <c r="M346" s="53" t="n">
        <f aca="true">NORMINV(RAND(),0,M$7)</f>
        <v>0.228519323719812</v>
      </c>
      <c r="N346" s="53" t="n">
        <f aca="true">NORMINV(RAND(),0,N$7)</f>
        <v>-0.353360543009636</v>
      </c>
      <c r="O346" s="53" t="n">
        <f aca="false">SUM(J346:N346)</f>
        <v>0.586952435203397</v>
      </c>
    </row>
    <row r="347" customFormat="false" ht="15" hidden="false" customHeight="false" outlineLevel="0" collapsed="false">
      <c r="A347" s="2" t="n">
        <v>339</v>
      </c>
      <c r="B347" s="53" t="n">
        <f aca="true">NORMINV(RAND(),0,B$7)</f>
        <v>-0.408573879070376</v>
      </c>
      <c r="C347" s="53" t="n">
        <f aca="true">NORMINV(RAND(),0,C$7)</f>
        <v>0.17715600712088</v>
      </c>
      <c r="D347" s="53" t="n">
        <f aca="true">NORMINV(RAND(),0,D$7)</f>
        <v>-0.850596392576699</v>
      </c>
      <c r="E347" s="53" t="n">
        <f aca="true">NORMINV(RAND(),0,E$7)</f>
        <v>0.177131856038673</v>
      </c>
      <c r="F347" s="53" t="n">
        <f aca="true">NORMINV(RAND(),0,F$7)</f>
        <v>-0.359051337422248</v>
      </c>
      <c r="G347" s="53" t="n">
        <f aca="true">NORMINV(RAND(),0,G$7)</f>
        <v>-0.482614293138342</v>
      </c>
      <c r="H347" s="53" t="n">
        <f aca="true">NORMINV(RAND(),0,H$7)</f>
        <v>-0.0447788719805786</v>
      </c>
      <c r="I347" s="53" t="n">
        <f aca="false">SUM(B347:H347)</f>
        <v>-1.79132691102869</v>
      </c>
      <c r="J347" s="53" t="n">
        <f aca="true">NORMINV(RAND(),0,J$7)</f>
        <v>1.3716478171269</v>
      </c>
      <c r="K347" s="53" t="n">
        <f aca="true">NORMINV(RAND(),0,K$7)</f>
        <v>0.0813027306334068</v>
      </c>
      <c r="L347" s="53" t="n">
        <f aca="true">NORMINV(RAND(),0,L$7)</f>
        <v>0.325328951980468</v>
      </c>
      <c r="M347" s="53" t="n">
        <f aca="true">NORMINV(RAND(),0,M$7)</f>
        <v>-0.12041439277168</v>
      </c>
      <c r="N347" s="53" t="n">
        <f aca="true">NORMINV(RAND(),0,N$7)</f>
        <v>0.372925167087279</v>
      </c>
      <c r="O347" s="53" t="n">
        <f aca="false">SUM(J347:N347)</f>
        <v>2.03079027405638</v>
      </c>
    </row>
    <row r="348" customFormat="false" ht="15" hidden="false" customHeight="false" outlineLevel="0" collapsed="false">
      <c r="A348" s="2" t="n">
        <v>340</v>
      </c>
      <c r="B348" s="53" t="n">
        <f aca="true">NORMINV(RAND(),0,B$7)</f>
        <v>-2.14127207884012</v>
      </c>
      <c r="C348" s="53" t="n">
        <f aca="true">NORMINV(RAND(),0,C$7)</f>
        <v>4.00698483765138</v>
      </c>
      <c r="D348" s="53" t="n">
        <f aca="true">NORMINV(RAND(),0,D$7)</f>
        <v>-0.684178106350477</v>
      </c>
      <c r="E348" s="53" t="n">
        <f aca="true">NORMINV(RAND(),0,E$7)</f>
        <v>-0.554615909805919</v>
      </c>
      <c r="F348" s="53" t="n">
        <f aca="true">NORMINV(RAND(),0,F$7)</f>
        <v>0.0626031587759086</v>
      </c>
      <c r="G348" s="53" t="n">
        <f aca="true">NORMINV(RAND(),0,G$7)</f>
        <v>-0.363473261144018</v>
      </c>
      <c r="H348" s="53" t="n">
        <f aca="true">NORMINV(RAND(),0,H$7)</f>
        <v>0.160401479724457</v>
      </c>
      <c r="I348" s="53" t="n">
        <f aca="false">SUM(B348:H348)</f>
        <v>0.486450120011206</v>
      </c>
      <c r="J348" s="53" t="n">
        <f aca="true">NORMINV(RAND(),0,J$7)</f>
        <v>1.2826017010726</v>
      </c>
      <c r="K348" s="53" t="n">
        <f aca="true">NORMINV(RAND(),0,K$7)</f>
        <v>-0.501487523236903</v>
      </c>
      <c r="L348" s="53" t="n">
        <f aca="true">NORMINV(RAND(),0,L$7)</f>
        <v>0.771960571530961</v>
      </c>
      <c r="M348" s="53" t="n">
        <f aca="true">NORMINV(RAND(),0,M$7)</f>
        <v>0.141012773152398</v>
      </c>
      <c r="N348" s="53" t="n">
        <f aca="true">NORMINV(RAND(),0,N$7)</f>
        <v>0.310230722784718</v>
      </c>
      <c r="O348" s="53" t="n">
        <f aca="false">SUM(J348:N348)</f>
        <v>2.00431824530377</v>
      </c>
    </row>
    <row r="349" customFormat="false" ht="15" hidden="false" customHeight="false" outlineLevel="0" collapsed="false">
      <c r="A349" s="2" t="n">
        <v>341</v>
      </c>
      <c r="B349" s="53" t="n">
        <f aca="true">NORMINV(RAND(),0,B$7)</f>
        <v>0.454223350220899</v>
      </c>
      <c r="C349" s="53" t="n">
        <f aca="true">NORMINV(RAND(),0,C$7)</f>
        <v>2.27923179904022</v>
      </c>
      <c r="D349" s="53" t="n">
        <f aca="true">NORMINV(RAND(),0,D$7)</f>
        <v>-0.397157817509418</v>
      </c>
      <c r="E349" s="53" t="n">
        <f aca="true">NORMINV(RAND(),0,E$7)</f>
        <v>0.0606626764394732</v>
      </c>
      <c r="F349" s="53" t="n">
        <f aca="true">NORMINV(RAND(),0,F$7)</f>
        <v>-0.57392790193573</v>
      </c>
      <c r="G349" s="53" t="n">
        <f aca="true">NORMINV(RAND(),0,G$7)</f>
        <v>-0.110685850095296</v>
      </c>
      <c r="H349" s="53" t="n">
        <f aca="true">NORMINV(RAND(),0,H$7)</f>
        <v>-0.199449483779705</v>
      </c>
      <c r="I349" s="53" t="n">
        <f aca="false">SUM(B349:H349)</f>
        <v>1.51289677238044</v>
      </c>
      <c r="J349" s="53" t="n">
        <f aca="true">NORMINV(RAND(),0,J$7)</f>
        <v>-1.22881922048713</v>
      </c>
      <c r="K349" s="53" t="n">
        <f aca="true">NORMINV(RAND(),0,K$7)</f>
        <v>1.00822975763563</v>
      </c>
      <c r="L349" s="53" t="n">
        <f aca="true">NORMINV(RAND(),0,L$7)</f>
        <v>-0.042716581764959</v>
      </c>
      <c r="M349" s="53" t="n">
        <f aca="true">NORMINV(RAND(),0,M$7)</f>
        <v>-0.0262282576886933</v>
      </c>
      <c r="N349" s="53" t="n">
        <f aca="true">NORMINV(RAND(),0,N$7)</f>
        <v>0.0949499753479557</v>
      </c>
      <c r="O349" s="53" t="n">
        <f aca="false">SUM(J349:N349)</f>
        <v>-0.194584326957193</v>
      </c>
    </row>
    <row r="350" customFormat="false" ht="15" hidden="false" customHeight="false" outlineLevel="0" collapsed="false">
      <c r="A350" s="2" t="n">
        <v>342</v>
      </c>
      <c r="B350" s="53" t="n">
        <f aca="true">NORMINV(RAND(),0,B$7)</f>
        <v>0.343146429989453</v>
      </c>
      <c r="C350" s="53" t="n">
        <f aca="true">NORMINV(RAND(),0,C$7)</f>
        <v>0.420570497650841</v>
      </c>
      <c r="D350" s="53" t="n">
        <f aca="true">NORMINV(RAND(),0,D$7)</f>
        <v>-2.51601870543191</v>
      </c>
      <c r="E350" s="53" t="n">
        <f aca="true">NORMINV(RAND(),0,E$7)</f>
        <v>0.336879800132058</v>
      </c>
      <c r="F350" s="53" t="n">
        <f aca="true">NORMINV(RAND(),0,F$7)</f>
        <v>-0.123947988540777</v>
      </c>
      <c r="G350" s="53" t="n">
        <f aca="true">NORMINV(RAND(),0,G$7)</f>
        <v>2.73327730259095</v>
      </c>
      <c r="H350" s="53" t="n">
        <f aca="true">NORMINV(RAND(),0,H$7)</f>
        <v>-0.708920693210977</v>
      </c>
      <c r="I350" s="53" t="n">
        <f aca="false">SUM(B350:H350)</f>
        <v>0.484986643179637</v>
      </c>
      <c r="J350" s="53" t="n">
        <f aca="true">NORMINV(RAND(),0,J$7)</f>
        <v>1.57207675285203</v>
      </c>
      <c r="K350" s="53" t="n">
        <f aca="true">NORMINV(RAND(),0,K$7)</f>
        <v>-0.982896267361792</v>
      </c>
      <c r="L350" s="53" t="n">
        <f aca="true">NORMINV(RAND(),0,L$7)</f>
        <v>-0.652422634829169</v>
      </c>
      <c r="M350" s="53" t="n">
        <f aca="true">NORMINV(RAND(),0,M$7)</f>
        <v>0.0242916546800381</v>
      </c>
      <c r="N350" s="53" t="n">
        <f aca="true">NORMINV(RAND(),0,N$7)</f>
        <v>-0.448711668823639</v>
      </c>
      <c r="O350" s="53" t="n">
        <f aca="false">SUM(J350:N350)</f>
        <v>-0.487662163482528</v>
      </c>
    </row>
    <row r="351" customFormat="false" ht="15" hidden="false" customHeight="false" outlineLevel="0" collapsed="false">
      <c r="A351" s="2" t="n">
        <v>343</v>
      </c>
      <c r="B351" s="53" t="n">
        <f aca="true">NORMINV(RAND(),0,B$7)</f>
        <v>-0.712299625611194</v>
      </c>
      <c r="C351" s="53" t="n">
        <f aca="true">NORMINV(RAND(),0,C$7)</f>
        <v>-0.838086815242618</v>
      </c>
      <c r="D351" s="53" t="n">
        <f aca="true">NORMINV(RAND(),0,D$7)</f>
        <v>-3.14573559950842</v>
      </c>
      <c r="E351" s="53" t="n">
        <f aca="true">NORMINV(RAND(),0,E$7)</f>
        <v>-0.454924772803333</v>
      </c>
      <c r="F351" s="53" t="n">
        <f aca="true">NORMINV(RAND(),0,F$7)</f>
        <v>0.0829981257221198</v>
      </c>
      <c r="G351" s="53" t="n">
        <f aca="true">NORMINV(RAND(),0,G$7)</f>
        <v>-0.817066678799085</v>
      </c>
      <c r="H351" s="53" t="n">
        <f aca="true">NORMINV(RAND(),0,H$7)</f>
        <v>-0.0833690714131658</v>
      </c>
      <c r="I351" s="53" t="n">
        <f aca="false">SUM(B351:H351)</f>
        <v>-5.96848443765569</v>
      </c>
      <c r="J351" s="53" t="n">
        <f aca="true">NORMINV(RAND(),0,J$7)</f>
        <v>0.528326869973823</v>
      </c>
      <c r="K351" s="53" t="n">
        <f aca="true">NORMINV(RAND(),0,K$7)</f>
        <v>-0.0381259753384276</v>
      </c>
      <c r="L351" s="53" t="n">
        <f aca="true">NORMINV(RAND(),0,L$7)</f>
        <v>-0.0268339367681793</v>
      </c>
      <c r="M351" s="53" t="n">
        <f aca="true">NORMINV(RAND(),0,M$7)</f>
        <v>-0.16077512961663</v>
      </c>
      <c r="N351" s="53" t="n">
        <f aca="true">NORMINV(RAND(),0,N$7)</f>
        <v>-0.401070978370878</v>
      </c>
      <c r="O351" s="53" t="n">
        <f aca="false">SUM(J351:N351)</f>
        <v>-0.0984791501202922</v>
      </c>
    </row>
    <row r="352" customFormat="false" ht="15" hidden="false" customHeight="false" outlineLevel="0" collapsed="false">
      <c r="A352" s="2" t="n">
        <v>344</v>
      </c>
      <c r="B352" s="53" t="n">
        <f aca="true">NORMINV(RAND(),0,B$7)</f>
        <v>-0.526329075266413</v>
      </c>
      <c r="C352" s="53" t="n">
        <f aca="true">NORMINV(RAND(),0,C$7)</f>
        <v>0.096510704760934</v>
      </c>
      <c r="D352" s="53" t="n">
        <f aca="true">NORMINV(RAND(),0,D$7)</f>
        <v>0.0179663970380768</v>
      </c>
      <c r="E352" s="53" t="n">
        <f aca="true">NORMINV(RAND(),0,E$7)</f>
        <v>-0.721368012738163</v>
      </c>
      <c r="F352" s="53" t="n">
        <f aca="true">NORMINV(RAND(),0,F$7)</f>
        <v>0.463025753890464</v>
      </c>
      <c r="G352" s="53" t="n">
        <f aca="true">NORMINV(RAND(),0,G$7)</f>
        <v>1.8891868752847</v>
      </c>
      <c r="H352" s="53" t="n">
        <f aca="true">NORMINV(RAND(),0,H$7)</f>
        <v>0.424011172855112</v>
      </c>
      <c r="I352" s="53" t="n">
        <f aca="false">SUM(B352:H352)</f>
        <v>1.64300381582471</v>
      </c>
      <c r="J352" s="53" t="n">
        <f aca="true">NORMINV(RAND(),0,J$7)</f>
        <v>-0.442377179386235</v>
      </c>
      <c r="K352" s="53" t="n">
        <f aca="true">NORMINV(RAND(),0,K$7)</f>
        <v>0.0152506334516049</v>
      </c>
      <c r="L352" s="53" t="n">
        <f aca="true">NORMINV(RAND(),0,L$7)</f>
        <v>-0.197457834457359</v>
      </c>
      <c r="M352" s="53" t="n">
        <f aca="true">NORMINV(RAND(),0,M$7)</f>
        <v>-0.145660554714663</v>
      </c>
      <c r="N352" s="53" t="n">
        <f aca="true">NORMINV(RAND(),0,N$7)</f>
        <v>-0.156287200205989</v>
      </c>
      <c r="O352" s="53" t="n">
        <f aca="false">SUM(J352:N352)</f>
        <v>-0.926532135312641</v>
      </c>
    </row>
    <row r="353" customFormat="false" ht="15" hidden="false" customHeight="false" outlineLevel="0" collapsed="false">
      <c r="A353" s="2" t="n">
        <v>345</v>
      </c>
      <c r="B353" s="53" t="n">
        <f aca="true">NORMINV(RAND(),0,B$7)</f>
        <v>-2.74491774653179</v>
      </c>
      <c r="C353" s="53" t="n">
        <f aca="true">NORMINV(RAND(),0,C$7)</f>
        <v>1.89379110860541</v>
      </c>
      <c r="D353" s="53" t="n">
        <f aca="true">NORMINV(RAND(),0,D$7)</f>
        <v>-0.739889865031494</v>
      </c>
      <c r="E353" s="53" t="n">
        <f aca="true">NORMINV(RAND(),0,E$7)</f>
        <v>0.170586704923942</v>
      </c>
      <c r="F353" s="53" t="n">
        <f aca="true">NORMINV(RAND(),0,F$7)</f>
        <v>-0.279647461846485</v>
      </c>
      <c r="G353" s="53" t="n">
        <f aca="true">NORMINV(RAND(),0,G$7)</f>
        <v>1.58261985817375</v>
      </c>
      <c r="H353" s="53" t="n">
        <f aca="true">NORMINV(RAND(),0,H$7)</f>
        <v>0.114240896513298</v>
      </c>
      <c r="I353" s="53" t="n">
        <f aca="false">SUM(B353:H353)</f>
        <v>-0.00321650519336145</v>
      </c>
      <c r="J353" s="53" t="n">
        <f aca="true">NORMINV(RAND(),0,J$7)</f>
        <v>-0.123649123074928</v>
      </c>
      <c r="K353" s="53" t="n">
        <f aca="true">NORMINV(RAND(),0,K$7)</f>
        <v>-0.41931448508066</v>
      </c>
      <c r="L353" s="53" t="n">
        <f aca="true">NORMINV(RAND(),0,L$7)</f>
        <v>0.12115628562509</v>
      </c>
      <c r="M353" s="53" t="n">
        <f aca="true">NORMINV(RAND(),0,M$7)</f>
        <v>0.122598922536751</v>
      </c>
      <c r="N353" s="53" t="n">
        <f aca="true">NORMINV(RAND(),0,N$7)</f>
        <v>-0.220242364638435</v>
      </c>
      <c r="O353" s="53" t="n">
        <f aca="false">SUM(J353:N353)</f>
        <v>-0.519450764632183</v>
      </c>
    </row>
    <row r="354" customFormat="false" ht="15" hidden="false" customHeight="false" outlineLevel="0" collapsed="false">
      <c r="A354" s="2" t="n">
        <v>346</v>
      </c>
      <c r="B354" s="53" t="n">
        <f aca="true">NORMINV(RAND(),0,B$7)</f>
        <v>1.48463422034671</v>
      </c>
      <c r="C354" s="53" t="n">
        <f aca="true">NORMINV(RAND(),0,C$7)</f>
        <v>2.36353480671147</v>
      </c>
      <c r="D354" s="53" t="n">
        <f aca="true">NORMINV(RAND(),0,D$7)</f>
        <v>-1.7354048368591</v>
      </c>
      <c r="E354" s="53" t="n">
        <f aca="true">NORMINV(RAND(),0,E$7)</f>
        <v>-0.789253385411304</v>
      </c>
      <c r="F354" s="53" t="n">
        <f aca="true">NORMINV(RAND(),0,F$7)</f>
        <v>0.172644485168176</v>
      </c>
      <c r="G354" s="53" t="n">
        <f aca="true">NORMINV(RAND(),0,G$7)</f>
        <v>1.6204204783003</v>
      </c>
      <c r="H354" s="53" t="n">
        <f aca="true">NORMINV(RAND(),0,H$7)</f>
        <v>-0.0631839604712016</v>
      </c>
      <c r="I354" s="53" t="n">
        <f aca="false">SUM(B354:H354)</f>
        <v>3.05339180778505</v>
      </c>
      <c r="J354" s="53" t="n">
        <f aca="true">NORMINV(RAND(),0,J$7)</f>
        <v>-0.626415630214486</v>
      </c>
      <c r="K354" s="53" t="n">
        <f aca="true">NORMINV(RAND(),0,K$7)</f>
        <v>0.471878217030668</v>
      </c>
      <c r="L354" s="53" t="n">
        <f aca="true">NORMINV(RAND(),0,L$7)</f>
        <v>0.623635291966136</v>
      </c>
      <c r="M354" s="53" t="n">
        <f aca="true">NORMINV(RAND(),0,M$7)</f>
        <v>-0.103660684816428</v>
      </c>
      <c r="N354" s="53" t="n">
        <f aca="true">NORMINV(RAND(),0,N$7)</f>
        <v>0.190218995684906</v>
      </c>
      <c r="O354" s="53" t="n">
        <f aca="false">SUM(J354:N354)</f>
        <v>0.555656189650796</v>
      </c>
    </row>
    <row r="355" customFormat="false" ht="15" hidden="false" customHeight="false" outlineLevel="0" collapsed="false">
      <c r="A355" s="2" t="n">
        <v>347</v>
      </c>
      <c r="B355" s="53" t="n">
        <f aca="true">NORMINV(RAND(),0,B$7)</f>
        <v>-1.80048110159059</v>
      </c>
      <c r="C355" s="53" t="n">
        <f aca="true">NORMINV(RAND(),0,C$7)</f>
        <v>0.589628123499386</v>
      </c>
      <c r="D355" s="53" t="n">
        <f aca="true">NORMINV(RAND(),0,D$7)</f>
        <v>2.63920565380908</v>
      </c>
      <c r="E355" s="53" t="n">
        <f aca="true">NORMINV(RAND(),0,E$7)</f>
        <v>0.480912424989275</v>
      </c>
      <c r="F355" s="53" t="n">
        <f aca="true">NORMINV(RAND(),0,F$7)</f>
        <v>-0.965851262937317</v>
      </c>
      <c r="G355" s="53" t="n">
        <f aca="true">NORMINV(RAND(),0,G$7)</f>
        <v>-2.26868103376325</v>
      </c>
      <c r="H355" s="53" t="n">
        <f aca="true">NORMINV(RAND(),0,H$7)</f>
        <v>0.537757804729022</v>
      </c>
      <c r="I355" s="53" t="n">
        <f aca="false">SUM(B355:H355)</f>
        <v>-0.787509391264396</v>
      </c>
      <c r="J355" s="53" t="n">
        <f aca="true">NORMINV(RAND(),0,J$7)</f>
        <v>-1.52776350675143</v>
      </c>
      <c r="K355" s="53" t="n">
        <f aca="true">NORMINV(RAND(),0,K$7)</f>
        <v>0.928215296451513</v>
      </c>
      <c r="L355" s="53" t="n">
        <f aca="true">NORMINV(RAND(),0,L$7)</f>
        <v>-0.0703283161742382</v>
      </c>
      <c r="M355" s="53" t="n">
        <f aca="true">NORMINV(RAND(),0,M$7)</f>
        <v>0.149410625884377</v>
      </c>
      <c r="N355" s="53" t="n">
        <f aca="true">NORMINV(RAND(),0,N$7)</f>
        <v>-0.0875139912417573</v>
      </c>
      <c r="O355" s="53" t="n">
        <f aca="false">SUM(J355:N355)</f>
        <v>-0.607979891831531</v>
      </c>
    </row>
    <row r="356" customFormat="false" ht="15" hidden="false" customHeight="false" outlineLevel="0" collapsed="false">
      <c r="A356" s="2" t="n">
        <v>348</v>
      </c>
      <c r="B356" s="53" t="n">
        <f aca="true">NORMINV(RAND(),0,B$7)</f>
        <v>-1.17535504443015</v>
      </c>
      <c r="C356" s="53" t="n">
        <f aca="true">NORMINV(RAND(),0,C$7)</f>
        <v>-0.177843012360268</v>
      </c>
      <c r="D356" s="53" t="n">
        <f aca="true">NORMINV(RAND(),0,D$7)</f>
        <v>1.52371138751771</v>
      </c>
      <c r="E356" s="53" t="n">
        <f aca="true">NORMINV(RAND(),0,E$7)</f>
        <v>0.440219528187065</v>
      </c>
      <c r="F356" s="53" t="n">
        <f aca="true">NORMINV(RAND(),0,F$7)</f>
        <v>0.152564578717519</v>
      </c>
      <c r="G356" s="53" t="n">
        <f aca="true">NORMINV(RAND(),0,G$7)</f>
        <v>0.696368502312582</v>
      </c>
      <c r="H356" s="53" t="n">
        <f aca="true">NORMINV(RAND(),0,H$7)</f>
        <v>-0.157250026183352</v>
      </c>
      <c r="I356" s="53" t="n">
        <f aca="false">SUM(B356:H356)</f>
        <v>1.30241591376111</v>
      </c>
      <c r="J356" s="53" t="n">
        <f aca="true">NORMINV(RAND(),0,J$7)</f>
        <v>2.20175616450489</v>
      </c>
      <c r="K356" s="53" t="n">
        <f aca="true">NORMINV(RAND(),0,K$7)</f>
        <v>0.225027029935255</v>
      </c>
      <c r="L356" s="53" t="n">
        <f aca="true">NORMINV(RAND(),0,L$7)</f>
        <v>0.177123678594721</v>
      </c>
      <c r="M356" s="53" t="n">
        <f aca="true">NORMINV(RAND(),0,M$7)</f>
        <v>0.274868128010547</v>
      </c>
      <c r="N356" s="53" t="n">
        <f aca="true">NORMINV(RAND(),0,N$7)</f>
        <v>0.261625888999732</v>
      </c>
      <c r="O356" s="53" t="n">
        <f aca="false">SUM(J356:N356)</f>
        <v>3.14040089004515</v>
      </c>
    </row>
    <row r="357" customFormat="false" ht="15" hidden="false" customHeight="false" outlineLevel="0" collapsed="false">
      <c r="A357" s="2" t="n">
        <v>349</v>
      </c>
      <c r="B357" s="53" t="n">
        <f aca="true">NORMINV(RAND(),0,B$7)</f>
        <v>-0.378587039256085</v>
      </c>
      <c r="C357" s="53" t="n">
        <f aca="true">NORMINV(RAND(),0,C$7)</f>
        <v>-2.83922087163073</v>
      </c>
      <c r="D357" s="53" t="n">
        <f aca="true">NORMINV(RAND(),0,D$7)</f>
        <v>0.918673187996447</v>
      </c>
      <c r="E357" s="53" t="n">
        <f aca="true">NORMINV(RAND(),0,E$7)</f>
        <v>0.739047745990385</v>
      </c>
      <c r="F357" s="53" t="n">
        <f aca="true">NORMINV(RAND(),0,F$7)</f>
        <v>-0.159521762778209</v>
      </c>
      <c r="G357" s="53" t="n">
        <f aca="true">NORMINV(RAND(),0,G$7)</f>
        <v>0.700004264368757</v>
      </c>
      <c r="H357" s="53" t="n">
        <f aca="true">NORMINV(RAND(),0,H$7)</f>
        <v>-0.588587977806976</v>
      </c>
      <c r="I357" s="53" t="n">
        <f aca="false">SUM(B357:H357)</f>
        <v>-1.60819245311641</v>
      </c>
      <c r="J357" s="53" t="n">
        <f aca="true">NORMINV(RAND(),0,J$7)</f>
        <v>-0.285061943737009</v>
      </c>
      <c r="K357" s="53" t="n">
        <f aca="true">NORMINV(RAND(),0,K$7)</f>
        <v>-1.49598817856578</v>
      </c>
      <c r="L357" s="53" t="n">
        <f aca="true">NORMINV(RAND(),0,L$7)</f>
        <v>-0.262531166065153</v>
      </c>
      <c r="M357" s="53" t="n">
        <f aca="true">NORMINV(RAND(),0,M$7)</f>
        <v>0.0169207114724008</v>
      </c>
      <c r="N357" s="53" t="n">
        <f aca="true">NORMINV(RAND(),0,N$7)</f>
        <v>0.0836268846210493</v>
      </c>
      <c r="O357" s="53" t="n">
        <f aca="false">SUM(J357:N357)</f>
        <v>-1.9430336922745</v>
      </c>
    </row>
    <row r="358" customFormat="false" ht="15" hidden="false" customHeight="false" outlineLevel="0" collapsed="false">
      <c r="A358" s="2" t="n">
        <v>350</v>
      </c>
      <c r="B358" s="53" t="n">
        <f aca="true">NORMINV(RAND(),0,B$7)</f>
        <v>1.43468217719235</v>
      </c>
      <c r="C358" s="53" t="n">
        <f aca="true">NORMINV(RAND(),0,C$7)</f>
        <v>-0.401542549897561</v>
      </c>
      <c r="D358" s="53" t="n">
        <f aca="true">NORMINV(RAND(),0,D$7)</f>
        <v>-2.61377371244868</v>
      </c>
      <c r="E358" s="53" t="n">
        <f aca="true">NORMINV(RAND(),0,E$7)</f>
        <v>-0.0963344223244649</v>
      </c>
      <c r="F358" s="53" t="n">
        <f aca="true">NORMINV(RAND(),0,F$7)</f>
        <v>-0.241627073838307</v>
      </c>
      <c r="G358" s="53" t="n">
        <f aca="true">NORMINV(RAND(),0,G$7)</f>
        <v>-1.78464839735719</v>
      </c>
      <c r="H358" s="53" t="n">
        <f aca="true">NORMINV(RAND(),0,H$7)</f>
        <v>0.0120168150482055</v>
      </c>
      <c r="I358" s="53" t="n">
        <f aca="false">SUM(B358:H358)</f>
        <v>-3.69122716362564</v>
      </c>
      <c r="J358" s="53" t="n">
        <f aca="true">NORMINV(RAND(),0,J$7)</f>
        <v>-2.50851280145508</v>
      </c>
      <c r="K358" s="53" t="n">
        <f aca="true">NORMINV(RAND(),0,K$7)</f>
        <v>0.358201786982059</v>
      </c>
      <c r="L358" s="53" t="n">
        <f aca="true">NORMINV(RAND(),0,L$7)</f>
        <v>0.195867076576246</v>
      </c>
      <c r="M358" s="53" t="n">
        <f aca="true">NORMINV(RAND(),0,M$7)</f>
        <v>0.158966966950711</v>
      </c>
      <c r="N358" s="53" t="n">
        <f aca="true">NORMINV(RAND(),0,N$7)</f>
        <v>-0.449889758001565</v>
      </c>
      <c r="O358" s="53" t="n">
        <f aca="false">SUM(J358:N358)</f>
        <v>-2.24536672894763</v>
      </c>
    </row>
    <row r="359" customFormat="false" ht="15" hidden="false" customHeight="false" outlineLevel="0" collapsed="false">
      <c r="A359" s="2" t="n">
        <v>351</v>
      </c>
      <c r="B359" s="53" t="n">
        <f aca="true">NORMINV(RAND(),0,B$7)</f>
        <v>-0.861784628384982</v>
      </c>
      <c r="C359" s="53" t="n">
        <f aca="true">NORMINV(RAND(),0,C$7)</f>
        <v>-2.29416408363766</v>
      </c>
      <c r="D359" s="53" t="n">
        <f aca="true">NORMINV(RAND(),0,D$7)</f>
        <v>3.25427098785505</v>
      </c>
      <c r="E359" s="53" t="n">
        <f aca="true">NORMINV(RAND(),0,E$7)</f>
        <v>-0.214162194046519</v>
      </c>
      <c r="F359" s="53" t="n">
        <f aca="true">NORMINV(RAND(),0,F$7)</f>
        <v>0.462486739609558</v>
      </c>
      <c r="G359" s="53" t="n">
        <f aca="true">NORMINV(RAND(),0,G$7)</f>
        <v>-1.69623108365073</v>
      </c>
      <c r="H359" s="53" t="n">
        <f aca="true">NORMINV(RAND(),0,H$7)</f>
        <v>-0.202911780937076</v>
      </c>
      <c r="I359" s="53" t="n">
        <f aca="false">SUM(B359:H359)</f>
        <v>-1.55249604319236</v>
      </c>
      <c r="J359" s="53" t="n">
        <f aca="true">NORMINV(RAND(),0,J$7)</f>
        <v>2.82698018041529</v>
      </c>
      <c r="K359" s="53" t="n">
        <f aca="true">NORMINV(RAND(),0,K$7)</f>
        <v>1.23470395320521</v>
      </c>
      <c r="L359" s="53" t="n">
        <f aca="true">NORMINV(RAND(),0,L$7)</f>
        <v>-0.086702285827299</v>
      </c>
      <c r="M359" s="53" t="n">
        <f aca="true">NORMINV(RAND(),0,M$7)</f>
        <v>0.014263558669089</v>
      </c>
      <c r="N359" s="53" t="n">
        <f aca="true">NORMINV(RAND(),0,N$7)</f>
        <v>-0.224586360275091</v>
      </c>
      <c r="O359" s="53" t="n">
        <f aca="false">SUM(J359:N359)</f>
        <v>3.7646590461872</v>
      </c>
    </row>
    <row r="360" customFormat="false" ht="15" hidden="false" customHeight="false" outlineLevel="0" collapsed="false">
      <c r="A360" s="2" t="n">
        <v>352</v>
      </c>
      <c r="B360" s="53" t="n">
        <f aca="true">NORMINV(RAND(),0,B$7)</f>
        <v>0.704784754692548</v>
      </c>
      <c r="C360" s="53" t="n">
        <f aca="true">NORMINV(RAND(),0,C$7)</f>
        <v>0.880716641849966</v>
      </c>
      <c r="D360" s="53" t="n">
        <f aca="true">NORMINV(RAND(),0,D$7)</f>
        <v>-0.817029267888788</v>
      </c>
      <c r="E360" s="53" t="n">
        <f aca="true">NORMINV(RAND(),0,E$7)</f>
        <v>0.260312607764331</v>
      </c>
      <c r="F360" s="53" t="n">
        <f aca="true">NORMINV(RAND(),0,F$7)</f>
        <v>0.298772690884001</v>
      </c>
      <c r="G360" s="53" t="n">
        <f aca="true">NORMINV(RAND(),0,G$7)</f>
        <v>-1.2683273969337</v>
      </c>
      <c r="H360" s="53" t="n">
        <f aca="true">NORMINV(RAND(),0,H$7)</f>
        <v>0.168241125202075</v>
      </c>
      <c r="I360" s="53" t="n">
        <f aca="false">SUM(B360:H360)</f>
        <v>0.22747115557043</v>
      </c>
      <c r="J360" s="53" t="n">
        <f aca="true">NORMINV(RAND(),0,J$7)</f>
        <v>1.19076520712278</v>
      </c>
      <c r="K360" s="53" t="n">
        <f aca="true">NORMINV(RAND(),0,K$7)</f>
        <v>-1.13101499648927</v>
      </c>
      <c r="L360" s="53" t="n">
        <f aca="true">NORMINV(RAND(),0,L$7)</f>
        <v>-0.761344272473704</v>
      </c>
      <c r="M360" s="53" t="n">
        <f aca="true">NORMINV(RAND(),0,M$7)</f>
        <v>-0.431176683731034</v>
      </c>
      <c r="N360" s="53" t="n">
        <f aca="true">NORMINV(RAND(),0,N$7)</f>
        <v>-0.297587750235678</v>
      </c>
      <c r="O360" s="53" t="n">
        <f aca="false">SUM(J360:N360)</f>
        <v>-1.4303584958069</v>
      </c>
    </row>
    <row r="361" customFormat="false" ht="15" hidden="false" customHeight="false" outlineLevel="0" collapsed="false">
      <c r="A361" s="2" t="n">
        <v>353</v>
      </c>
      <c r="B361" s="53" t="n">
        <f aca="true">NORMINV(RAND(),0,B$7)</f>
        <v>-0.329391593342915</v>
      </c>
      <c r="C361" s="53" t="n">
        <f aca="true">NORMINV(RAND(),0,C$7)</f>
        <v>-0.417116660125825</v>
      </c>
      <c r="D361" s="53" t="n">
        <f aca="true">NORMINV(RAND(),0,D$7)</f>
        <v>1.33484592105421</v>
      </c>
      <c r="E361" s="53" t="n">
        <f aca="true">NORMINV(RAND(),0,E$7)</f>
        <v>-0.0172597002608423</v>
      </c>
      <c r="F361" s="53" t="n">
        <f aca="true">NORMINV(RAND(),0,F$7)</f>
        <v>-0.462825164166206</v>
      </c>
      <c r="G361" s="53" t="n">
        <f aca="true">NORMINV(RAND(),0,G$7)</f>
        <v>1.11810410558296</v>
      </c>
      <c r="H361" s="53" t="n">
        <f aca="true">NORMINV(RAND(),0,H$7)</f>
        <v>-0.0703828764595391</v>
      </c>
      <c r="I361" s="53" t="n">
        <f aca="false">SUM(B361:H361)</f>
        <v>1.15597403228184</v>
      </c>
      <c r="J361" s="53" t="n">
        <f aca="true">NORMINV(RAND(),0,J$7)</f>
        <v>-0.601467006869781</v>
      </c>
      <c r="K361" s="53" t="n">
        <f aca="true">NORMINV(RAND(),0,K$7)</f>
        <v>0.484864625265448</v>
      </c>
      <c r="L361" s="53" t="n">
        <f aca="true">NORMINV(RAND(),0,L$7)</f>
        <v>0.234453170350085</v>
      </c>
      <c r="M361" s="53" t="n">
        <f aca="true">NORMINV(RAND(),0,M$7)</f>
        <v>-0.192201797520754</v>
      </c>
      <c r="N361" s="53" t="n">
        <f aca="true">NORMINV(RAND(),0,N$7)</f>
        <v>-0.0377398393927839</v>
      </c>
      <c r="O361" s="53" t="n">
        <f aca="false">SUM(J361:N361)</f>
        <v>-0.112090848167786</v>
      </c>
    </row>
    <row r="362" customFormat="false" ht="15" hidden="false" customHeight="false" outlineLevel="0" collapsed="false">
      <c r="A362" s="2" t="n">
        <v>354</v>
      </c>
      <c r="B362" s="53" t="n">
        <f aca="true">NORMINV(RAND(),0,B$7)</f>
        <v>0.730413419297261</v>
      </c>
      <c r="C362" s="53" t="n">
        <f aca="true">NORMINV(RAND(),0,C$7)</f>
        <v>0.202739237033244</v>
      </c>
      <c r="D362" s="53" t="n">
        <f aca="true">NORMINV(RAND(),0,D$7)</f>
        <v>-0.784285665886824</v>
      </c>
      <c r="E362" s="53" t="n">
        <f aca="true">NORMINV(RAND(),0,E$7)</f>
        <v>0.0950572130190425</v>
      </c>
      <c r="F362" s="53" t="n">
        <f aca="true">NORMINV(RAND(),0,F$7)</f>
        <v>0.0771482472097734</v>
      </c>
      <c r="G362" s="53" t="n">
        <f aca="true">NORMINV(RAND(),0,G$7)</f>
        <v>0.11258360206096</v>
      </c>
      <c r="H362" s="53" t="n">
        <f aca="true">NORMINV(RAND(),0,H$7)</f>
        <v>-0.596420766136961</v>
      </c>
      <c r="I362" s="53" t="n">
        <f aca="false">SUM(B362:H362)</f>
        <v>-0.162764713403504</v>
      </c>
      <c r="J362" s="53" t="n">
        <f aca="true">NORMINV(RAND(),0,J$7)</f>
        <v>-1.98738443585218</v>
      </c>
      <c r="K362" s="53" t="n">
        <f aca="true">NORMINV(RAND(),0,K$7)</f>
        <v>-0.84966743876116</v>
      </c>
      <c r="L362" s="53" t="n">
        <f aca="true">NORMINV(RAND(),0,L$7)</f>
        <v>0.097690023915362</v>
      </c>
      <c r="M362" s="53" t="n">
        <f aca="true">NORMINV(RAND(),0,M$7)</f>
        <v>0.127926034102244</v>
      </c>
      <c r="N362" s="53" t="n">
        <f aca="true">NORMINV(RAND(),0,N$7)</f>
        <v>0.660956630396109</v>
      </c>
      <c r="O362" s="53" t="n">
        <f aca="false">SUM(J362:N362)</f>
        <v>-1.95047918619963</v>
      </c>
    </row>
    <row r="363" customFormat="false" ht="15" hidden="false" customHeight="false" outlineLevel="0" collapsed="false">
      <c r="A363" s="2" t="n">
        <v>355</v>
      </c>
      <c r="B363" s="53" t="n">
        <f aca="true">NORMINV(RAND(),0,B$7)</f>
        <v>-0.0204528248568915</v>
      </c>
      <c r="C363" s="53" t="n">
        <f aca="true">NORMINV(RAND(),0,C$7)</f>
        <v>-2.00150077993459</v>
      </c>
      <c r="D363" s="53" t="n">
        <f aca="true">NORMINV(RAND(),0,D$7)</f>
        <v>3.65023315047218</v>
      </c>
      <c r="E363" s="53" t="n">
        <f aca="true">NORMINV(RAND(),0,E$7)</f>
        <v>-0.740036214393451</v>
      </c>
      <c r="F363" s="53" t="n">
        <f aca="true">NORMINV(RAND(),0,F$7)</f>
        <v>-0.727881330728736</v>
      </c>
      <c r="G363" s="53" t="n">
        <f aca="true">NORMINV(RAND(),0,G$7)</f>
        <v>0.849520376474883</v>
      </c>
      <c r="H363" s="53" t="n">
        <f aca="true">NORMINV(RAND(),0,H$7)</f>
        <v>0.372594340182216</v>
      </c>
      <c r="I363" s="53" t="n">
        <f aca="false">SUM(B363:H363)</f>
        <v>1.38247671721561</v>
      </c>
      <c r="J363" s="53" t="n">
        <f aca="true">NORMINV(RAND(),0,J$7)</f>
        <v>-2.0680632448308</v>
      </c>
      <c r="K363" s="53" t="n">
        <f aca="true">NORMINV(RAND(),0,K$7)</f>
        <v>0.20399422100782</v>
      </c>
      <c r="L363" s="53" t="n">
        <f aca="true">NORMINV(RAND(),0,L$7)</f>
        <v>0.178851549311601</v>
      </c>
      <c r="M363" s="53" t="n">
        <f aca="true">NORMINV(RAND(),0,M$7)</f>
        <v>-0.0448823336065389</v>
      </c>
      <c r="N363" s="53" t="n">
        <f aca="true">NORMINV(RAND(),0,N$7)</f>
        <v>0.019477280890654</v>
      </c>
      <c r="O363" s="53" t="n">
        <f aca="false">SUM(J363:N363)</f>
        <v>-1.71062252722727</v>
      </c>
    </row>
    <row r="364" customFormat="false" ht="15" hidden="false" customHeight="false" outlineLevel="0" collapsed="false">
      <c r="A364" s="2" t="n">
        <v>356</v>
      </c>
      <c r="B364" s="53" t="n">
        <f aca="true">NORMINV(RAND(),0,B$7)</f>
        <v>-0.123404563737752</v>
      </c>
      <c r="C364" s="53" t="n">
        <f aca="true">NORMINV(RAND(),0,C$7)</f>
        <v>1.80639417283</v>
      </c>
      <c r="D364" s="53" t="n">
        <f aca="true">NORMINV(RAND(),0,D$7)</f>
        <v>-1.57611032423356</v>
      </c>
      <c r="E364" s="53" t="n">
        <f aca="true">NORMINV(RAND(),0,E$7)</f>
        <v>-0.12400202283801</v>
      </c>
      <c r="F364" s="53" t="n">
        <f aca="true">NORMINV(RAND(),0,F$7)</f>
        <v>0.241046878935726</v>
      </c>
      <c r="G364" s="53" t="n">
        <f aca="true">NORMINV(RAND(),0,G$7)</f>
        <v>0.739150335311752</v>
      </c>
      <c r="H364" s="53" t="n">
        <f aca="true">NORMINV(RAND(),0,H$7)</f>
        <v>0.0729751576531812</v>
      </c>
      <c r="I364" s="53" t="n">
        <f aca="false">SUM(B364:H364)</f>
        <v>1.03604963392134</v>
      </c>
      <c r="J364" s="53" t="n">
        <f aca="true">NORMINV(RAND(),0,J$7)</f>
        <v>0.808869077519875</v>
      </c>
      <c r="K364" s="53" t="n">
        <f aca="true">NORMINV(RAND(),0,K$7)</f>
        <v>0.514762127951882</v>
      </c>
      <c r="L364" s="53" t="n">
        <f aca="true">NORMINV(RAND(),0,L$7)</f>
        <v>-0.0158521590748857</v>
      </c>
      <c r="M364" s="53" t="n">
        <f aca="true">NORMINV(RAND(),0,M$7)</f>
        <v>0.0464717191478011</v>
      </c>
      <c r="N364" s="53" t="n">
        <f aca="true">NORMINV(RAND(),0,N$7)</f>
        <v>-0.133972990762633</v>
      </c>
      <c r="O364" s="53" t="n">
        <f aca="false">SUM(J364:N364)</f>
        <v>1.22027777478204</v>
      </c>
    </row>
    <row r="365" customFormat="false" ht="15" hidden="false" customHeight="false" outlineLevel="0" collapsed="false">
      <c r="A365" s="2" t="n">
        <v>357</v>
      </c>
      <c r="B365" s="53" t="n">
        <f aca="true">NORMINV(RAND(),0,B$7)</f>
        <v>0.144808131231206</v>
      </c>
      <c r="C365" s="53" t="n">
        <f aca="true">NORMINV(RAND(),0,C$7)</f>
        <v>-2.43699217784476</v>
      </c>
      <c r="D365" s="53" t="n">
        <f aca="true">NORMINV(RAND(),0,D$7)</f>
        <v>-0.353862635062596</v>
      </c>
      <c r="E365" s="53" t="n">
        <f aca="true">NORMINV(RAND(),0,E$7)</f>
        <v>0.085608521468352</v>
      </c>
      <c r="F365" s="53" t="n">
        <f aca="true">NORMINV(RAND(),0,F$7)</f>
        <v>0.0215183895356485</v>
      </c>
      <c r="G365" s="53" t="n">
        <f aca="true">NORMINV(RAND(),0,G$7)</f>
        <v>-1.58729576699836</v>
      </c>
      <c r="H365" s="53" t="n">
        <f aca="true">NORMINV(RAND(),0,H$7)</f>
        <v>-0.153881576621798</v>
      </c>
      <c r="I365" s="53" t="n">
        <f aca="false">SUM(B365:H365)</f>
        <v>-4.28009711429231</v>
      </c>
      <c r="J365" s="53" t="n">
        <f aca="true">NORMINV(RAND(),0,J$7)</f>
        <v>-3.72916424217107</v>
      </c>
      <c r="K365" s="53" t="n">
        <f aca="true">NORMINV(RAND(),0,K$7)</f>
        <v>-2.01853880796084</v>
      </c>
      <c r="L365" s="53" t="n">
        <f aca="true">NORMINV(RAND(),0,L$7)</f>
        <v>-0.282452633719428</v>
      </c>
      <c r="M365" s="53" t="n">
        <f aca="true">NORMINV(RAND(),0,M$7)</f>
        <v>-0.115662223511537</v>
      </c>
      <c r="N365" s="53" t="n">
        <f aca="true">NORMINV(RAND(),0,N$7)</f>
        <v>0.190752650208909</v>
      </c>
      <c r="O365" s="53" t="n">
        <f aca="false">SUM(J365:N365)</f>
        <v>-5.95506525715396</v>
      </c>
    </row>
    <row r="366" customFormat="false" ht="15" hidden="false" customHeight="false" outlineLevel="0" collapsed="false">
      <c r="A366" s="2" t="n">
        <v>358</v>
      </c>
      <c r="B366" s="53" t="n">
        <f aca="true">NORMINV(RAND(),0,B$7)</f>
        <v>-1.24610901539383</v>
      </c>
      <c r="C366" s="53" t="n">
        <f aca="true">NORMINV(RAND(),0,C$7)</f>
        <v>-2.94263465747631</v>
      </c>
      <c r="D366" s="53" t="n">
        <f aca="true">NORMINV(RAND(),0,D$7)</f>
        <v>1.09575722293805</v>
      </c>
      <c r="E366" s="53" t="n">
        <f aca="true">NORMINV(RAND(),0,E$7)</f>
        <v>-0.329252525847492</v>
      </c>
      <c r="F366" s="53" t="n">
        <f aca="true">NORMINV(RAND(),0,F$7)</f>
        <v>-0.277498104209304</v>
      </c>
      <c r="G366" s="53" t="n">
        <f aca="true">NORMINV(RAND(),0,G$7)</f>
        <v>-0.100090877653854</v>
      </c>
      <c r="H366" s="53" t="n">
        <f aca="true">NORMINV(RAND(),0,H$7)</f>
        <v>0.0444835173298617</v>
      </c>
      <c r="I366" s="53" t="n">
        <f aca="false">SUM(B366:H366)</f>
        <v>-3.75534444031287</v>
      </c>
      <c r="J366" s="53" t="n">
        <f aca="true">NORMINV(RAND(),0,J$7)</f>
        <v>-0.227622330410544</v>
      </c>
      <c r="K366" s="53" t="n">
        <f aca="true">NORMINV(RAND(),0,K$7)</f>
        <v>-0.614464424275896</v>
      </c>
      <c r="L366" s="53" t="n">
        <f aca="true">NORMINV(RAND(),0,L$7)</f>
        <v>0.0953975111306725</v>
      </c>
      <c r="M366" s="53" t="n">
        <f aca="true">NORMINV(RAND(),0,M$7)</f>
        <v>-0.207274792396214</v>
      </c>
      <c r="N366" s="53" t="n">
        <f aca="true">NORMINV(RAND(),0,N$7)</f>
        <v>-0.0512304818573841</v>
      </c>
      <c r="O366" s="53" t="n">
        <f aca="false">SUM(J366:N366)</f>
        <v>-1.00519451780937</v>
      </c>
    </row>
    <row r="367" customFormat="false" ht="15" hidden="false" customHeight="false" outlineLevel="0" collapsed="false">
      <c r="A367" s="2" t="n">
        <v>359</v>
      </c>
      <c r="B367" s="53" t="n">
        <f aca="true">NORMINV(RAND(),0,B$7)</f>
        <v>-0.326608118154642</v>
      </c>
      <c r="C367" s="53" t="n">
        <f aca="true">NORMINV(RAND(),0,C$7)</f>
        <v>-0.885219004829482</v>
      </c>
      <c r="D367" s="53" t="n">
        <f aca="true">NORMINV(RAND(),0,D$7)</f>
        <v>2.54390848677078</v>
      </c>
      <c r="E367" s="53" t="n">
        <f aca="true">NORMINV(RAND(),0,E$7)</f>
        <v>0.0797688691181381</v>
      </c>
      <c r="F367" s="53" t="n">
        <f aca="true">NORMINV(RAND(),0,F$7)</f>
        <v>-0.189278312890613</v>
      </c>
      <c r="G367" s="53" t="n">
        <f aca="true">NORMINV(RAND(),0,G$7)</f>
        <v>1.45916321021509</v>
      </c>
      <c r="H367" s="53" t="n">
        <f aca="true">NORMINV(RAND(),0,H$7)</f>
        <v>0.580231232738012</v>
      </c>
      <c r="I367" s="53" t="n">
        <f aca="false">SUM(B367:H367)</f>
        <v>3.26196636296729</v>
      </c>
      <c r="J367" s="53" t="n">
        <f aca="true">NORMINV(RAND(),0,J$7)</f>
        <v>0.786515569131856</v>
      </c>
      <c r="K367" s="53" t="n">
        <f aca="true">NORMINV(RAND(),0,K$7)</f>
        <v>-0.159419287281531</v>
      </c>
      <c r="L367" s="53" t="n">
        <f aca="true">NORMINV(RAND(),0,L$7)</f>
        <v>0.411955137535277</v>
      </c>
      <c r="M367" s="53" t="n">
        <f aca="true">NORMINV(RAND(),0,M$7)</f>
        <v>-0.0748695663001766</v>
      </c>
      <c r="N367" s="53" t="n">
        <f aca="true">NORMINV(RAND(),0,N$7)</f>
        <v>0.181924408042812</v>
      </c>
      <c r="O367" s="53" t="n">
        <f aca="false">SUM(J367:N367)</f>
        <v>1.14610626112824</v>
      </c>
    </row>
    <row r="368" customFormat="false" ht="15" hidden="false" customHeight="false" outlineLevel="0" collapsed="false">
      <c r="A368" s="2" t="n">
        <v>360</v>
      </c>
      <c r="B368" s="53" t="n">
        <f aca="true">NORMINV(RAND(),0,B$7)</f>
        <v>-0.72716335238988</v>
      </c>
      <c r="C368" s="53" t="n">
        <f aca="true">NORMINV(RAND(),0,C$7)</f>
        <v>1.3028914802498</v>
      </c>
      <c r="D368" s="53" t="n">
        <f aca="true">NORMINV(RAND(),0,D$7)</f>
        <v>0.148174152456438</v>
      </c>
      <c r="E368" s="53" t="n">
        <f aca="true">NORMINV(RAND(),0,E$7)</f>
        <v>-0.308208079919089</v>
      </c>
      <c r="F368" s="53" t="n">
        <f aca="true">NORMINV(RAND(),0,F$7)</f>
        <v>0.188677466000524</v>
      </c>
      <c r="G368" s="53" t="n">
        <f aca="true">NORMINV(RAND(),0,G$7)</f>
        <v>1.13350485569658</v>
      </c>
      <c r="H368" s="53" t="n">
        <f aca="true">NORMINV(RAND(),0,H$7)</f>
        <v>0.204158458860186</v>
      </c>
      <c r="I368" s="53" t="n">
        <f aca="false">SUM(B368:H368)</f>
        <v>1.94203498095456</v>
      </c>
      <c r="J368" s="53" t="n">
        <f aca="true">NORMINV(RAND(),0,J$7)</f>
        <v>-1.44906971387837</v>
      </c>
      <c r="K368" s="53" t="n">
        <f aca="true">NORMINV(RAND(),0,K$7)</f>
        <v>-1.60987458315796</v>
      </c>
      <c r="L368" s="53" t="n">
        <f aca="true">NORMINV(RAND(),0,L$7)</f>
        <v>0.187774741378479</v>
      </c>
      <c r="M368" s="53" t="n">
        <f aca="true">NORMINV(RAND(),0,M$7)</f>
        <v>-0.027648423052163</v>
      </c>
      <c r="N368" s="53" t="n">
        <f aca="true">NORMINV(RAND(),0,N$7)</f>
        <v>-0.337032398683566</v>
      </c>
      <c r="O368" s="53" t="n">
        <f aca="false">SUM(J368:N368)</f>
        <v>-3.23585037739358</v>
      </c>
    </row>
    <row r="369" customFormat="false" ht="15" hidden="false" customHeight="false" outlineLevel="0" collapsed="false">
      <c r="A369" s="2" t="n">
        <v>361</v>
      </c>
      <c r="B369" s="53" t="n">
        <f aca="true">NORMINV(RAND(),0,B$7)</f>
        <v>2.82531745264047</v>
      </c>
      <c r="C369" s="53" t="n">
        <f aca="true">NORMINV(RAND(),0,C$7)</f>
        <v>-0.287938979786132</v>
      </c>
      <c r="D369" s="53" t="n">
        <f aca="true">NORMINV(RAND(),0,D$7)</f>
        <v>-2.44925465759161</v>
      </c>
      <c r="E369" s="53" t="n">
        <f aca="true">NORMINV(RAND(),0,E$7)</f>
        <v>0.0800421457480875</v>
      </c>
      <c r="F369" s="53" t="n">
        <f aca="true">NORMINV(RAND(),0,F$7)</f>
        <v>-0.215624004248814</v>
      </c>
      <c r="G369" s="53" t="n">
        <f aca="true">NORMINV(RAND(),0,G$7)</f>
        <v>-1.93702197317934</v>
      </c>
      <c r="H369" s="53" t="n">
        <f aca="true">NORMINV(RAND(),0,H$7)</f>
        <v>-0.0105516443404318</v>
      </c>
      <c r="I369" s="53" t="n">
        <f aca="false">SUM(B369:H369)</f>
        <v>-1.99503166075776</v>
      </c>
      <c r="J369" s="53" t="n">
        <f aca="true">NORMINV(RAND(),0,J$7)</f>
        <v>3.26940106776326</v>
      </c>
      <c r="K369" s="53" t="n">
        <f aca="true">NORMINV(RAND(),0,K$7)</f>
        <v>-1.01946113642288</v>
      </c>
      <c r="L369" s="53" t="n">
        <f aca="true">NORMINV(RAND(),0,L$7)</f>
        <v>-0.0218597000431165</v>
      </c>
      <c r="M369" s="53" t="n">
        <f aca="true">NORMINV(RAND(),0,M$7)</f>
        <v>0.30794961581061</v>
      </c>
      <c r="N369" s="53" t="n">
        <f aca="true">NORMINV(RAND(),0,N$7)</f>
        <v>-0.257763433331041</v>
      </c>
      <c r="O369" s="53" t="n">
        <f aca="false">SUM(J369:N369)</f>
        <v>2.27826641377683</v>
      </c>
    </row>
    <row r="370" customFormat="false" ht="15" hidden="false" customHeight="false" outlineLevel="0" collapsed="false">
      <c r="A370" s="2" t="n">
        <v>362</v>
      </c>
      <c r="B370" s="53" t="n">
        <f aca="true">NORMINV(RAND(),0,B$7)</f>
        <v>-1.80388808916883</v>
      </c>
      <c r="C370" s="53" t="n">
        <f aca="true">NORMINV(RAND(),0,C$7)</f>
        <v>-0.389398523268041</v>
      </c>
      <c r="D370" s="53" t="n">
        <f aca="true">NORMINV(RAND(),0,D$7)</f>
        <v>1.42603785352833</v>
      </c>
      <c r="E370" s="53" t="n">
        <f aca="true">NORMINV(RAND(),0,E$7)</f>
        <v>0.159064540171884</v>
      </c>
      <c r="F370" s="53" t="n">
        <f aca="true">NORMINV(RAND(),0,F$7)</f>
        <v>0.333088789984352</v>
      </c>
      <c r="G370" s="53" t="n">
        <f aca="true">NORMINV(RAND(),0,G$7)</f>
        <v>-0.39073691623953</v>
      </c>
      <c r="H370" s="53" t="n">
        <f aca="true">NORMINV(RAND(),0,H$7)</f>
        <v>0.288868873606544</v>
      </c>
      <c r="I370" s="53" t="n">
        <f aca="false">SUM(B370:H370)</f>
        <v>-0.376963471385291</v>
      </c>
      <c r="J370" s="53" t="n">
        <f aca="true">NORMINV(RAND(),0,J$7)</f>
        <v>2.53311730509924</v>
      </c>
      <c r="K370" s="53" t="n">
        <f aca="true">NORMINV(RAND(),0,K$7)</f>
        <v>1.10797921916737</v>
      </c>
      <c r="L370" s="53" t="n">
        <f aca="true">NORMINV(RAND(),0,L$7)</f>
        <v>-0.0845186862640433</v>
      </c>
      <c r="M370" s="53" t="n">
        <f aca="true">NORMINV(RAND(),0,M$7)</f>
        <v>-0.236768618850165</v>
      </c>
      <c r="N370" s="53" t="n">
        <f aca="true">NORMINV(RAND(),0,N$7)</f>
        <v>0.641648249263099</v>
      </c>
      <c r="O370" s="53" t="n">
        <f aca="false">SUM(J370:N370)</f>
        <v>3.96145746841549</v>
      </c>
    </row>
    <row r="371" customFormat="false" ht="15" hidden="false" customHeight="false" outlineLevel="0" collapsed="false">
      <c r="A371" s="2" t="n">
        <v>363</v>
      </c>
      <c r="B371" s="53" t="n">
        <f aca="true">NORMINV(RAND(),0,B$7)</f>
        <v>-0.793318366314914</v>
      </c>
      <c r="C371" s="53" t="n">
        <f aca="true">NORMINV(RAND(),0,C$7)</f>
        <v>1.58679099056947</v>
      </c>
      <c r="D371" s="53" t="n">
        <f aca="true">NORMINV(RAND(),0,D$7)</f>
        <v>-0.588169184530451</v>
      </c>
      <c r="E371" s="53" t="n">
        <f aca="true">NORMINV(RAND(),0,E$7)</f>
        <v>-0.160943308357559</v>
      </c>
      <c r="F371" s="53" t="n">
        <f aca="true">NORMINV(RAND(),0,F$7)</f>
        <v>-0.229639662729057</v>
      </c>
      <c r="G371" s="53" t="n">
        <f aca="true">NORMINV(RAND(),0,G$7)</f>
        <v>1.11222787213244</v>
      </c>
      <c r="H371" s="53" t="n">
        <f aca="true">NORMINV(RAND(),0,H$7)</f>
        <v>-0.202425752958478</v>
      </c>
      <c r="I371" s="53" t="n">
        <f aca="false">SUM(B371:H371)</f>
        <v>0.724522587811448</v>
      </c>
      <c r="J371" s="53" t="n">
        <f aca="true">NORMINV(RAND(),0,J$7)</f>
        <v>2.21143409995768</v>
      </c>
      <c r="K371" s="53" t="n">
        <f aca="true">NORMINV(RAND(),0,K$7)</f>
        <v>0.364549695700709</v>
      </c>
      <c r="L371" s="53" t="n">
        <f aca="true">NORMINV(RAND(),0,L$7)</f>
        <v>-0.224177686358673</v>
      </c>
      <c r="M371" s="53" t="n">
        <f aca="true">NORMINV(RAND(),0,M$7)</f>
        <v>-0.0399654839945213</v>
      </c>
      <c r="N371" s="53" t="n">
        <f aca="true">NORMINV(RAND(),0,N$7)</f>
        <v>0.638876381241665</v>
      </c>
      <c r="O371" s="53" t="n">
        <f aca="false">SUM(J371:N371)</f>
        <v>2.95071700654686</v>
      </c>
    </row>
    <row r="372" customFormat="false" ht="15" hidden="false" customHeight="false" outlineLevel="0" collapsed="false">
      <c r="A372" s="2" t="n">
        <v>364</v>
      </c>
      <c r="B372" s="53" t="n">
        <f aca="true">NORMINV(RAND(),0,B$7)</f>
        <v>-1.07494109813035</v>
      </c>
      <c r="C372" s="53" t="n">
        <f aca="true">NORMINV(RAND(),0,C$7)</f>
        <v>0.127875501875317</v>
      </c>
      <c r="D372" s="53" t="n">
        <f aca="true">NORMINV(RAND(),0,D$7)</f>
        <v>0.419568131397049</v>
      </c>
      <c r="E372" s="53" t="n">
        <f aca="true">NORMINV(RAND(),0,E$7)</f>
        <v>-0.396494158141423</v>
      </c>
      <c r="F372" s="53" t="n">
        <f aca="true">NORMINV(RAND(),0,F$7)</f>
        <v>0.147450033903716</v>
      </c>
      <c r="G372" s="53" t="n">
        <f aca="true">NORMINV(RAND(),0,G$7)</f>
        <v>-0.702967309736009</v>
      </c>
      <c r="H372" s="53" t="n">
        <f aca="true">NORMINV(RAND(),0,H$7)</f>
        <v>0.280399014449142</v>
      </c>
      <c r="I372" s="53" t="n">
        <f aca="false">SUM(B372:H372)</f>
        <v>-1.19910988438256</v>
      </c>
      <c r="J372" s="53" t="n">
        <f aca="true">NORMINV(RAND(),0,J$7)</f>
        <v>-3.1745997825777</v>
      </c>
      <c r="K372" s="53" t="n">
        <f aca="true">NORMINV(RAND(),0,K$7)</f>
        <v>0.283550367157659</v>
      </c>
      <c r="L372" s="53" t="n">
        <f aca="true">NORMINV(RAND(),0,L$7)</f>
        <v>0.168257296956643</v>
      </c>
      <c r="M372" s="53" t="n">
        <f aca="true">NORMINV(RAND(),0,M$7)</f>
        <v>-0.0967848393262229</v>
      </c>
      <c r="N372" s="53" t="n">
        <f aca="true">NORMINV(RAND(),0,N$7)</f>
        <v>-0.608368500441721</v>
      </c>
      <c r="O372" s="53" t="n">
        <f aca="false">SUM(J372:N372)</f>
        <v>-3.42794545823134</v>
      </c>
    </row>
    <row r="373" customFormat="false" ht="15" hidden="false" customHeight="false" outlineLevel="0" collapsed="false">
      <c r="A373" s="2" t="n">
        <v>365</v>
      </c>
      <c r="B373" s="53" t="n">
        <f aca="true">NORMINV(RAND(),0,B$7)</f>
        <v>-1.73036047023562</v>
      </c>
      <c r="C373" s="53" t="n">
        <f aca="true">NORMINV(RAND(),0,C$7)</f>
        <v>-1.02124217619362</v>
      </c>
      <c r="D373" s="53" t="n">
        <f aca="true">NORMINV(RAND(),0,D$7)</f>
        <v>-0.79144672746778</v>
      </c>
      <c r="E373" s="53" t="n">
        <f aca="true">NORMINV(RAND(),0,E$7)</f>
        <v>-0.34875483767435</v>
      </c>
      <c r="F373" s="53" t="n">
        <f aca="true">NORMINV(RAND(),0,F$7)</f>
        <v>0.372108085995044</v>
      </c>
      <c r="G373" s="53" t="n">
        <f aca="true">NORMINV(RAND(),0,G$7)</f>
        <v>-1.31545466462318</v>
      </c>
      <c r="H373" s="53" t="n">
        <f aca="true">NORMINV(RAND(),0,H$7)</f>
        <v>-0.239743775823266</v>
      </c>
      <c r="I373" s="53" t="n">
        <f aca="false">SUM(B373:H373)</f>
        <v>-5.07489456602278</v>
      </c>
      <c r="J373" s="53" t="n">
        <f aca="true">NORMINV(RAND(),0,J$7)</f>
        <v>1.20279735691695</v>
      </c>
      <c r="K373" s="53" t="n">
        <f aca="true">NORMINV(RAND(),0,K$7)</f>
        <v>-0.207626784415074</v>
      </c>
      <c r="L373" s="53" t="n">
        <f aca="true">NORMINV(RAND(),0,L$7)</f>
        <v>0.797766149056743</v>
      </c>
      <c r="M373" s="53" t="n">
        <f aca="true">NORMINV(RAND(),0,M$7)</f>
        <v>0.363336844853108</v>
      </c>
      <c r="N373" s="53" t="n">
        <f aca="true">NORMINV(RAND(),0,N$7)</f>
        <v>0.873596574967486</v>
      </c>
      <c r="O373" s="53" t="n">
        <f aca="false">SUM(J373:N373)</f>
        <v>3.02987014137922</v>
      </c>
    </row>
    <row r="374" customFormat="false" ht="15" hidden="false" customHeight="false" outlineLevel="0" collapsed="false">
      <c r="A374" s="2" t="n">
        <v>366</v>
      </c>
      <c r="B374" s="53" t="n">
        <f aca="true">NORMINV(RAND(),0,B$7)</f>
        <v>0.322153350341536</v>
      </c>
      <c r="C374" s="53" t="n">
        <f aca="true">NORMINV(RAND(),0,C$7)</f>
        <v>-1.43407571053945</v>
      </c>
      <c r="D374" s="53" t="n">
        <f aca="true">NORMINV(RAND(),0,D$7)</f>
        <v>1.48678923293318</v>
      </c>
      <c r="E374" s="53" t="n">
        <f aca="true">NORMINV(RAND(),0,E$7)</f>
        <v>-0.296359360829843</v>
      </c>
      <c r="F374" s="53" t="n">
        <f aca="true">NORMINV(RAND(),0,F$7)</f>
        <v>-0.113351319696017</v>
      </c>
      <c r="G374" s="53" t="n">
        <f aca="true">NORMINV(RAND(),0,G$7)</f>
        <v>0.835286868697216</v>
      </c>
      <c r="H374" s="53" t="n">
        <f aca="true">NORMINV(RAND(),0,H$7)</f>
        <v>0.0161892325735559</v>
      </c>
      <c r="I374" s="53" t="n">
        <f aca="false">SUM(B374:H374)</f>
        <v>0.816632293480169</v>
      </c>
      <c r="J374" s="53" t="n">
        <f aca="true">NORMINV(RAND(),0,J$7)</f>
        <v>0.569919585585128</v>
      </c>
      <c r="K374" s="53" t="n">
        <f aca="true">NORMINV(RAND(),0,K$7)</f>
        <v>0.880974956611047</v>
      </c>
      <c r="L374" s="53" t="n">
        <f aca="true">NORMINV(RAND(),0,L$7)</f>
        <v>0.686339177131327</v>
      </c>
      <c r="M374" s="53" t="n">
        <f aca="true">NORMINV(RAND(),0,M$7)</f>
        <v>-0.069504035030449</v>
      </c>
      <c r="N374" s="53" t="n">
        <f aca="true">NORMINV(RAND(),0,N$7)</f>
        <v>-0.0424140905175027</v>
      </c>
      <c r="O374" s="53" t="n">
        <f aca="false">SUM(J374:N374)</f>
        <v>2.02531559377955</v>
      </c>
    </row>
    <row r="375" customFormat="false" ht="15" hidden="false" customHeight="false" outlineLevel="0" collapsed="false">
      <c r="A375" s="2" t="n">
        <v>367</v>
      </c>
      <c r="B375" s="53" t="n">
        <f aca="true">NORMINV(RAND(),0,B$7)</f>
        <v>0.522995474249273</v>
      </c>
      <c r="C375" s="53" t="n">
        <f aca="true">NORMINV(RAND(),0,C$7)</f>
        <v>-0.529888731618447</v>
      </c>
      <c r="D375" s="53" t="n">
        <f aca="true">NORMINV(RAND(),0,D$7)</f>
        <v>1.28678717162239</v>
      </c>
      <c r="E375" s="53" t="n">
        <f aca="true">NORMINV(RAND(),0,E$7)</f>
        <v>-0.339154183394839</v>
      </c>
      <c r="F375" s="53" t="n">
        <f aca="true">NORMINV(RAND(),0,F$7)</f>
        <v>-0.32610858031371</v>
      </c>
      <c r="G375" s="53" t="n">
        <f aca="true">NORMINV(RAND(),0,G$7)</f>
        <v>2.29214607518641</v>
      </c>
      <c r="H375" s="53" t="n">
        <f aca="true">NORMINV(RAND(),0,H$7)</f>
        <v>0.547764759711685</v>
      </c>
      <c r="I375" s="53" t="n">
        <f aca="false">SUM(B375:H375)</f>
        <v>3.45454198544277</v>
      </c>
      <c r="J375" s="53" t="n">
        <f aca="true">NORMINV(RAND(),0,J$7)</f>
        <v>-1.99839417642835</v>
      </c>
      <c r="K375" s="53" t="n">
        <f aca="true">NORMINV(RAND(),0,K$7)</f>
        <v>-0.559033299229516</v>
      </c>
      <c r="L375" s="53" t="n">
        <f aca="true">NORMINV(RAND(),0,L$7)</f>
        <v>0.335922031462468</v>
      </c>
      <c r="M375" s="53" t="n">
        <f aca="true">NORMINV(RAND(),0,M$7)</f>
        <v>0.301652777004687</v>
      </c>
      <c r="N375" s="53" t="n">
        <f aca="true">NORMINV(RAND(),0,N$7)</f>
        <v>0.138701304587396</v>
      </c>
      <c r="O375" s="53" t="n">
        <f aca="false">SUM(J375:N375)</f>
        <v>-1.78115136260331</v>
      </c>
    </row>
    <row r="376" customFormat="false" ht="15" hidden="false" customHeight="false" outlineLevel="0" collapsed="false">
      <c r="A376" s="2" t="n">
        <v>368</v>
      </c>
      <c r="B376" s="53" t="n">
        <f aca="true">NORMINV(RAND(),0,B$7)</f>
        <v>-0.745913129562757</v>
      </c>
      <c r="C376" s="53" t="n">
        <f aca="true">NORMINV(RAND(),0,C$7)</f>
        <v>-0.268284495431828</v>
      </c>
      <c r="D376" s="53" t="n">
        <f aca="true">NORMINV(RAND(),0,D$7)</f>
        <v>-2.53265576779688</v>
      </c>
      <c r="E376" s="53" t="n">
        <f aca="true">NORMINV(RAND(),0,E$7)</f>
        <v>-0.0395883349051299</v>
      </c>
      <c r="F376" s="53" t="n">
        <f aca="true">NORMINV(RAND(),0,F$7)</f>
        <v>-0.258501649100191</v>
      </c>
      <c r="G376" s="53" t="n">
        <f aca="true">NORMINV(RAND(),0,G$7)</f>
        <v>-0.348948674274312</v>
      </c>
      <c r="H376" s="53" t="n">
        <f aca="true">NORMINV(RAND(),0,H$7)</f>
        <v>-0.214259777215182</v>
      </c>
      <c r="I376" s="53" t="n">
        <f aca="false">SUM(B376:H376)</f>
        <v>-4.40815182828628</v>
      </c>
      <c r="J376" s="53" t="n">
        <f aca="true">NORMINV(RAND(),0,J$7)</f>
        <v>2.45272022951288</v>
      </c>
      <c r="K376" s="53" t="n">
        <f aca="true">NORMINV(RAND(),0,K$7)</f>
        <v>-1.1993604137098</v>
      </c>
      <c r="L376" s="53" t="n">
        <f aca="true">NORMINV(RAND(),0,L$7)</f>
        <v>0.0202524512690059</v>
      </c>
      <c r="M376" s="53" t="n">
        <f aca="true">NORMINV(RAND(),0,M$7)</f>
        <v>0.0870389865617622</v>
      </c>
      <c r="N376" s="53" t="n">
        <f aca="true">NORMINV(RAND(),0,N$7)</f>
        <v>-0.00729095570477611</v>
      </c>
      <c r="O376" s="53" t="n">
        <f aca="false">SUM(J376:N376)</f>
        <v>1.35336029792907</v>
      </c>
    </row>
    <row r="377" customFormat="false" ht="15" hidden="false" customHeight="false" outlineLevel="0" collapsed="false">
      <c r="A377" s="2" t="n">
        <v>369</v>
      </c>
      <c r="B377" s="53" t="n">
        <f aca="true">NORMINV(RAND(),0,B$7)</f>
        <v>2.60258620999742</v>
      </c>
      <c r="C377" s="53" t="n">
        <f aca="true">NORMINV(RAND(),0,C$7)</f>
        <v>-1.46725703286543</v>
      </c>
      <c r="D377" s="53" t="n">
        <f aca="true">NORMINV(RAND(),0,D$7)</f>
        <v>1.86571666119177</v>
      </c>
      <c r="E377" s="53" t="n">
        <f aca="true">NORMINV(RAND(),0,E$7)</f>
        <v>0.0330941808188921</v>
      </c>
      <c r="F377" s="53" t="n">
        <f aca="true">NORMINV(RAND(),0,F$7)</f>
        <v>0.0537560040261756</v>
      </c>
      <c r="G377" s="53" t="n">
        <f aca="true">NORMINV(RAND(),0,G$7)</f>
        <v>-1.65439214766436</v>
      </c>
      <c r="H377" s="53" t="n">
        <f aca="true">NORMINV(RAND(),0,H$7)</f>
        <v>-0.0993113017419062</v>
      </c>
      <c r="I377" s="53" t="n">
        <f aca="false">SUM(B377:H377)</f>
        <v>1.33419257376256</v>
      </c>
      <c r="J377" s="53" t="n">
        <f aca="true">NORMINV(RAND(),0,J$7)</f>
        <v>-0.27583210215706</v>
      </c>
      <c r="K377" s="53" t="n">
        <f aca="true">NORMINV(RAND(),0,K$7)</f>
        <v>-0.942158839887161</v>
      </c>
      <c r="L377" s="53" t="n">
        <f aca="true">NORMINV(RAND(),0,L$7)</f>
        <v>0.0562610090369245</v>
      </c>
      <c r="M377" s="53" t="n">
        <f aca="true">NORMINV(RAND(),0,M$7)</f>
        <v>0.0317457710851604</v>
      </c>
      <c r="N377" s="53" t="n">
        <f aca="true">NORMINV(RAND(),0,N$7)</f>
        <v>0.587736046088106</v>
      </c>
      <c r="O377" s="53" t="n">
        <f aca="false">SUM(J377:N377)</f>
        <v>-0.54224811583403</v>
      </c>
    </row>
    <row r="378" customFormat="false" ht="15" hidden="false" customHeight="false" outlineLevel="0" collapsed="false">
      <c r="A378" s="2" t="n">
        <v>370</v>
      </c>
      <c r="B378" s="53" t="n">
        <f aca="true">NORMINV(RAND(),0,B$7)</f>
        <v>-0.82195610607573</v>
      </c>
      <c r="C378" s="53" t="n">
        <f aca="true">NORMINV(RAND(),0,C$7)</f>
        <v>-2.78037895036991</v>
      </c>
      <c r="D378" s="53" t="n">
        <f aca="true">NORMINV(RAND(),0,D$7)</f>
        <v>-0.60325215750585</v>
      </c>
      <c r="E378" s="53" t="n">
        <f aca="true">NORMINV(RAND(),0,E$7)</f>
        <v>-0.612600951481522</v>
      </c>
      <c r="F378" s="53" t="n">
        <f aca="true">NORMINV(RAND(),0,F$7)</f>
        <v>0.538090696913942</v>
      </c>
      <c r="G378" s="53" t="n">
        <f aca="true">NORMINV(RAND(),0,G$7)</f>
        <v>-0.762714689847554</v>
      </c>
      <c r="H378" s="53" t="n">
        <f aca="true">NORMINV(RAND(),0,H$7)</f>
        <v>-0.232096844173282</v>
      </c>
      <c r="I378" s="53" t="n">
        <f aca="false">SUM(B378:H378)</f>
        <v>-5.2749090025399</v>
      </c>
      <c r="J378" s="53" t="n">
        <f aca="true">NORMINV(RAND(),0,J$7)</f>
        <v>1.19473130837313</v>
      </c>
      <c r="K378" s="53" t="n">
        <f aca="true">NORMINV(RAND(),0,K$7)</f>
        <v>-0.773584347750124</v>
      </c>
      <c r="L378" s="53" t="n">
        <f aca="true">NORMINV(RAND(),0,L$7)</f>
        <v>-0.720643633632099</v>
      </c>
      <c r="M378" s="53" t="n">
        <f aca="true">NORMINV(RAND(),0,M$7)</f>
        <v>-0.077239374970982</v>
      </c>
      <c r="N378" s="53" t="n">
        <f aca="true">NORMINV(RAND(),0,N$7)</f>
        <v>-0.142833094533562</v>
      </c>
      <c r="O378" s="53" t="n">
        <f aca="false">SUM(J378:N378)</f>
        <v>-0.519569142513639</v>
      </c>
    </row>
    <row r="379" customFormat="false" ht="15" hidden="false" customHeight="false" outlineLevel="0" collapsed="false">
      <c r="A379" s="2" t="n">
        <v>371</v>
      </c>
      <c r="B379" s="53" t="n">
        <f aca="true">NORMINV(RAND(),0,B$7)</f>
        <v>-0.308168261997136</v>
      </c>
      <c r="C379" s="53" t="n">
        <f aca="true">NORMINV(RAND(),0,C$7)</f>
        <v>-1.94325620407671</v>
      </c>
      <c r="D379" s="53" t="n">
        <f aca="true">NORMINV(RAND(),0,D$7)</f>
        <v>0.285669276630822</v>
      </c>
      <c r="E379" s="53" t="n">
        <f aca="true">NORMINV(RAND(),0,E$7)</f>
        <v>-0.164885732300296</v>
      </c>
      <c r="F379" s="53" t="n">
        <f aca="true">NORMINV(RAND(),0,F$7)</f>
        <v>0.0993263476864345</v>
      </c>
      <c r="G379" s="53" t="n">
        <f aca="true">NORMINV(RAND(),0,G$7)</f>
        <v>0.629571261633082</v>
      </c>
      <c r="H379" s="53" t="n">
        <f aca="true">NORMINV(RAND(),0,H$7)</f>
        <v>0.685466769424178</v>
      </c>
      <c r="I379" s="53" t="n">
        <f aca="false">SUM(B379:H379)</f>
        <v>-0.716276542999628</v>
      </c>
      <c r="J379" s="53" t="n">
        <f aca="true">NORMINV(RAND(),0,J$7)</f>
        <v>0.0129209234391936</v>
      </c>
      <c r="K379" s="53" t="n">
        <f aca="true">NORMINV(RAND(),0,K$7)</f>
        <v>-0.901702950688707</v>
      </c>
      <c r="L379" s="53" t="n">
        <f aca="true">NORMINV(RAND(),0,L$7)</f>
        <v>-0.0201137058998219</v>
      </c>
      <c r="M379" s="53" t="n">
        <f aca="true">NORMINV(RAND(),0,M$7)</f>
        <v>-0.149734716044683</v>
      </c>
      <c r="N379" s="53" t="n">
        <f aca="true">NORMINV(RAND(),0,N$7)</f>
        <v>-0.313996636753026</v>
      </c>
      <c r="O379" s="53" t="n">
        <f aca="false">SUM(J379:N379)</f>
        <v>-1.37262708594704</v>
      </c>
    </row>
    <row r="380" customFormat="false" ht="15" hidden="false" customHeight="false" outlineLevel="0" collapsed="false">
      <c r="A380" s="2" t="n">
        <v>372</v>
      </c>
      <c r="B380" s="53" t="n">
        <f aca="true">NORMINV(RAND(),0,B$7)</f>
        <v>-1.47289577869137</v>
      </c>
      <c r="C380" s="53" t="n">
        <f aca="true">NORMINV(RAND(),0,C$7)</f>
        <v>-0.405771714427292</v>
      </c>
      <c r="D380" s="53" t="n">
        <f aca="true">NORMINV(RAND(),0,D$7)</f>
        <v>-1.27687738636449</v>
      </c>
      <c r="E380" s="53" t="n">
        <f aca="true">NORMINV(RAND(),0,E$7)</f>
        <v>0.224805134307847</v>
      </c>
      <c r="F380" s="53" t="n">
        <f aca="true">NORMINV(RAND(),0,F$7)</f>
        <v>0.16244728349985</v>
      </c>
      <c r="G380" s="53" t="n">
        <f aca="true">NORMINV(RAND(),0,G$7)</f>
        <v>0.40020932385209</v>
      </c>
      <c r="H380" s="53" t="n">
        <f aca="true">NORMINV(RAND(),0,H$7)</f>
        <v>-0.298784428406542</v>
      </c>
      <c r="I380" s="53" t="n">
        <f aca="false">SUM(B380:H380)</f>
        <v>-2.66686756622991</v>
      </c>
      <c r="J380" s="53" t="n">
        <f aca="true">NORMINV(RAND(),0,J$7)</f>
        <v>-1.88818206430681</v>
      </c>
      <c r="K380" s="53" t="n">
        <f aca="true">NORMINV(RAND(),0,K$7)</f>
        <v>-0.633702151743752</v>
      </c>
      <c r="L380" s="53" t="n">
        <f aca="true">NORMINV(RAND(),0,L$7)</f>
        <v>0.0141621536176475</v>
      </c>
      <c r="M380" s="53" t="n">
        <f aca="true">NORMINV(RAND(),0,M$7)</f>
        <v>-0.0271307529692755</v>
      </c>
      <c r="N380" s="53" t="n">
        <f aca="true">NORMINV(RAND(),0,N$7)</f>
        <v>-0.288276959582847</v>
      </c>
      <c r="O380" s="53" t="n">
        <f aca="false">SUM(J380:N380)</f>
        <v>-2.82312977498504</v>
      </c>
    </row>
    <row r="381" customFormat="false" ht="15" hidden="false" customHeight="false" outlineLevel="0" collapsed="false">
      <c r="A381" s="2" t="n">
        <v>373</v>
      </c>
      <c r="B381" s="53" t="n">
        <f aca="true">NORMINV(RAND(),0,B$7)</f>
        <v>-0.200849318546516</v>
      </c>
      <c r="C381" s="53" t="n">
        <f aca="true">NORMINV(RAND(),0,C$7)</f>
        <v>2.39475794262571</v>
      </c>
      <c r="D381" s="53" t="n">
        <f aca="true">NORMINV(RAND(),0,D$7)</f>
        <v>0.0115309772234539</v>
      </c>
      <c r="E381" s="53" t="n">
        <f aca="true">NORMINV(RAND(),0,E$7)</f>
        <v>-0.30713658144445</v>
      </c>
      <c r="F381" s="53" t="n">
        <f aca="true">NORMINV(RAND(),0,F$7)</f>
        <v>0.00966261708946722</v>
      </c>
      <c r="G381" s="53" t="n">
        <f aca="true">NORMINV(RAND(),0,G$7)</f>
        <v>-0.939154191531054</v>
      </c>
      <c r="H381" s="53" t="n">
        <f aca="true">NORMINV(RAND(),0,H$7)</f>
        <v>0.357283477679076</v>
      </c>
      <c r="I381" s="53" t="n">
        <f aca="false">SUM(B381:H381)</f>
        <v>1.32609492309569</v>
      </c>
      <c r="J381" s="53" t="n">
        <f aca="true">NORMINV(RAND(),0,J$7)</f>
        <v>-0.969926797762664</v>
      </c>
      <c r="K381" s="53" t="n">
        <f aca="true">NORMINV(RAND(),0,K$7)</f>
        <v>0.760973504029985</v>
      </c>
      <c r="L381" s="53" t="n">
        <f aca="true">NORMINV(RAND(),0,L$7)</f>
        <v>-0.137100507789784</v>
      </c>
      <c r="M381" s="53" t="n">
        <f aca="true">NORMINV(RAND(),0,M$7)</f>
        <v>-0.230697323998814</v>
      </c>
      <c r="N381" s="53" t="n">
        <f aca="true">NORMINV(RAND(),0,N$7)</f>
        <v>0.0752037404427626</v>
      </c>
      <c r="O381" s="53" t="n">
        <f aca="false">SUM(J381:N381)</f>
        <v>-0.501547385078515</v>
      </c>
    </row>
    <row r="382" customFormat="false" ht="15" hidden="false" customHeight="false" outlineLevel="0" collapsed="false">
      <c r="A382" s="2" t="n">
        <v>374</v>
      </c>
      <c r="B382" s="53" t="n">
        <f aca="true">NORMINV(RAND(),0,B$7)</f>
        <v>2.06608317396004</v>
      </c>
      <c r="C382" s="53" t="n">
        <f aca="true">NORMINV(RAND(),0,C$7)</f>
        <v>0.198270189042148</v>
      </c>
      <c r="D382" s="53" t="n">
        <f aca="true">NORMINV(RAND(),0,D$7)</f>
        <v>0.887206608912134</v>
      </c>
      <c r="E382" s="53" t="n">
        <f aca="true">NORMINV(RAND(),0,E$7)</f>
        <v>0.303472195596712</v>
      </c>
      <c r="F382" s="53" t="n">
        <f aca="true">NORMINV(RAND(),0,F$7)</f>
        <v>-0.164897816596636</v>
      </c>
      <c r="G382" s="53" t="n">
        <f aca="true">NORMINV(RAND(),0,G$7)</f>
        <v>-0.0489501696531878</v>
      </c>
      <c r="H382" s="53" t="n">
        <f aca="true">NORMINV(RAND(),0,H$7)</f>
        <v>-0.927129564161633</v>
      </c>
      <c r="I382" s="53" t="n">
        <f aca="false">SUM(B382:H382)</f>
        <v>2.31405461709958</v>
      </c>
      <c r="J382" s="53" t="n">
        <f aca="true">NORMINV(RAND(),0,J$7)</f>
        <v>1.78201153444547</v>
      </c>
      <c r="K382" s="53" t="n">
        <f aca="true">NORMINV(RAND(),0,K$7)</f>
        <v>0.715858628524149</v>
      </c>
      <c r="L382" s="53" t="n">
        <f aca="true">NORMINV(RAND(),0,L$7)</f>
        <v>0.613352389455831</v>
      </c>
      <c r="M382" s="53" t="n">
        <f aca="true">NORMINV(RAND(),0,M$7)</f>
        <v>-0.137483966163707</v>
      </c>
      <c r="N382" s="53" t="n">
        <f aca="true">NORMINV(RAND(),0,N$7)</f>
        <v>-0.112435872774608</v>
      </c>
      <c r="O382" s="53" t="n">
        <f aca="false">SUM(J382:N382)</f>
        <v>2.86130271348714</v>
      </c>
    </row>
    <row r="383" customFormat="false" ht="15" hidden="false" customHeight="false" outlineLevel="0" collapsed="false">
      <c r="A383" s="2" t="n">
        <v>375</v>
      </c>
      <c r="B383" s="53" t="n">
        <f aca="true">NORMINV(RAND(),0,B$7)</f>
        <v>-0.235803104274995</v>
      </c>
      <c r="C383" s="53" t="n">
        <f aca="true">NORMINV(RAND(),0,C$7)</f>
        <v>-1.06074659573046</v>
      </c>
      <c r="D383" s="53" t="n">
        <f aca="true">NORMINV(RAND(),0,D$7)</f>
        <v>-0.194991586363269</v>
      </c>
      <c r="E383" s="53" t="n">
        <f aca="true">NORMINV(RAND(),0,E$7)</f>
        <v>-0.765703222224234</v>
      </c>
      <c r="F383" s="53" t="n">
        <f aca="true">NORMINV(RAND(),0,F$7)</f>
        <v>0.178282436373864</v>
      </c>
      <c r="G383" s="53" t="n">
        <f aca="true">NORMINV(RAND(),0,G$7)</f>
        <v>0.420360381820738</v>
      </c>
      <c r="H383" s="53" t="n">
        <f aca="true">NORMINV(RAND(),0,H$7)</f>
        <v>0.198116197269875</v>
      </c>
      <c r="I383" s="53" t="n">
        <f aca="false">SUM(B383:H383)</f>
        <v>-1.46048549312848</v>
      </c>
      <c r="J383" s="53" t="n">
        <f aca="true">NORMINV(RAND(),0,J$7)</f>
        <v>-2.12016207681645</v>
      </c>
      <c r="K383" s="53" t="n">
        <f aca="true">NORMINV(RAND(),0,K$7)</f>
        <v>0.385414236024014</v>
      </c>
      <c r="L383" s="53" t="n">
        <f aca="true">NORMINV(RAND(),0,L$7)</f>
        <v>-0.510572320713839</v>
      </c>
      <c r="M383" s="53" t="n">
        <f aca="true">NORMINV(RAND(),0,M$7)</f>
        <v>0.0429408641823237</v>
      </c>
      <c r="N383" s="53" t="n">
        <f aca="true">NORMINV(RAND(),0,N$7)</f>
        <v>0.330844816439943</v>
      </c>
      <c r="O383" s="53" t="n">
        <f aca="false">SUM(J383:N383)</f>
        <v>-1.87153448088401</v>
      </c>
    </row>
    <row r="384" customFormat="false" ht="15" hidden="false" customHeight="false" outlineLevel="0" collapsed="false">
      <c r="A384" s="2" t="n">
        <v>376</v>
      </c>
      <c r="B384" s="53" t="n">
        <f aca="true">NORMINV(RAND(),0,B$7)</f>
        <v>-0.735450471402226</v>
      </c>
      <c r="C384" s="53" t="n">
        <f aca="true">NORMINV(RAND(),0,C$7)</f>
        <v>0.811256100274056</v>
      </c>
      <c r="D384" s="53" t="n">
        <f aca="true">NORMINV(RAND(),0,D$7)</f>
        <v>0.254857171230803</v>
      </c>
      <c r="E384" s="53" t="n">
        <f aca="true">NORMINV(RAND(),0,E$7)</f>
        <v>0.0552217187681824</v>
      </c>
      <c r="F384" s="53" t="n">
        <f aca="true">NORMINV(RAND(),0,F$7)</f>
        <v>-0.188847171363737</v>
      </c>
      <c r="G384" s="53" t="n">
        <f aca="true">NORMINV(RAND(),0,G$7)</f>
        <v>-0.534227560160672</v>
      </c>
      <c r="H384" s="53" t="n">
        <f aca="true">NORMINV(RAND(),0,H$7)</f>
        <v>0.185752918466362</v>
      </c>
      <c r="I384" s="53" t="n">
        <f aca="false">SUM(B384:H384)</f>
        <v>-0.151437294187231</v>
      </c>
      <c r="J384" s="53" t="n">
        <f aca="true">NORMINV(RAND(),0,J$7)</f>
        <v>-1.81374747881375</v>
      </c>
      <c r="K384" s="53" t="n">
        <f aca="true">NORMINV(RAND(),0,K$7)</f>
        <v>1.15926744984564</v>
      </c>
      <c r="L384" s="53" t="n">
        <f aca="true">NORMINV(RAND(),0,L$7)</f>
        <v>0.159175067282411</v>
      </c>
      <c r="M384" s="53" t="n">
        <f aca="true">NORMINV(RAND(),0,M$7)</f>
        <v>0.433858146169543</v>
      </c>
      <c r="N384" s="53" t="n">
        <f aca="true">NORMINV(RAND(),0,N$7)</f>
        <v>-0.157592251524711</v>
      </c>
      <c r="O384" s="53" t="n">
        <f aca="false">SUM(J384:N384)</f>
        <v>-0.219039067040868</v>
      </c>
    </row>
    <row r="385" customFormat="false" ht="15" hidden="false" customHeight="false" outlineLevel="0" collapsed="false">
      <c r="A385" s="2" t="n">
        <v>377</v>
      </c>
      <c r="B385" s="53" t="n">
        <f aca="true">NORMINV(RAND(),0,B$7)</f>
        <v>1.77104028908497</v>
      </c>
      <c r="C385" s="53" t="n">
        <f aca="true">NORMINV(RAND(),0,C$7)</f>
        <v>0.640583303599474</v>
      </c>
      <c r="D385" s="53" t="n">
        <f aca="true">NORMINV(RAND(),0,D$7)</f>
        <v>0.504572168150873</v>
      </c>
      <c r="E385" s="53" t="n">
        <f aca="true">NORMINV(RAND(),0,E$7)</f>
        <v>0.279727268671965</v>
      </c>
      <c r="F385" s="53" t="n">
        <f aca="true">NORMINV(RAND(),0,F$7)</f>
        <v>-0.455598281469423</v>
      </c>
      <c r="G385" s="53" t="n">
        <f aca="true">NORMINV(RAND(),0,G$7)</f>
        <v>-0.662502758875713</v>
      </c>
      <c r="H385" s="53" t="n">
        <f aca="true">NORMINV(RAND(),0,H$7)</f>
        <v>0.0586476619670768</v>
      </c>
      <c r="I385" s="53" t="n">
        <f aca="false">SUM(B385:H385)</f>
        <v>2.13646965112922</v>
      </c>
      <c r="J385" s="53" t="n">
        <f aca="true">NORMINV(RAND(),0,J$7)</f>
        <v>2.37781626735213</v>
      </c>
      <c r="K385" s="53" t="n">
        <f aca="true">NORMINV(RAND(),0,K$7)</f>
        <v>-1.17008779297607</v>
      </c>
      <c r="L385" s="53" t="n">
        <f aca="true">NORMINV(RAND(),0,L$7)</f>
        <v>0.376046693706013</v>
      </c>
      <c r="M385" s="53" t="n">
        <f aca="true">NORMINV(RAND(),0,M$7)</f>
        <v>0.0176198297566342</v>
      </c>
      <c r="N385" s="53" t="n">
        <f aca="true">NORMINV(RAND(),0,N$7)</f>
        <v>0.282027919396736</v>
      </c>
      <c r="O385" s="53" t="n">
        <f aca="false">SUM(J385:N385)</f>
        <v>1.88342291723544</v>
      </c>
    </row>
    <row r="386" customFormat="false" ht="15" hidden="false" customHeight="false" outlineLevel="0" collapsed="false">
      <c r="A386" s="2" t="n">
        <v>378</v>
      </c>
      <c r="B386" s="53" t="n">
        <f aca="true">NORMINV(RAND(),0,B$7)</f>
        <v>-0.130787523073279</v>
      </c>
      <c r="C386" s="53" t="n">
        <f aca="true">NORMINV(RAND(),0,C$7)</f>
        <v>0.0373438718715254</v>
      </c>
      <c r="D386" s="53" t="n">
        <f aca="true">NORMINV(RAND(),0,D$7)</f>
        <v>-1.35207549819403</v>
      </c>
      <c r="E386" s="53" t="n">
        <f aca="true">NORMINV(RAND(),0,E$7)</f>
        <v>0.10104587953751</v>
      </c>
      <c r="F386" s="53" t="n">
        <f aca="true">NORMINV(RAND(),0,F$7)</f>
        <v>0.191351393982384</v>
      </c>
      <c r="G386" s="53" t="n">
        <f aca="true">NORMINV(RAND(),0,G$7)</f>
        <v>-0.375005163776766</v>
      </c>
      <c r="H386" s="53" t="n">
        <f aca="true">NORMINV(RAND(),0,H$7)</f>
        <v>0.152519673428678</v>
      </c>
      <c r="I386" s="53" t="n">
        <f aca="false">SUM(B386:H386)</f>
        <v>-1.37560736622398</v>
      </c>
      <c r="J386" s="53" t="n">
        <f aca="true">NORMINV(RAND(),0,J$7)</f>
        <v>0.854074012960556</v>
      </c>
      <c r="K386" s="53" t="n">
        <f aca="true">NORMINV(RAND(),0,K$7)</f>
        <v>-0.226431263062206</v>
      </c>
      <c r="L386" s="53" t="n">
        <f aca="true">NORMINV(RAND(),0,L$7)</f>
        <v>-0.279014569321794</v>
      </c>
      <c r="M386" s="53" t="n">
        <f aca="true">NORMINV(RAND(),0,M$7)</f>
        <v>-0.278258251821463</v>
      </c>
      <c r="N386" s="53" t="n">
        <f aca="true">NORMINV(RAND(),0,N$7)</f>
        <v>-0.531936927604541</v>
      </c>
      <c r="O386" s="53" t="n">
        <f aca="false">SUM(J386:N386)</f>
        <v>-0.461566998849449</v>
      </c>
    </row>
    <row r="387" customFormat="false" ht="15" hidden="false" customHeight="false" outlineLevel="0" collapsed="false">
      <c r="A387" s="2" t="n">
        <v>379</v>
      </c>
      <c r="B387" s="53" t="n">
        <f aca="true">NORMINV(RAND(),0,B$7)</f>
        <v>-0.931337352916791</v>
      </c>
      <c r="C387" s="53" t="n">
        <f aca="true">NORMINV(RAND(),0,C$7)</f>
        <v>-1.0464713457358</v>
      </c>
      <c r="D387" s="53" t="n">
        <f aca="true">NORMINV(RAND(),0,D$7)</f>
        <v>1.69956530205405</v>
      </c>
      <c r="E387" s="53" t="n">
        <f aca="true">NORMINV(RAND(),0,E$7)</f>
        <v>-0.315441467609188</v>
      </c>
      <c r="F387" s="53" t="n">
        <f aca="true">NORMINV(RAND(),0,F$7)</f>
        <v>-0.00401482460985522</v>
      </c>
      <c r="G387" s="53" t="n">
        <f aca="true">NORMINV(RAND(),0,G$7)</f>
        <v>0.683947625728278</v>
      </c>
      <c r="H387" s="53" t="n">
        <f aca="true">NORMINV(RAND(),0,H$7)</f>
        <v>0.192175014417525</v>
      </c>
      <c r="I387" s="53" t="n">
        <f aca="false">SUM(B387:H387)</f>
        <v>0.278422951328222</v>
      </c>
      <c r="J387" s="53" t="n">
        <f aca="true">NORMINV(RAND(),0,J$7)</f>
        <v>-3.80244150990863</v>
      </c>
      <c r="K387" s="53" t="n">
        <f aca="true">NORMINV(RAND(),0,K$7)</f>
        <v>-0.52150943446721</v>
      </c>
      <c r="L387" s="53" t="n">
        <f aca="true">NORMINV(RAND(),0,L$7)</f>
        <v>0.0347482963527476</v>
      </c>
      <c r="M387" s="53" t="n">
        <f aca="true">NORMINV(RAND(),0,M$7)</f>
        <v>-0.114228756035542</v>
      </c>
      <c r="N387" s="53" t="n">
        <f aca="true">NORMINV(RAND(),0,N$7)</f>
        <v>0.245233421371454</v>
      </c>
      <c r="O387" s="53" t="n">
        <f aca="false">SUM(J387:N387)</f>
        <v>-4.15819798268718</v>
      </c>
    </row>
    <row r="388" customFormat="false" ht="15" hidden="false" customHeight="false" outlineLevel="0" collapsed="false">
      <c r="A388" s="2" t="n">
        <v>380</v>
      </c>
      <c r="B388" s="53" t="n">
        <f aca="true">NORMINV(RAND(),0,B$7)</f>
        <v>-2.08695261297861</v>
      </c>
      <c r="C388" s="53" t="n">
        <f aca="true">NORMINV(RAND(),0,C$7)</f>
        <v>1.51968494899503</v>
      </c>
      <c r="D388" s="53" t="n">
        <f aca="true">NORMINV(RAND(),0,D$7)</f>
        <v>-1.34983983427946</v>
      </c>
      <c r="E388" s="53" t="n">
        <f aca="true">NORMINV(RAND(),0,E$7)</f>
        <v>0.249984118682564</v>
      </c>
      <c r="F388" s="53" t="n">
        <f aca="true">NORMINV(RAND(),0,F$7)</f>
        <v>-0.0574310858042507</v>
      </c>
      <c r="G388" s="53" t="n">
        <f aca="true">NORMINV(RAND(),0,G$7)</f>
        <v>2.86921811277238</v>
      </c>
      <c r="H388" s="53" t="n">
        <f aca="true">NORMINV(RAND(),0,H$7)</f>
        <v>0.299328577668597</v>
      </c>
      <c r="I388" s="53" t="n">
        <f aca="false">SUM(B388:H388)</f>
        <v>1.44399222505625</v>
      </c>
      <c r="J388" s="53" t="n">
        <f aca="true">NORMINV(RAND(),0,J$7)</f>
        <v>1.18525003163431</v>
      </c>
      <c r="K388" s="53" t="n">
        <f aca="true">NORMINV(RAND(),0,K$7)</f>
        <v>0.432416417014659</v>
      </c>
      <c r="L388" s="53" t="n">
        <f aca="true">NORMINV(RAND(),0,L$7)</f>
        <v>-0.466342639016893</v>
      </c>
      <c r="M388" s="53" t="n">
        <f aca="true">NORMINV(RAND(),0,M$7)</f>
        <v>0.16740107013081</v>
      </c>
      <c r="N388" s="53" t="n">
        <f aca="true">NORMINV(RAND(),0,N$7)</f>
        <v>0.127470721222067</v>
      </c>
      <c r="O388" s="53" t="n">
        <f aca="false">SUM(J388:N388)</f>
        <v>1.44619560098495</v>
      </c>
    </row>
    <row r="389" customFormat="false" ht="15" hidden="false" customHeight="false" outlineLevel="0" collapsed="false">
      <c r="A389" s="2" t="n">
        <v>381</v>
      </c>
      <c r="B389" s="53" t="n">
        <f aca="true">NORMINV(RAND(),0,B$7)</f>
        <v>0.222636672298767</v>
      </c>
      <c r="C389" s="53" t="n">
        <f aca="true">NORMINV(RAND(),0,C$7)</f>
        <v>-0.868651596462382</v>
      </c>
      <c r="D389" s="53" t="n">
        <f aca="true">NORMINV(RAND(),0,D$7)</f>
        <v>1.10087657860315</v>
      </c>
      <c r="E389" s="53" t="n">
        <f aca="true">NORMINV(RAND(),0,E$7)</f>
        <v>-0.120783616577314</v>
      </c>
      <c r="F389" s="53" t="n">
        <f aca="true">NORMINV(RAND(),0,F$7)</f>
        <v>0.116690483575398</v>
      </c>
      <c r="G389" s="53" t="n">
        <f aca="true">NORMINV(RAND(),0,G$7)</f>
        <v>-2.0387604043275</v>
      </c>
      <c r="H389" s="53" t="n">
        <f aca="true">NORMINV(RAND(),0,H$7)</f>
        <v>-0.292937589574681</v>
      </c>
      <c r="I389" s="53" t="n">
        <f aca="false">SUM(B389:H389)</f>
        <v>-1.88092947246456</v>
      </c>
      <c r="J389" s="53" t="n">
        <f aca="true">NORMINV(RAND(),0,J$7)</f>
        <v>-1.91895506890284</v>
      </c>
      <c r="K389" s="53" t="n">
        <f aca="true">NORMINV(RAND(),0,K$7)</f>
        <v>-0.681115457204329</v>
      </c>
      <c r="L389" s="53" t="n">
        <f aca="true">NORMINV(RAND(),0,L$7)</f>
        <v>-0.265602099271582</v>
      </c>
      <c r="M389" s="53" t="n">
        <f aca="true">NORMINV(RAND(),0,M$7)</f>
        <v>-0.132049051980653</v>
      </c>
      <c r="N389" s="53" t="n">
        <f aca="true">NORMINV(RAND(),0,N$7)</f>
        <v>0.72219763275666</v>
      </c>
      <c r="O389" s="53" t="n">
        <f aca="false">SUM(J389:N389)</f>
        <v>-2.27552404460274</v>
      </c>
    </row>
    <row r="390" customFormat="false" ht="15" hidden="false" customHeight="false" outlineLevel="0" collapsed="false">
      <c r="A390" s="2" t="n">
        <v>382</v>
      </c>
      <c r="B390" s="53" t="n">
        <f aca="true">NORMINV(RAND(),0,B$7)</f>
        <v>-0.47526262159591</v>
      </c>
      <c r="C390" s="53" t="n">
        <f aca="true">NORMINV(RAND(),0,C$7)</f>
        <v>-0.0789602868049048</v>
      </c>
      <c r="D390" s="53" t="n">
        <f aca="true">NORMINV(RAND(),0,D$7)</f>
        <v>2.49634324314883</v>
      </c>
      <c r="E390" s="53" t="n">
        <f aca="true">NORMINV(RAND(),0,E$7)</f>
        <v>0.0244644709099065</v>
      </c>
      <c r="F390" s="53" t="n">
        <f aca="true">NORMINV(RAND(),0,F$7)</f>
        <v>0.0691756656367415</v>
      </c>
      <c r="G390" s="53" t="n">
        <f aca="true">NORMINV(RAND(),0,G$7)</f>
        <v>-0.831147099165743</v>
      </c>
      <c r="H390" s="53" t="n">
        <f aca="true">NORMINV(RAND(),0,H$7)</f>
        <v>0.119585994457301</v>
      </c>
      <c r="I390" s="53" t="n">
        <f aca="false">SUM(B390:H390)</f>
        <v>1.32419936658622</v>
      </c>
      <c r="J390" s="53" t="n">
        <f aca="true">NORMINV(RAND(),0,J$7)</f>
        <v>-1.04689795996553</v>
      </c>
      <c r="K390" s="53" t="n">
        <f aca="true">NORMINV(RAND(),0,K$7)</f>
        <v>-0.47806357728372</v>
      </c>
      <c r="L390" s="53" t="n">
        <f aca="true">NORMINV(RAND(),0,L$7)</f>
        <v>0.0973909893486825</v>
      </c>
      <c r="M390" s="53" t="n">
        <f aca="true">NORMINV(RAND(),0,M$7)</f>
        <v>-0.0542281899887957</v>
      </c>
      <c r="N390" s="53" t="n">
        <f aca="true">NORMINV(RAND(),0,N$7)</f>
        <v>-0.279334170550836</v>
      </c>
      <c r="O390" s="53" t="n">
        <f aca="false">SUM(J390:N390)</f>
        <v>-1.7611329084402</v>
      </c>
    </row>
    <row r="391" customFormat="false" ht="15" hidden="false" customHeight="false" outlineLevel="0" collapsed="false">
      <c r="A391" s="2" t="n">
        <v>383</v>
      </c>
      <c r="B391" s="53" t="n">
        <f aca="true">NORMINV(RAND(),0,B$7)</f>
        <v>-0.267749426097736</v>
      </c>
      <c r="C391" s="53" t="n">
        <f aca="true">NORMINV(RAND(),0,C$7)</f>
        <v>1.34476847532921</v>
      </c>
      <c r="D391" s="53" t="n">
        <f aca="true">NORMINV(RAND(),0,D$7)</f>
        <v>-2.3758745342867</v>
      </c>
      <c r="E391" s="53" t="n">
        <f aca="true">NORMINV(RAND(),0,E$7)</f>
        <v>0.0653648670371759</v>
      </c>
      <c r="F391" s="53" t="n">
        <f aca="true">NORMINV(RAND(),0,F$7)</f>
        <v>-0.219957550323719</v>
      </c>
      <c r="G391" s="53" t="n">
        <f aca="true">NORMINV(RAND(),0,G$7)</f>
        <v>-2.58625734588822</v>
      </c>
      <c r="H391" s="53" t="n">
        <f aca="true">NORMINV(RAND(),0,H$7)</f>
        <v>0.131409352731607</v>
      </c>
      <c r="I391" s="53" t="n">
        <f aca="false">SUM(B391:H391)</f>
        <v>-3.90829616149839</v>
      </c>
      <c r="J391" s="53" t="n">
        <f aca="true">NORMINV(RAND(),0,J$7)</f>
        <v>2.47066120456227</v>
      </c>
      <c r="K391" s="53" t="n">
        <f aca="true">NORMINV(RAND(),0,K$7)</f>
        <v>-0.536475159179816</v>
      </c>
      <c r="L391" s="53" t="n">
        <f aca="true">NORMINV(RAND(),0,L$7)</f>
        <v>-0.267761916486757</v>
      </c>
      <c r="M391" s="53" t="n">
        <f aca="true">NORMINV(RAND(),0,M$7)</f>
        <v>0.278836439940188</v>
      </c>
      <c r="N391" s="53" t="n">
        <f aca="true">NORMINV(RAND(),0,N$7)</f>
        <v>-0.194035508264318</v>
      </c>
      <c r="O391" s="53" t="n">
        <f aca="false">SUM(J391:N391)</f>
        <v>1.75122506057157</v>
      </c>
    </row>
    <row r="392" customFormat="false" ht="15" hidden="false" customHeight="false" outlineLevel="0" collapsed="false">
      <c r="A392" s="2" t="n">
        <v>384</v>
      </c>
      <c r="B392" s="53" t="n">
        <f aca="true">NORMINV(RAND(),0,B$7)</f>
        <v>-1.9366750125726</v>
      </c>
      <c r="C392" s="53" t="n">
        <f aca="true">NORMINV(RAND(),0,C$7)</f>
        <v>1.61367157501357</v>
      </c>
      <c r="D392" s="53" t="n">
        <f aca="true">NORMINV(RAND(),0,D$7)</f>
        <v>-2.12438644533373</v>
      </c>
      <c r="E392" s="53" t="n">
        <f aca="true">NORMINV(RAND(),0,E$7)</f>
        <v>0.148397612070368</v>
      </c>
      <c r="F392" s="53" t="n">
        <f aca="true">NORMINV(RAND(),0,F$7)</f>
        <v>-0.186089927428224</v>
      </c>
      <c r="G392" s="53" t="n">
        <f aca="true">NORMINV(RAND(),0,G$7)</f>
        <v>1.69486652604896</v>
      </c>
      <c r="H392" s="53" t="n">
        <f aca="true">NORMINV(RAND(),0,H$7)</f>
        <v>-0.284664387477683</v>
      </c>
      <c r="I392" s="53" t="n">
        <f aca="false">SUM(B392:H392)</f>
        <v>-1.07488005967935</v>
      </c>
      <c r="J392" s="53" t="n">
        <f aca="true">NORMINV(RAND(),0,J$7)</f>
        <v>1.77665888162727</v>
      </c>
      <c r="K392" s="53" t="n">
        <f aca="true">NORMINV(RAND(),0,K$7)</f>
        <v>-0.142467328411588</v>
      </c>
      <c r="L392" s="53" t="n">
        <f aca="true">NORMINV(RAND(),0,L$7)</f>
        <v>0.268351777064233</v>
      </c>
      <c r="M392" s="53" t="n">
        <f aca="true">NORMINV(RAND(),0,M$7)</f>
        <v>0.0154171712141515</v>
      </c>
      <c r="N392" s="53" t="n">
        <f aca="true">NORMINV(RAND(),0,N$7)</f>
        <v>0.88847559435359</v>
      </c>
      <c r="O392" s="53" t="n">
        <f aca="false">SUM(J392:N392)</f>
        <v>2.80643609584766</v>
      </c>
    </row>
    <row r="393" customFormat="false" ht="15" hidden="false" customHeight="false" outlineLevel="0" collapsed="false">
      <c r="A393" s="2" t="n">
        <v>385</v>
      </c>
      <c r="B393" s="53" t="n">
        <f aca="true">NORMINV(RAND(),0,B$7)</f>
        <v>0.0102973361406629</v>
      </c>
      <c r="C393" s="53" t="n">
        <f aca="true">NORMINV(RAND(),0,C$7)</f>
        <v>-0.65549487957194</v>
      </c>
      <c r="D393" s="53" t="n">
        <f aca="true">NORMINV(RAND(),0,D$7)</f>
        <v>2.55982408785113</v>
      </c>
      <c r="E393" s="53" t="n">
        <f aca="true">NORMINV(RAND(),0,E$7)</f>
        <v>0.325547975380302</v>
      </c>
      <c r="F393" s="53" t="n">
        <f aca="true">NORMINV(RAND(),0,F$7)</f>
        <v>0.215950785910486</v>
      </c>
      <c r="G393" s="53" t="n">
        <f aca="true">NORMINV(RAND(),0,G$7)</f>
        <v>3.30321047875155</v>
      </c>
      <c r="H393" s="53" t="n">
        <f aca="true">NORMINV(RAND(),0,H$7)</f>
        <v>0.793737118116174</v>
      </c>
      <c r="I393" s="53" t="n">
        <f aca="false">SUM(B393:H393)</f>
        <v>6.55307290257837</v>
      </c>
      <c r="J393" s="53" t="n">
        <f aca="true">NORMINV(RAND(),0,J$7)</f>
        <v>-0.804757281821452</v>
      </c>
      <c r="K393" s="53" t="n">
        <f aca="true">NORMINV(RAND(),0,K$7)</f>
        <v>0.846042366820041</v>
      </c>
      <c r="L393" s="53" t="n">
        <f aca="true">NORMINV(RAND(),0,L$7)</f>
        <v>-0.192104356194276</v>
      </c>
      <c r="M393" s="53" t="n">
        <f aca="true">NORMINV(RAND(),0,M$7)</f>
        <v>-0.335132459417073</v>
      </c>
      <c r="N393" s="53" t="n">
        <f aca="true">NORMINV(RAND(),0,N$7)</f>
        <v>0.0738972833551474</v>
      </c>
      <c r="O393" s="53" t="n">
        <f aca="false">SUM(J393:N393)</f>
        <v>-0.412054447257612</v>
      </c>
    </row>
    <row r="394" customFormat="false" ht="15" hidden="false" customHeight="false" outlineLevel="0" collapsed="false">
      <c r="A394" s="2" t="n">
        <v>386</v>
      </c>
      <c r="B394" s="53" t="n">
        <f aca="true">NORMINV(RAND(),0,B$7)</f>
        <v>-1.98147538960415</v>
      </c>
      <c r="C394" s="53" t="n">
        <f aca="true">NORMINV(RAND(),0,C$7)</f>
        <v>-0.988246661510324</v>
      </c>
      <c r="D394" s="53" t="n">
        <f aca="true">NORMINV(RAND(),0,D$7)</f>
        <v>-0.661091418127894</v>
      </c>
      <c r="E394" s="53" t="n">
        <f aca="true">NORMINV(RAND(),0,E$7)</f>
        <v>0.295792096772439</v>
      </c>
      <c r="F394" s="53" t="n">
        <f aca="true">NORMINV(RAND(),0,F$7)</f>
        <v>-0.0795719957878144</v>
      </c>
      <c r="G394" s="53" t="n">
        <f aca="true">NORMINV(RAND(),0,G$7)</f>
        <v>-3.399708614149</v>
      </c>
      <c r="H394" s="53" t="n">
        <f aca="true">NORMINV(RAND(),0,H$7)</f>
        <v>-0.118602244249088</v>
      </c>
      <c r="I394" s="53" t="n">
        <f aca="false">SUM(B394:H394)</f>
        <v>-6.93290422665583</v>
      </c>
      <c r="J394" s="53" t="n">
        <f aca="true">NORMINV(RAND(),0,J$7)</f>
        <v>-0.160740846300807</v>
      </c>
      <c r="K394" s="53" t="n">
        <f aca="true">NORMINV(RAND(),0,K$7)</f>
        <v>-0.284180308950882</v>
      </c>
      <c r="L394" s="53" t="n">
        <f aca="true">NORMINV(RAND(),0,L$7)</f>
        <v>0.360524205878192</v>
      </c>
      <c r="M394" s="53" t="n">
        <f aca="true">NORMINV(RAND(),0,M$7)</f>
        <v>0.160750683902377</v>
      </c>
      <c r="N394" s="53" t="n">
        <f aca="true">NORMINV(RAND(),0,N$7)</f>
        <v>0.706919927545476</v>
      </c>
      <c r="O394" s="53" t="n">
        <f aca="false">SUM(J394:N394)</f>
        <v>0.783273662074357</v>
      </c>
    </row>
    <row r="395" customFormat="false" ht="15" hidden="false" customHeight="false" outlineLevel="0" collapsed="false">
      <c r="A395" s="2" t="n">
        <v>387</v>
      </c>
      <c r="B395" s="53" t="n">
        <f aca="true">NORMINV(RAND(),0,B$7)</f>
        <v>0.296082100603714</v>
      </c>
      <c r="C395" s="53" t="n">
        <f aca="true">NORMINV(RAND(),0,C$7)</f>
        <v>2.79097143178</v>
      </c>
      <c r="D395" s="53" t="n">
        <f aca="true">NORMINV(RAND(),0,D$7)</f>
        <v>-0.707985544561053</v>
      </c>
      <c r="E395" s="53" t="n">
        <f aca="true">NORMINV(RAND(),0,E$7)</f>
        <v>-0.175559053286373</v>
      </c>
      <c r="F395" s="53" t="n">
        <f aca="true">NORMINV(RAND(),0,F$7)</f>
        <v>0.974063193676804</v>
      </c>
      <c r="G395" s="53" t="n">
        <f aca="true">NORMINV(RAND(),0,G$7)</f>
        <v>0.270323277004001</v>
      </c>
      <c r="H395" s="53" t="n">
        <f aca="true">NORMINV(RAND(),0,H$7)</f>
        <v>-0.347252870082023</v>
      </c>
      <c r="I395" s="53" t="n">
        <f aca="false">SUM(B395:H395)</f>
        <v>3.10064253513507</v>
      </c>
      <c r="J395" s="53" t="n">
        <f aca="true">NORMINV(RAND(),0,J$7)</f>
        <v>-1.31500235653723</v>
      </c>
      <c r="K395" s="53" t="n">
        <f aca="true">NORMINV(RAND(),0,K$7)</f>
        <v>0.363314321643813</v>
      </c>
      <c r="L395" s="53" t="n">
        <f aca="true">NORMINV(RAND(),0,L$7)</f>
        <v>-0.278563143927044</v>
      </c>
      <c r="M395" s="53" t="n">
        <f aca="true">NORMINV(RAND(),0,M$7)</f>
        <v>0.44762020641263</v>
      </c>
      <c r="N395" s="53" t="n">
        <f aca="true">NORMINV(RAND(),0,N$7)</f>
        <v>-0.142066588273261</v>
      </c>
      <c r="O395" s="53" t="n">
        <f aca="false">SUM(J395:N395)</f>
        <v>-0.924697560681091</v>
      </c>
    </row>
    <row r="396" customFormat="false" ht="15" hidden="false" customHeight="false" outlineLevel="0" collapsed="false">
      <c r="A396" s="2" t="n">
        <v>388</v>
      </c>
      <c r="B396" s="53" t="n">
        <f aca="true">NORMINV(RAND(),0,B$7)</f>
        <v>-0.380223853799469</v>
      </c>
      <c r="C396" s="53" t="n">
        <f aca="true">NORMINV(RAND(),0,C$7)</f>
        <v>-0.590544164256987</v>
      </c>
      <c r="D396" s="53" t="n">
        <f aca="true">NORMINV(RAND(),0,D$7)</f>
        <v>-0.0688761263560092</v>
      </c>
      <c r="E396" s="53" t="n">
        <f aca="true">NORMINV(RAND(),0,E$7)</f>
        <v>-0.63075533848515</v>
      </c>
      <c r="F396" s="53" t="n">
        <f aca="true">NORMINV(RAND(),0,F$7)</f>
        <v>0.239145226496976</v>
      </c>
      <c r="G396" s="53" t="n">
        <f aca="true">NORMINV(RAND(),0,G$7)</f>
        <v>0.101277348427552</v>
      </c>
      <c r="H396" s="53" t="n">
        <f aca="true">NORMINV(RAND(),0,H$7)</f>
        <v>-0.368169797719628</v>
      </c>
      <c r="I396" s="53" t="n">
        <f aca="false">SUM(B396:H396)</f>
        <v>-1.69814670569272</v>
      </c>
      <c r="J396" s="53" t="n">
        <f aca="true">NORMINV(RAND(),0,J$7)</f>
        <v>0.879950176981335</v>
      </c>
      <c r="K396" s="53" t="n">
        <f aca="true">NORMINV(RAND(),0,K$7)</f>
        <v>0.99811287362219</v>
      </c>
      <c r="L396" s="53" t="n">
        <f aca="true">NORMINV(RAND(),0,L$7)</f>
        <v>0.268501817885647</v>
      </c>
      <c r="M396" s="53" t="n">
        <f aca="true">NORMINV(RAND(),0,M$7)</f>
        <v>0.136967231194544</v>
      </c>
      <c r="N396" s="53" t="n">
        <f aca="true">NORMINV(RAND(),0,N$7)</f>
        <v>-0.152561750194789</v>
      </c>
      <c r="O396" s="53" t="n">
        <f aca="false">SUM(J396:N396)</f>
        <v>2.13097034948893</v>
      </c>
    </row>
    <row r="397" customFormat="false" ht="15" hidden="false" customHeight="false" outlineLevel="0" collapsed="false">
      <c r="A397" s="2" t="n">
        <v>389</v>
      </c>
      <c r="B397" s="53" t="n">
        <f aca="true">NORMINV(RAND(),0,B$7)</f>
        <v>-0.849697558778467</v>
      </c>
      <c r="C397" s="53" t="n">
        <f aca="true">NORMINV(RAND(),0,C$7)</f>
        <v>0.286169520324014</v>
      </c>
      <c r="D397" s="53" t="n">
        <f aca="true">NORMINV(RAND(),0,D$7)</f>
        <v>0.151585674047836</v>
      </c>
      <c r="E397" s="53" t="n">
        <f aca="true">NORMINV(RAND(),0,E$7)</f>
        <v>-0.340839077596274</v>
      </c>
      <c r="F397" s="53" t="n">
        <f aca="true">NORMINV(RAND(),0,F$7)</f>
        <v>-0.252475349582934</v>
      </c>
      <c r="G397" s="53" t="n">
        <f aca="true">NORMINV(RAND(),0,G$7)</f>
        <v>-1.51822458105226</v>
      </c>
      <c r="H397" s="53" t="n">
        <f aca="true">NORMINV(RAND(),0,H$7)</f>
        <v>-0.275843331757434</v>
      </c>
      <c r="I397" s="53" t="n">
        <f aca="false">SUM(B397:H397)</f>
        <v>-2.79932470439552</v>
      </c>
      <c r="J397" s="53" t="n">
        <f aca="true">NORMINV(RAND(),0,J$7)</f>
        <v>-3.61416997747083</v>
      </c>
      <c r="K397" s="53" t="n">
        <f aca="true">NORMINV(RAND(),0,K$7)</f>
        <v>-1.01488752171932</v>
      </c>
      <c r="L397" s="53" t="n">
        <f aca="true">NORMINV(RAND(),0,L$7)</f>
        <v>-0.0637039523120417</v>
      </c>
      <c r="M397" s="53" t="n">
        <f aca="true">NORMINV(RAND(),0,M$7)</f>
        <v>0.142229388123347</v>
      </c>
      <c r="N397" s="53" t="n">
        <f aca="true">NORMINV(RAND(),0,N$7)</f>
        <v>-0.502304403913509</v>
      </c>
      <c r="O397" s="53" t="n">
        <f aca="false">SUM(J397:N397)</f>
        <v>-5.05283646729236</v>
      </c>
    </row>
    <row r="398" customFormat="false" ht="15" hidden="false" customHeight="false" outlineLevel="0" collapsed="false">
      <c r="A398" s="2" t="n">
        <v>390</v>
      </c>
      <c r="B398" s="53" t="n">
        <f aca="true">NORMINV(RAND(),0,B$7)</f>
        <v>1.0449274264847</v>
      </c>
      <c r="C398" s="53" t="n">
        <f aca="true">NORMINV(RAND(),0,C$7)</f>
        <v>0.953465557374096</v>
      </c>
      <c r="D398" s="53" t="n">
        <f aca="true">NORMINV(RAND(),0,D$7)</f>
        <v>1.96458977264601</v>
      </c>
      <c r="E398" s="53" t="n">
        <f aca="true">NORMINV(RAND(),0,E$7)</f>
        <v>-0.0177379835518218</v>
      </c>
      <c r="F398" s="53" t="n">
        <f aca="true">NORMINV(RAND(),0,F$7)</f>
        <v>0.23242679905858</v>
      </c>
      <c r="G398" s="53" t="n">
        <f aca="true">NORMINV(RAND(),0,G$7)</f>
        <v>0.468098550814347</v>
      </c>
      <c r="H398" s="53" t="n">
        <f aca="true">NORMINV(RAND(),0,H$7)</f>
        <v>0.280401741592625</v>
      </c>
      <c r="I398" s="53" t="n">
        <f aca="false">SUM(B398:H398)</f>
        <v>4.92617186441854</v>
      </c>
      <c r="J398" s="53" t="n">
        <f aca="true">NORMINV(RAND(),0,J$7)</f>
        <v>1.2393689087681</v>
      </c>
      <c r="K398" s="53" t="n">
        <f aca="true">NORMINV(RAND(),0,K$7)</f>
        <v>0.860372808161995</v>
      </c>
      <c r="L398" s="53" t="n">
        <f aca="true">NORMINV(RAND(),0,L$7)</f>
        <v>0.395770125402774</v>
      </c>
      <c r="M398" s="53" t="n">
        <f aca="true">NORMINV(RAND(),0,M$7)</f>
        <v>0.0727684315912706</v>
      </c>
      <c r="N398" s="53" t="n">
        <f aca="true">NORMINV(RAND(),0,N$7)</f>
        <v>0.14545511392973</v>
      </c>
      <c r="O398" s="53" t="n">
        <f aca="false">SUM(J398:N398)</f>
        <v>2.71373538785387</v>
      </c>
    </row>
    <row r="399" customFormat="false" ht="15" hidden="false" customHeight="false" outlineLevel="0" collapsed="false">
      <c r="A399" s="2" t="n">
        <v>391</v>
      </c>
      <c r="B399" s="53" t="n">
        <f aca="true">NORMINV(RAND(),0,B$7)</f>
        <v>1.67571813183626</v>
      </c>
      <c r="C399" s="53" t="n">
        <f aca="true">NORMINV(RAND(),0,C$7)</f>
        <v>1.15088689337812</v>
      </c>
      <c r="D399" s="53" t="n">
        <f aca="true">NORMINV(RAND(),0,D$7)</f>
        <v>-2.99249338437787</v>
      </c>
      <c r="E399" s="53" t="n">
        <f aca="true">NORMINV(RAND(),0,E$7)</f>
        <v>0.252241115672158</v>
      </c>
      <c r="F399" s="53" t="n">
        <f aca="true">NORMINV(RAND(),0,F$7)</f>
        <v>0.171584412432988</v>
      </c>
      <c r="G399" s="53" t="n">
        <f aca="true">NORMINV(RAND(),0,G$7)</f>
        <v>-3.2884064240474</v>
      </c>
      <c r="H399" s="53" t="n">
        <f aca="true">NORMINV(RAND(),0,H$7)</f>
        <v>0.0638292835321631</v>
      </c>
      <c r="I399" s="53" t="n">
        <f aca="false">SUM(B399:H399)</f>
        <v>-2.96663997157358</v>
      </c>
      <c r="J399" s="53" t="n">
        <f aca="true">NORMINV(RAND(),0,J$7)</f>
        <v>1.37835859770036</v>
      </c>
      <c r="K399" s="53" t="n">
        <f aca="true">NORMINV(RAND(),0,K$7)</f>
        <v>-1.19943798733856</v>
      </c>
      <c r="L399" s="53" t="n">
        <f aca="true">NORMINV(RAND(),0,L$7)</f>
        <v>-0.264916944922085</v>
      </c>
      <c r="M399" s="53" t="n">
        <f aca="true">NORMINV(RAND(),0,M$7)</f>
        <v>-0.00644453550109729</v>
      </c>
      <c r="N399" s="53" t="n">
        <f aca="true">NORMINV(RAND(),0,N$7)</f>
        <v>-0.138273870497557</v>
      </c>
      <c r="O399" s="53" t="n">
        <f aca="false">SUM(J399:N399)</f>
        <v>-0.230714740558937</v>
      </c>
    </row>
    <row r="400" customFormat="false" ht="15" hidden="false" customHeight="false" outlineLevel="0" collapsed="false">
      <c r="A400" s="2" t="n">
        <v>392</v>
      </c>
      <c r="B400" s="53" t="n">
        <f aca="true">NORMINV(RAND(),0,B$7)</f>
        <v>-0.718714303658302</v>
      </c>
      <c r="C400" s="53" t="n">
        <f aca="true">NORMINV(RAND(),0,C$7)</f>
        <v>-0.157649302121401</v>
      </c>
      <c r="D400" s="53" t="n">
        <f aca="true">NORMINV(RAND(),0,D$7)</f>
        <v>-2.18821429859726</v>
      </c>
      <c r="E400" s="53" t="n">
        <f aca="true">NORMINV(RAND(),0,E$7)</f>
        <v>-0.14017563144562</v>
      </c>
      <c r="F400" s="53" t="n">
        <f aca="true">NORMINV(RAND(),0,F$7)</f>
        <v>0.155297435105547</v>
      </c>
      <c r="G400" s="53" t="n">
        <f aca="true">NORMINV(RAND(),0,G$7)</f>
        <v>-0.361040086990953</v>
      </c>
      <c r="H400" s="53" t="n">
        <f aca="true">NORMINV(RAND(),0,H$7)</f>
        <v>0.361960827340897</v>
      </c>
      <c r="I400" s="53" t="n">
        <f aca="false">SUM(B400:H400)</f>
        <v>-3.04853536036709</v>
      </c>
      <c r="J400" s="53" t="n">
        <f aca="true">NORMINV(RAND(),0,J$7)</f>
        <v>0.113486927968957</v>
      </c>
      <c r="K400" s="53" t="n">
        <f aca="true">NORMINV(RAND(),0,K$7)</f>
        <v>-0.216598224404575</v>
      </c>
      <c r="L400" s="53" t="n">
        <f aca="true">NORMINV(RAND(),0,L$7)</f>
        <v>-0.294619843393898</v>
      </c>
      <c r="M400" s="53" t="n">
        <f aca="true">NORMINV(RAND(),0,M$7)</f>
        <v>0.134298711259071</v>
      </c>
      <c r="N400" s="53" t="n">
        <f aca="true">NORMINV(RAND(),0,N$7)</f>
        <v>-0.512064508753798</v>
      </c>
      <c r="O400" s="53" t="n">
        <f aca="false">SUM(J400:N400)</f>
        <v>-0.775496937324243</v>
      </c>
    </row>
    <row r="401" customFormat="false" ht="15" hidden="false" customHeight="false" outlineLevel="0" collapsed="false">
      <c r="A401" s="2" t="n">
        <v>393</v>
      </c>
      <c r="B401" s="53" t="n">
        <f aca="true">NORMINV(RAND(),0,B$7)</f>
        <v>1.8508242273975</v>
      </c>
      <c r="C401" s="53" t="n">
        <f aca="true">NORMINV(RAND(),0,C$7)</f>
        <v>0.540476716546333</v>
      </c>
      <c r="D401" s="53" t="n">
        <f aca="true">NORMINV(RAND(),0,D$7)</f>
        <v>0.389435056805742</v>
      </c>
      <c r="E401" s="53" t="n">
        <f aca="true">NORMINV(RAND(),0,E$7)</f>
        <v>-0.453569703450743</v>
      </c>
      <c r="F401" s="53" t="n">
        <f aca="true">NORMINV(RAND(),0,F$7)</f>
        <v>-0.490765848025344</v>
      </c>
      <c r="G401" s="53" t="n">
        <f aca="true">NORMINV(RAND(),0,G$7)</f>
        <v>0.31564714109252</v>
      </c>
      <c r="H401" s="53" t="n">
        <f aca="true">NORMINV(RAND(),0,H$7)</f>
        <v>-0.303731190263999</v>
      </c>
      <c r="I401" s="53" t="n">
        <f aca="false">SUM(B401:H401)</f>
        <v>1.848316400102</v>
      </c>
      <c r="J401" s="53" t="n">
        <f aca="true">NORMINV(RAND(),0,J$7)</f>
        <v>-3.07075771686737</v>
      </c>
      <c r="K401" s="53" t="n">
        <f aca="true">NORMINV(RAND(),0,K$7)</f>
        <v>-0.127003900809293</v>
      </c>
      <c r="L401" s="53" t="n">
        <f aca="true">NORMINV(RAND(),0,L$7)</f>
        <v>0.41759764337223</v>
      </c>
      <c r="M401" s="53" t="n">
        <f aca="true">NORMINV(RAND(),0,M$7)</f>
        <v>-0.199534648182219</v>
      </c>
      <c r="N401" s="53" t="n">
        <f aca="true">NORMINV(RAND(),0,N$7)</f>
        <v>-0.0912345898867801</v>
      </c>
      <c r="O401" s="53" t="n">
        <f aca="false">SUM(J401:N401)</f>
        <v>-3.07093321237343</v>
      </c>
    </row>
    <row r="402" customFormat="false" ht="15" hidden="false" customHeight="false" outlineLevel="0" collapsed="false">
      <c r="A402" s="2" t="n">
        <v>394</v>
      </c>
      <c r="B402" s="53" t="n">
        <f aca="true">NORMINV(RAND(),0,B$7)</f>
        <v>-1.07784970506999</v>
      </c>
      <c r="C402" s="53" t="n">
        <f aca="true">NORMINV(RAND(),0,C$7)</f>
        <v>2.14440115538292</v>
      </c>
      <c r="D402" s="53" t="n">
        <f aca="true">NORMINV(RAND(),0,D$7)</f>
        <v>-2.67591313949067</v>
      </c>
      <c r="E402" s="53" t="n">
        <f aca="true">NORMINV(RAND(),0,E$7)</f>
        <v>-0.48687940136837</v>
      </c>
      <c r="F402" s="53" t="n">
        <f aca="true">NORMINV(RAND(),0,F$7)</f>
        <v>-0.119606839497438</v>
      </c>
      <c r="G402" s="53" t="n">
        <f aca="true">NORMINV(RAND(),0,G$7)</f>
        <v>1.45383679796099</v>
      </c>
      <c r="H402" s="53" t="n">
        <f aca="true">NORMINV(RAND(),0,H$7)</f>
        <v>-0.526992834093314</v>
      </c>
      <c r="I402" s="53" t="n">
        <f aca="false">SUM(B402:H402)</f>
        <v>-1.28900396617588</v>
      </c>
      <c r="J402" s="53" t="n">
        <f aca="true">NORMINV(RAND(),0,J$7)</f>
        <v>-1.93992120925994</v>
      </c>
      <c r="K402" s="53" t="n">
        <f aca="true">NORMINV(RAND(),0,K$7)</f>
        <v>-0.793640174452286</v>
      </c>
      <c r="L402" s="53" t="n">
        <f aca="true">NORMINV(RAND(),0,L$7)</f>
        <v>0.0261263654668412</v>
      </c>
      <c r="M402" s="53" t="n">
        <f aca="true">NORMINV(RAND(),0,M$7)</f>
        <v>-0.349402439568543</v>
      </c>
      <c r="N402" s="53" t="n">
        <f aca="true">NORMINV(RAND(),0,N$7)</f>
        <v>-0.162593364831895</v>
      </c>
      <c r="O402" s="53" t="n">
        <f aca="false">SUM(J402:N402)</f>
        <v>-3.21943082264582</v>
      </c>
    </row>
    <row r="403" customFormat="false" ht="15" hidden="false" customHeight="false" outlineLevel="0" collapsed="false">
      <c r="A403" s="2" t="n">
        <v>395</v>
      </c>
      <c r="B403" s="53" t="n">
        <f aca="true">NORMINV(RAND(),0,B$7)</f>
        <v>-0.938114161430489</v>
      </c>
      <c r="C403" s="53" t="n">
        <f aca="true">NORMINV(RAND(),0,C$7)</f>
        <v>-2.80394987961982</v>
      </c>
      <c r="D403" s="53" t="n">
        <f aca="true">NORMINV(RAND(),0,D$7)</f>
        <v>-6.34839156141792</v>
      </c>
      <c r="E403" s="53" t="n">
        <f aca="true">NORMINV(RAND(),0,E$7)</f>
        <v>-0.0866363197529035</v>
      </c>
      <c r="F403" s="53" t="n">
        <f aca="true">NORMINV(RAND(),0,F$7)</f>
        <v>0.132320176044958</v>
      </c>
      <c r="G403" s="53" t="n">
        <f aca="true">NORMINV(RAND(),0,G$7)</f>
        <v>-1.46694788146815</v>
      </c>
      <c r="H403" s="53" t="n">
        <f aca="true">NORMINV(RAND(),0,H$7)</f>
        <v>-0.452632051577177</v>
      </c>
      <c r="I403" s="53" t="n">
        <f aca="false">SUM(B403:H403)</f>
        <v>-11.9643516792215</v>
      </c>
      <c r="J403" s="53" t="n">
        <f aca="true">NORMINV(RAND(),0,J$7)</f>
        <v>0.449740730209627</v>
      </c>
      <c r="K403" s="53" t="n">
        <f aca="true">NORMINV(RAND(),0,K$7)</f>
        <v>-0.440797996006798</v>
      </c>
      <c r="L403" s="53" t="n">
        <f aca="true">NORMINV(RAND(),0,L$7)</f>
        <v>0.369428345134602</v>
      </c>
      <c r="M403" s="53" t="n">
        <f aca="true">NORMINV(RAND(),0,M$7)</f>
        <v>-0.189460840094087</v>
      </c>
      <c r="N403" s="53" t="n">
        <f aca="true">NORMINV(RAND(),0,N$7)</f>
        <v>-0.878861535867655</v>
      </c>
      <c r="O403" s="53" t="n">
        <f aca="false">SUM(J403:N403)</f>
        <v>-0.689951296624309</v>
      </c>
    </row>
    <row r="404" customFormat="false" ht="15" hidden="false" customHeight="false" outlineLevel="0" collapsed="false">
      <c r="A404" s="2" t="n">
        <v>396</v>
      </c>
      <c r="B404" s="53" t="n">
        <f aca="true">NORMINV(RAND(),0,B$7)</f>
        <v>-2.2297238355662</v>
      </c>
      <c r="C404" s="53" t="n">
        <f aca="true">NORMINV(RAND(),0,C$7)</f>
        <v>-0.240366694680029</v>
      </c>
      <c r="D404" s="53" t="n">
        <f aca="true">NORMINV(RAND(),0,D$7)</f>
        <v>0.7199529034631</v>
      </c>
      <c r="E404" s="53" t="n">
        <f aca="true">NORMINV(RAND(),0,E$7)</f>
        <v>0.126851772162178</v>
      </c>
      <c r="F404" s="53" t="n">
        <f aca="true">NORMINV(RAND(),0,F$7)</f>
        <v>-0.118923127203841</v>
      </c>
      <c r="G404" s="53" t="n">
        <f aca="true">NORMINV(RAND(),0,G$7)</f>
        <v>0.582931069440486</v>
      </c>
      <c r="H404" s="53" t="n">
        <f aca="true">NORMINV(RAND(),0,H$7)</f>
        <v>0.631107757046439</v>
      </c>
      <c r="I404" s="53" t="n">
        <f aca="false">SUM(B404:H404)</f>
        <v>-0.528170155337869</v>
      </c>
      <c r="J404" s="53" t="n">
        <f aca="true">NORMINV(RAND(),0,J$7)</f>
        <v>-2.8585466489814</v>
      </c>
      <c r="K404" s="53" t="n">
        <f aca="true">NORMINV(RAND(),0,K$7)</f>
        <v>-0.0758223138312213</v>
      </c>
      <c r="L404" s="53" t="n">
        <f aca="true">NORMINV(RAND(),0,L$7)</f>
        <v>-0.0727346822807049</v>
      </c>
      <c r="M404" s="53" t="n">
        <f aca="true">NORMINV(RAND(),0,M$7)</f>
        <v>0.017968018556939</v>
      </c>
      <c r="N404" s="53" t="n">
        <f aca="true">NORMINV(RAND(),0,N$7)</f>
        <v>-0.164548495394238</v>
      </c>
      <c r="O404" s="53" t="n">
        <f aca="false">SUM(J404:N404)</f>
        <v>-3.15368412193063</v>
      </c>
    </row>
    <row r="405" customFormat="false" ht="15" hidden="false" customHeight="false" outlineLevel="0" collapsed="false">
      <c r="A405" s="2" t="n">
        <v>397</v>
      </c>
      <c r="B405" s="53" t="n">
        <f aca="true">NORMINV(RAND(),0,B$7)</f>
        <v>-0.876033760850235</v>
      </c>
      <c r="C405" s="53" t="n">
        <f aca="true">NORMINV(RAND(),0,C$7)</f>
        <v>-1.05291407449001</v>
      </c>
      <c r="D405" s="53" t="n">
        <f aca="true">NORMINV(RAND(),0,D$7)</f>
        <v>-0.972381798663325</v>
      </c>
      <c r="E405" s="53" t="n">
        <f aca="true">NORMINV(RAND(),0,E$7)</f>
        <v>0.363291320075442</v>
      </c>
      <c r="F405" s="53" t="n">
        <f aca="true">NORMINV(RAND(),0,F$7)</f>
        <v>-0.302372287308195</v>
      </c>
      <c r="G405" s="53" t="n">
        <f aca="true">NORMINV(RAND(),0,G$7)</f>
        <v>3.18515551754597</v>
      </c>
      <c r="H405" s="53" t="n">
        <f aca="true">NORMINV(RAND(),0,H$7)</f>
        <v>-0.0356508382679549</v>
      </c>
      <c r="I405" s="53" t="n">
        <f aca="false">SUM(B405:H405)</f>
        <v>0.309094078041692</v>
      </c>
      <c r="J405" s="53" t="n">
        <f aca="true">NORMINV(RAND(),0,J$7)</f>
        <v>4.17024601985246</v>
      </c>
      <c r="K405" s="53" t="n">
        <f aca="true">NORMINV(RAND(),0,K$7)</f>
        <v>-0.990993691065145</v>
      </c>
      <c r="L405" s="53" t="n">
        <f aca="true">NORMINV(RAND(),0,L$7)</f>
        <v>-0.139507501904282</v>
      </c>
      <c r="M405" s="53" t="n">
        <f aca="true">NORMINV(RAND(),0,M$7)</f>
        <v>0.0391757985802623</v>
      </c>
      <c r="N405" s="53" t="n">
        <f aca="true">NORMINV(RAND(),0,N$7)</f>
        <v>-0.667541405706822</v>
      </c>
      <c r="O405" s="53" t="n">
        <f aca="false">SUM(J405:N405)</f>
        <v>2.41137921975647</v>
      </c>
    </row>
    <row r="406" customFormat="false" ht="15" hidden="false" customHeight="false" outlineLevel="0" collapsed="false">
      <c r="A406" s="2" t="n">
        <v>398</v>
      </c>
      <c r="B406" s="53" t="n">
        <f aca="true">NORMINV(RAND(),0,B$7)</f>
        <v>0.491482667515376</v>
      </c>
      <c r="C406" s="53" t="n">
        <f aca="true">NORMINV(RAND(),0,C$7)</f>
        <v>0.585054115996216</v>
      </c>
      <c r="D406" s="53" t="n">
        <f aca="true">NORMINV(RAND(),0,D$7)</f>
        <v>1.76692969732948</v>
      </c>
      <c r="E406" s="53" t="n">
        <f aca="true">NORMINV(RAND(),0,E$7)</f>
        <v>0.111316143170805</v>
      </c>
      <c r="F406" s="53" t="n">
        <f aca="true">NORMINV(RAND(),0,F$7)</f>
        <v>0.120876481140002</v>
      </c>
      <c r="G406" s="53" t="n">
        <f aca="true">NORMINV(RAND(),0,G$7)</f>
        <v>1.57933653412477</v>
      </c>
      <c r="H406" s="53" t="n">
        <f aca="true">NORMINV(RAND(),0,H$7)</f>
        <v>0.425329434523166</v>
      </c>
      <c r="I406" s="53" t="n">
        <f aca="false">SUM(B406:H406)</f>
        <v>5.08032507379981</v>
      </c>
      <c r="J406" s="53" t="n">
        <f aca="true">NORMINV(RAND(),0,J$7)</f>
        <v>3.32872357555946</v>
      </c>
      <c r="K406" s="53" t="n">
        <f aca="true">NORMINV(RAND(),0,K$7)</f>
        <v>0.370378794020907</v>
      </c>
      <c r="L406" s="53" t="n">
        <f aca="true">NORMINV(RAND(),0,L$7)</f>
        <v>0.758917645432722</v>
      </c>
      <c r="M406" s="53" t="n">
        <f aca="true">NORMINV(RAND(),0,M$7)</f>
        <v>-0.00827640265767838</v>
      </c>
      <c r="N406" s="53" t="n">
        <f aca="true">NORMINV(RAND(),0,N$7)</f>
        <v>-0.0706194461981276</v>
      </c>
      <c r="O406" s="53" t="n">
        <f aca="false">SUM(J406:N406)</f>
        <v>4.37912416615728</v>
      </c>
    </row>
    <row r="407" customFormat="false" ht="15" hidden="false" customHeight="false" outlineLevel="0" collapsed="false">
      <c r="A407" s="2" t="n">
        <v>399</v>
      </c>
      <c r="B407" s="53" t="n">
        <f aca="true">NORMINV(RAND(),0,B$7)</f>
        <v>-0.631160049601269</v>
      </c>
      <c r="C407" s="53" t="n">
        <f aca="true">NORMINV(RAND(),0,C$7)</f>
        <v>0.875971547006544</v>
      </c>
      <c r="D407" s="53" t="n">
        <f aca="true">NORMINV(RAND(),0,D$7)</f>
        <v>-0.539309621012761</v>
      </c>
      <c r="E407" s="53" t="n">
        <f aca="true">NORMINV(RAND(),0,E$7)</f>
        <v>0.649202112560974</v>
      </c>
      <c r="F407" s="53" t="n">
        <f aca="true">NORMINV(RAND(),0,F$7)</f>
        <v>0.288048891888829</v>
      </c>
      <c r="G407" s="53" t="n">
        <f aca="true">NORMINV(RAND(),0,G$7)</f>
        <v>0.860733792394128</v>
      </c>
      <c r="H407" s="53" t="n">
        <f aca="true">NORMINV(RAND(),0,H$7)</f>
        <v>-0.484849097558367</v>
      </c>
      <c r="I407" s="53" t="n">
        <f aca="false">SUM(B407:H407)</f>
        <v>1.01863757567808</v>
      </c>
      <c r="J407" s="53" t="n">
        <f aca="true">NORMINV(RAND(),0,J$7)</f>
        <v>-0.732079502867905</v>
      </c>
      <c r="K407" s="53" t="n">
        <f aca="true">NORMINV(RAND(),0,K$7)</f>
        <v>-1.49657166542742</v>
      </c>
      <c r="L407" s="53" t="n">
        <f aca="true">NORMINV(RAND(),0,L$7)</f>
        <v>0.295447031096083</v>
      </c>
      <c r="M407" s="53" t="n">
        <f aca="true">NORMINV(RAND(),0,M$7)</f>
        <v>-0.287112746551298</v>
      </c>
      <c r="N407" s="53" t="n">
        <f aca="true">NORMINV(RAND(),0,N$7)</f>
        <v>0.524266864402917</v>
      </c>
      <c r="O407" s="53" t="n">
        <f aca="false">SUM(J407:N407)</f>
        <v>-1.69605001934762</v>
      </c>
    </row>
    <row r="408" customFormat="false" ht="15" hidden="false" customHeight="false" outlineLevel="0" collapsed="false">
      <c r="A408" s="2" t="n">
        <v>400</v>
      </c>
      <c r="B408" s="53" t="n">
        <f aca="true">NORMINV(RAND(),0,B$7)</f>
        <v>-1.69598538979081</v>
      </c>
      <c r="C408" s="53" t="n">
        <f aca="true">NORMINV(RAND(),0,C$7)</f>
        <v>0.298284508167456</v>
      </c>
      <c r="D408" s="53" t="n">
        <f aca="true">NORMINV(RAND(),0,D$7)</f>
        <v>-0.957905246039785</v>
      </c>
      <c r="E408" s="53" t="n">
        <f aca="true">NORMINV(RAND(),0,E$7)</f>
        <v>0.293436456558695</v>
      </c>
      <c r="F408" s="53" t="n">
        <f aca="true">NORMINV(RAND(),0,F$7)</f>
        <v>0.350952559359657</v>
      </c>
      <c r="G408" s="53" t="n">
        <f aca="true">NORMINV(RAND(),0,G$7)</f>
        <v>0.825487923866268</v>
      </c>
      <c r="H408" s="53" t="n">
        <f aca="true">NORMINV(RAND(),0,H$7)</f>
        <v>-0.169425454101448</v>
      </c>
      <c r="I408" s="53" t="n">
        <f aca="false">SUM(B408:H408)</f>
        <v>-1.05515464197996</v>
      </c>
      <c r="J408" s="53" t="n">
        <f aca="true">NORMINV(RAND(),0,J$7)</f>
        <v>-0.379521399297991</v>
      </c>
      <c r="K408" s="53" t="n">
        <f aca="true">NORMINV(RAND(),0,K$7)</f>
        <v>0.465360059335857</v>
      </c>
      <c r="L408" s="53" t="n">
        <f aca="true">NORMINV(RAND(),0,L$7)</f>
        <v>0.579730600756704</v>
      </c>
      <c r="M408" s="53" t="n">
        <f aca="true">NORMINV(RAND(),0,M$7)</f>
        <v>0.116051452586423</v>
      </c>
      <c r="N408" s="53" t="n">
        <f aca="true">NORMINV(RAND(),0,N$7)</f>
        <v>0.538848522104174</v>
      </c>
      <c r="O408" s="53" t="n">
        <f aca="false">SUM(J408:N408)</f>
        <v>1.32046923548517</v>
      </c>
    </row>
    <row r="409" customFormat="false" ht="15" hidden="false" customHeight="false" outlineLevel="0" collapsed="false">
      <c r="A409" s="2" t="n">
        <v>401</v>
      </c>
      <c r="B409" s="53" t="n">
        <f aca="true">NORMINV(RAND(),0,B$7)</f>
        <v>-0.877926854977529</v>
      </c>
      <c r="C409" s="53" t="n">
        <f aca="true">NORMINV(RAND(),0,C$7)</f>
        <v>-1.5346522412464</v>
      </c>
      <c r="D409" s="53" t="n">
        <f aca="true">NORMINV(RAND(),0,D$7)</f>
        <v>-4.51187893549008</v>
      </c>
      <c r="E409" s="53" t="n">
        <f aca="true">NORMINV(RAND(),0,E$7)</f>
        <v>-0.00183693156021804</v>
      </c>
      <c r="F409" s="53" t="n">
        <f aca="true">NORMINV(RAND(),0,F$7)</f>
        <v>0.230894675639178</v>
      </c>
      <c r="G409" s="53" t="n">
        <f aca="true">NORMINV(RAND(),0,G$7)</f>
        <v>0.965236394422486</v>
      </c>
      <c r="H409" s="53" t="n">
        <f aca="true">NORMINV(RAND(),0,H$7)</f>
        <v>-0.842492191921223</v>
      </c>
      <c r="I409" s="53" t="n">
        <f aca="false">SUM(B409:H409)</f>
        <v>-6.57265608513379</v>
      </c>
      <c r="J409" s="53" t="n">
        <f aca="true">NORMINV(RAND(),0,J$7)</f>
        <v>0.579706999372412</v>
      </c>
      <c r="K409" s="53" t="n">
        <f aca="true">NORMINV(RAND(),0,K$7)</f>
        <v>-0.380003442281841</v>
      </c>
      <c r="L409" s="53" t="n">
        <f aca="true">NORMINV(RAND(),0,L$7)</f>
        <v>0.216983123854712</v>
      </c>
      <c r="M409" s="53" t="n">
        <f aca="true">NORMINV(RAND(),0,M$7)</f>
        <v>-0.142521122386038</v>
      </c>
      <c r="N409" s="53" t="n">
        <f aca="true">NORMINV(RAND(),0,N$7)</f>
        <v>0.861696176909149</v>
      </c>
      <c r="O409" s="53" t="n">
        <f aca="false">SUM(J409:N409)</f>
        <v>1.13586173546839</v>
      </c>
    </row>
    <row r="410" customFormat="false" ht="15" hidden="false" customHeight="false" outlineLevel="0" collapsed="false">
      <c r="A410" s="2" t="n">
        <v>402</v>
      </c>
      <c r="B410" s="53" t="n">
        <f aca="true">NORMINV(RAND(),0,B$7)</f>
        <v>0.661744931272089</v>
      </c>
      <c r="C410" s="53" t="n">
        <f aca="true">NORMINV(RAND(),0,C$7)</f>
        <v>0.165593864234547</v>
      </c>
      <c r="D410" s="53" t="n">
        <f aca="true">NORMINV(RAND(),0,D$7)</f>
        <v>2.16559452717311</v>
      </c>
      <c r="E410" s="53" t="n">
        <f aca="true">NORMINV(RAND(),0,E$7)</f>
        <v>-0.485070538743511</v>
      </c>
      <c r="F410" s="53" t="n">
        <f aca="true">NORMINV(RAND(),0,F$7)</f>
        <v>0.108921807842961</v>
      </c>
      <c r="G410" s="53" t="n">
        <f aca="true">NORMINV(RAND(),0,G$7)</f>
        <v>1.54410200290443</v>
      </c>
      <c r="H410" s="53" t="n">
        <f aca="true">NORMINV(RAND(),0,H$7)</f>
        <v>0.271475810468144</v>
      </c>
      <c r="I410" s="53" t="n">
        <f aca="false">SUM(B410:H410)</f>
        <v>4.43236240515178</v>
      </c>
      <c r="J410" s="53" t="n">
        <f aca="true">NORMINV(RAND(),0,J$7)</f>
        <v>0.115196666931695</v>
      </c>
      <c r="K410" s="53" t="n">
        <f aca="true">NORMINV(RAND(),0,K$7)</f>
        <v>1.70568519274209</v>
      </c>
      <c r="L410" s="53" t="n">
        <f aca="true">NORMINV(RAND(),0,L$7)</f>
        <v>-0.26269131929811</v>
      </c>
      <c r="M410" s="53" t="n">
        <f aca="true">NORMINV(RAND(),0,M$7)</f>
        <v>0.348639570867129</v>
      </c>
      <c r="N410" s="53" t="n">
        <f aca="true">NORMINV(RAND(),0,N$7)</f>
        <v>0.259949277090607</v>
      </c>
      <c r="O410" s="53" t="n">
        <f aca="false">SUM(J410:N410)</f>
        <v>2.16677938833341</v>
      </c>
    </row>
    <row r="411" customFormat="false" ht="15" hidden="false" customHeight="false" outlineLevel="0" collapsed="false">
      <c r="A411" s="2" t="n">
        <v>403</v>
      </c>
      <c r="B411" s="53" t="n">
        <f aca="true">NORMINV(RAND(),0,B$7)</f>
        <v>0.710269418967032</v>
      </c>
      <c r="C411" s="53" t="n">
        <f aca="true">NORMINV(RAND(),0,C$7)</f>
        <v>-0.791474638964836</v>
      </c>
      <c r="D411" s="53" t="n">
        <f aca="true">NORMINV(RAND(),0,D$7)</f>
        <v>0.683956985380439</v>
      </c>
      <c r="E411" s="53" t="n">
        <f aca="true">NORMINV(RAND(),0,E$7)</f>
        <v>0.191387720201497</v>
      </c>
      <c r="F411" s="53" t="n">
        <f aca="true">NORMINV(RAND(),0,F$7)</f>
        <v>0.109121067511082</v>
      </c>
      <c r="G411" s="53" t="n">
        <f aca="true">NORMINV(RAND(),0,G$7)</f>
        <v>1.19973078052614</v>
      </c>
      <c r="H411" s="53" t="n">
        <f aca="true">NORMINV(RAND(),0,H$7)</f>
        <v>0.000612653479476317</v>
      </c>
      <c r="I411" s="53" t="n">
        <f aca="false">SUM(B411:H411)</f>
        <v>2.10360398710083</v>
      </c>
      <c r="J411" s="53" t="n">
        <f aca="true">NORMINV(RAND(),0,J$7)</f>
        <v>0.664506267211317</v>
      </c>
      <c r="K411" s="53" t="n">
        <f aca="true">NORMINV(RAND(),0,K$7)</f>
        <v>-0.337135553644753</v>
      </c>
      <c r="L411" s="53" t="n">
        <f aca="true">NORMINV(RAND(),0,L$7)</f>
        <v>-0.492752079622891</v>
      </c>
      <c r="M411" s="53" t="n">
        <f aca="true">NORMINV(RAND(),0,M$7)</f>
        <v>0.22689550569163</v>
      </c>
      <c r="N411" s="53" t="n">
        <f aca="true">NORMINV(RAND(),0,N$7)</f>
        <v>0.395346637804188</v>
      </c>
      <c r="O411" s="53" t="n">
        <f aca="false">SUM(J411:N411)</f>
        <v>0.456860777439491</v>
      </c>
    </row>
    <row r="412" customFormat="false" ht="15" hidden="false" customHeight="false" outlineLevel="0" collapsed="false">
      <c r="A412" s="2" t="n">
        <v>404</v>
      </c>
      <c r="B412" s="53" t="n">
        <f aca="true">NORMINV(RAND(),0,B$7)</f>
        <v>0.624097822719299</v>
      </c>
      <c r="C412" s="53" t="n">
        <f aca="true">NORMINV(RAND(),0,C$7)</f>
        <v>-0.0245663965236798</v>
      </c>
      <c r="D412" s="53" t="n">
        <f aca="true">NORMINV(RAND(),0,D$7)</f>
        <v>0.178111344274267</v>
      </c>
      <c r="E412" s="53" t="n">
        <f aca="true">NORMINV(RAND(),0,E$7)</f>
        <v>0.148446315408714</v>
      </c>
      <c r="F412" s="53" t="n">
        <f aca="true">NORMINV(RAND(),0,F$7)</f>
        <v>0.40037204348696</v>
      </c>
      <c r="G412" s="53" t="n">
        <f aca="true">NORMINV(RAND(),0,G$7)</f>
        <v>0.0606648473628563</v>
      </c>
      <c r="H412" s="53" t="n">
        <f aca="true">NORMINV(RAND(),0,H$7)</f>
        <v>-0.0451686823611111</v>
      </c>
      <c r="I412" s="53" t="n">
        <f aca="false">SUM(B412:H412)</f>
        <v>1.3419572943673</v>
      </c>
      <c r="J412" s="53" t="n">
        <f aca="true">NORMINV(RAND(),0,J$7)</f>
        <v>0.879429788812646</v>
      </c>
      <c r="K412" s="53" t="n">
        <f aca="true">NORMINV(RAND(),0,K$7)</f>
        <v>-0.849890948707436</v>
      </c>
      <c r="L412" s="53" t="n">
        <f aca="true">NORMINV(RAND(),0,L$7)</f>
        <v>-0.09959561594026</v>
      </c>
      <c r="M412" s="53" t="n">
        <f aca="true">NORMINV(RAND(),0,M$7)</f>
        <v>-0.403447706700847</v>
      </c>
      <c r="N412" s="53" t="n">
        <f aca="true">NORMINV(RAND(),0,N$7)</f>
        <v>-0.0817635686634353</v>
      </c>
      <c r="O412" s="53" t="n">
        <f aca="false">SUM(J412:N412)</f>
        <v>-0.555268051199332</v>
      </c>
    </row>
    <row r="413" customFormat="false" ht="15" hidden="false" customHeight="false" outlineLevel="0" collapsed="false">
      <c r="A413" s="2" t="n">
        <v>405</v>
      </c>
      <c r="B413" s="53" t="n">
        <f aca="true">NORMINV(RAND(),0,B$7)</f>
        <v>-0.474123972287551</v>
      </c>
      <c r="C413" s="53" t="n">
        <f aca="true">NORMINV(RAND(),0,C$7)</f>
        <v>-1.13702028154108</v>
      </c>
      <c r="D413" s="53" t="n">
        <f aca="true">NORMINV(RAND(),0,D$7)</f>
        <v>3.90081507363723</v>
      </c>
      <c r="E413" s="53" t="n">
        <f aca="true">NORMINV(RAND(),0,E$7)</f>
        <v>0.876846032184768</v>
      </c>
      <c r="F413" s="53" t="n">
        <f aca="true">NORMINV(RAND(),0,F$7)</f>
        <v>-0.258784124100701</v>
      </c>
      <c r="G413" s="53" t="n">
        <f aca="true">NORMINV(RAND(),0,G$7)</f>
        <v>-1.3329044419998</v>
      </c>
      <c r="H413" s="53" t="n">
        <f aca="true">NORMINV(RAND(),0,H$7)</f>
        <v>-0.587242009876822</v>
      </c>
      <c r="I413" s="53" t="n">
        <f aca="false">SUM(B413:H413)</f>
        <v>0.98758627601605</v>
      </c>
      <c r="J413" s="53" t="n">
        <f aca="true">NORMINV(RAND(),0,J$7)</f>
        <v>-0.474594069590982</v>
      </c>
      <c r="K413" s="53" t="n">
        <f aca="true">NORMINV(RAND(),0,K$7)</f>
        <v>0.383944539250604</v>
      </c>
      <c r="L413" s="53" t="n">
        <f aca="true">NORMINV(RAND(),0,L$7)</f>
        <v>-0.811492816115113</v>
      </c>
      <c r="M413" s="53" t="n">
        <f aca="true">NORMINV(RAND(),0,M$7)</f>
        <v>0.216442462193643</v>
      </c>
      <c r="N413" s="53" t="n">
        <f aca="true">NORMINV(RAND(),0,N$7)</f>
        <v>0.00836081414352081</v>
      </c>
      <c r="O413" s="53" t="n">
        <f aca="false">SUM(J413:N413)</f>
        <v>-0.677339070118327</v>
      </c>
    </row>
    <row r="414" customFormat="false" ht="15" hidden="false" customHeight="false" outlineLevel="0" collapsed="false">
      <c r="A414" s="2" t="n">
        <v>406</v>
      </c>
      <c r="B414" s="53" t="n">
        <f aca="true">NORMINV(RAND(),0,B$7)</f>
        <v>-1.30027608712678</v>
      </c>
      <c r="C414" s="53" t="n">
        <f aca="true">NORMINV(RAND(),0,C$7)</f>
        <v>0.0332343877944838</v>
      </c>
      <c r="D414" s="53" t="n">
        <f aca="true">NORMINV(RAND(),0,D$7)</f>
        <v>1.62156638978294</v>
      </c>
      <c r="E414" s="53" t="n">
        <f aca="true">NORMINV(RAND(),0,E$7)</f>
        <v>-0.124470370556767</v>
      </c>
      <c r="F414" s="53" t="n">
        <f aca="true">NORMINV(RAND(),0,F$7)</f>
        <v>-0.245356727475321</v>
      </c>
      <c r="G414" s="53" t="n">
        <f aca="true">NORMINV(RAND(),0,G$7)</f>
        <v>-0.0817320885295362</v>
      </c>
      <c r="H414" s="53" t="n">
        <f aca="true">NORMINV(RAND(),0,H$7)</f>
        <v>0.483963879703236</v>
      </c>
      <c r="I414" s="53" t="n">
        <f aca="false">SUM(B414:H414)</f>
        <v>0.386929383592259</v>
      </c>
      <c r="J414" s="53" t="n">
        <f aca="true">NORMINV(RAND(),0,J$7)</f>
        <v>0.489330147411912</v>
      </c>
      <c r="K414" s="53" t="n">
        <f aca="true">NORMINV(RAND(),0,K$7)</f>
        <v>-0.55038636547597</v>
      </c>
      <c r="L414" s="53" t="n">
        <f aca="true">NORMINV(RAND(),0,L$7)</f>
        <v>-0.0573334580747095</v>
      </c>
      <c r="M414" s="53" t="n">
        <f aca="true">NORMINV(RAND(),0,M$7)</f>
        <v>-0.104105192448225</v>
      </c>
      <c r="N414" s="53" t="n">
        <f aca="true">NORMINV(RAND(),0,N$7)</f>
        <v>-0.030811271733399</v>
      </c>
      <c r="O414" s="53" t="n">
        <f aca="false">SUM(J414:N414)</f>
        <v>-0.253306140320391</v>
      </c>
    </row>
    <row r="415" customFormat="false" ht="15" hidden="false" customHeight="false" outlineLevel="0" collapsed="false">
      <c r="A415" s="2" t="n">
        <v>407</v>
      </c>
      <c r="B415" s="53" t="n">
        <f aca="true">NORMINV(RAND(),0,B$7)</f>
        <v>-0.616212686851648</v>
      </c>
      <c r="C415" s="53" t="n">
        <f aca="true">NORMINV(RAND(),0,C$7)</f>
        <v>0.0360330674289731</v>
      </c>
      <c r="D415" s="53" t="n">
        <f aca="true">NORMINV(RAND(),0,D$7)</f>
        <v>-1.99519150313063</v>
      </c>
      <c r="E415" s="53" t="n">
        <f aca="true">NORMINV(RAND(),0,E$7)</f>
        <v>0.812273392051364</v>
      </c>
      <c r="F415" s="53" t="n">
        <f aca="true">NORMINV(RAND(),0,F$7)</f>
        <v>0.435074812002429</v>
      </c>
      <c r="G415" s="53" t="n">
        <f aca="true">NORMINV(RAND(),0,G$7)</f>
        <v>0.380335153272157</v>
      </c>
      <c r="H415" s="53" t="n">
        <f aca="true">NORMINV(RAND(),0,H$7)</f>
        <v>-0.397788853193783</v>
      </c>
      <c r="I415" s="53" t="n">
        <f aca="false">SUM(B415:H415)</f>
        <v>-1.34547661842114</v>
      </c>
      <c r="J415" s="53" t="n">
        <f aca="true">NORMINV(RAND(),0,J$7)</f>
        <v>0.640168951340621</v>
      </c>
      <c r="K415" s="53" t="n">
        <f aca="true">NORMINV(RAND(),0,K$7)</f>
        <v>-0.631972161091271</v>
      </c>
      <c r="L415" s="53" t="n">
        <f aca="true">NORMINV(RAND(),0,L$7)</f>
        <v>-0.782667119390516</v>
      </c>
      <c r="M415" s="53" t="n">
        <f aca="true">NORMINV(RAND(),0,M$7)</f>
        <v>-0.234799965956146</v>
      </c>
      <c r="N415" s="53" t="n">
        <f aca="true">NORMINV(RAND(),0,N$7)</f>
        <v>0.300289775209611</v>
      </c>
      <c r="O415" s="53" t="n">
        <f aca="false">SUM(J415:N415)</f>
        <v>-0.708980519887702</v>
      </c>
    </row>
    <row r="416" customFormat="false" ht="15" hidden="false" customHeight="false" outlineLevel="0" collapsed="false">
      <c r="A416" s="2" t="n">
        <v>408</v>
      </c>
      <c r="B416" s="53" t="n">
        <f aca="true">NORMINV(RAND(),0,B$7)</f>
        <v>-0.0766083888682496</v>
      </c>
      <c r="C416" s="53" t="n">
        <f aca="true">NORMINV(RAND(),0,C$7)</f>
        <v>-0.303406527195674</v>
      </c>
      <c r="D416" s="53" t="n">
        <f aca="true">NORMINV(RAND(),0,D$7)</f>
        <v>-0.424529520884882</v>
      </c>
      <c r="E416" s="53" t="n">
        <f aca="true">NORMINV(RAND(),0,E$7)</f>
        <v>-0.016078915849581</v>
      </c>
      <c r="F416" s="53" t="n">
        <f aca="true">NORMINV(RAND(),0,F$7)</f>
        <v>-0.0501800400130051</v>
      </c>
      <c r="G416" s="53" t="n">
        <f aca="true">NORMINV(RAND(),0,G$7)</f>
        <v>-1.89215300843853</v>
      </c>
      <c r="H416" s="53" t="n">
        <f aca="true">NORMINV(RAND(),0,H$7)</f>
        <v>0.563467869877669</v>
      </c>
      <c r="I416" s="53" t="n">
        <f aca="false">SUM(B416:H416)</f>
        <v>-2.19948853137226</v>
      </c>
      <c r="J416" s="53" t="n">
        <f aca="true">NORMINV(RAND(),0,J$7)</f>
        <v>-1.98774336637174</v>
      </c>
      <c r="K416" s="53" t="n">
        <f aca="true">NORMINV(RAND(),0,K$7)</f>
        <v>0.813123944107379</v>
      </c>
      <c r="L416" s="53" t="n">
        <f aca="true">NORMINV(RAND(),0,L$7)</f>
        <v>0.200998510837539</v>
      </c>
      <c r="M416" s="53" t="n">
        <f aca="true">NORMINV(RAND(),0,M$7)</f>
        <v>-0.038925218500577</v>
      </c>
      <c r="N416" s="53" t="n">
        <f aca="true">NORMINV(RAND(),0,N$7)</f>
        <v>0.280949418532027</v>
      </c>
      <c r="O416" s="53" t="n">
        <f aca="false">SUM(J416:N416)</f>
        <v>-0.731596711395375</v>
      </c>
    </row>
    <row r="417" customFormat="false" ht="15" hidden="false" customHeight="false" outlineLevel="0" collapsed="false">
      <c r="A417" s="2" t="n">
        <v>409</v>
      </c>
      <c r="B417" s="53" t="n">
        <f aca="true">NORMINV(RAND(),0,B$7)</f>
        <v>-0.0490647629534049</v>
      </c>
      <c r="C417" s="53" t="n">
        <f aca="true">NORMINV(RAND(),0,C$7)</f>
        <v>-0.174116082642594</v>
      </c>
      <c r="D417" s="53" t="n">
        <f aca="true">NORMINV(RAND(),0,D$7)</f>
        <v>-1.83537117051971</v>
      </c>
      <c r="E417" s="53" t="n">
        <f aca="true">NORMINV(RAND(),0,E$7)</f>
        <v>-0.455375662583917</v>
      </c>
      <c r="F417" s="53" t="n">
        <f aca="true">NORMINV(RAND(),0,F$7)</f>
        <v>-0.0279571416277129</v>
      </c>
      <c r="G417" s="53" t="n">
        <f aca="true">NORMINV(RAND(),0,G$7)</f>
        <v>-0.247326173313127</v>
      </c>
      <c r="H417" s="53" t="n">
        <f aca="true">NORMINV(RAND(),0,H$7)</f>
        <v>-0.502743024175812</v>
      </c>
      <c r="I417" s="53" t="n">
        <f aca="false">SUM(B417:H417)</f>
        <v>-3.29195401781628</v>
      </c>
      <c r="J417" s="53" t="n">
        <f aca="true">NORMINV(RAND(),0,J$7)</f>
        <v>0.750319691643585</v>
      </c>
      <c r="K417" s="53" t="n">
        <f aca="true">NORMINV(RAND(),0,K$7)</f>
        <v>0.921663412670263</v>
      </c>
      <c r="L417" s="53" t="n">
        <f aca="true">NORMINV(RAND(),0,L$7)</f>
        <v>0.0193708455032865</v>
      </c>
      <c r="M417" s="53" t="n">
        <f aca="true">NORMINV(RAND(),0,M$7)</f>
        <v>0.0294144454176035</v>
      </c>
      <c r="N417" s="53" t="n">
        <f aca="true">NORMINV(RAND(),0,N$7)</f>
        <v>-0.0106313414217248</v>
      </c>
      <c r="O417" s="53" t="n">
        <f aca="false">SUM(J417:N417)</f>
        <v>1.71013705381301</v>
      </c>
    </row>
    <row r="418" customFormat="false" ht="15" hidden="false" customHeight="false" outlineLevel="0" collapsed="false">
      <c r="A418" s="2" t="n">
        <v>410</v>
      </c>
      <c r="B418" s="53" t="n">
        <f aca="true">NORMINV(RAND(),0,B$7)</f>
        <v>2.78408852018529</v>
      </c>
      <c r="C418" s="53" t="n">
        <f aca="true">NORMINV(RAND(),0,C$7)</f>
        <v>-1.37002369714794</v>
      </c>
      <c r="D418" s="53" t="n">
        <f aca="true">NORMINV(RAND(),0,D$7)</f>
        <v>-2.20438929809615</v>
      </c>
      <c r="E418" s="53" t="n">
        <f aca="true">NORMINV(RAND(),0,E$7)</f>
        <v>0.155692996652708</v>
      </c>
      <c r="F418" s="53" t="n">
        <f aca="true">NORMINV(RAND(),0,F$7)</f>
        <v>-0.0120838395038283</v>
      </c>
      <c r="G418" s="53" t="n">
        <f aca="true">NORMINV(RAND(),0,G$7)</f>
        <v>-2.24863330447705</v>
      </c>
      <c r="H418" s="53" t="n">
        <f aca="true">NORMINV(RAND(),0,H$7)</f>
        <v>-0.394664899626847</v>
      </c>
      <c r="I418" s="53" t="n">
        <f aca="false">SUM(B418:H418)</f>
        <v>-3.29001352201382</v>
      </c>
      <c r="J418" s="53" t="n">
        <f aca="true">NORMINV(RAND(),0,J$7)</f>
        <v>-1.37108005173954</v>
      </c>
      <c r="K418" s="53" t="n">
        <f aca="true">NORMINV(RAND(),0,K$7)</f>
        <v>-0.405262536400811</v>
      </c>
      <c r="L418" s="53" t="n">
        <f aca="true">NORMINV(RAND(),0,L$7)</f>
        <v>-0.208339987438142</v>
      </c>
      <c r="M418" s="53" t="n">
        <f aca="true">NORMINV(RAND(),0,M$7)</f>
        <v>0.120800655856928</v>
      </c>
      <c r="N418" s="53" t="n">
        <f aca="true">NORMINV(RAND(),0,N$7)</f>
        <v>0.300941040545338</v>
      </c>
      <c r="O418" s="53" t="n">
        <f aca="false">SUM(J418:N418)</f>
        <v>-1.56294087917623</v>
      </c>
    </row>
    <row r="419" customFormat="false" ht="15" hidden="false" customHeight="false" outlineLevel="0" collapsed="false">
      <c r="A419" s="2" t="n">
        <v>411</v>
      </c>
      <c r="B419" s="53" t="n">
        <f aca="true">NORMINV(RAND(),0,B$7)</f>
        <v>1.12011441569553</v>
      </c>
      <c r="C419" s="53" t="n">
        <f aca="true">NORMINV(RAND(),0,C$7)</f>
        <v>-0.954333136020667</v>
      </c>
      <c r="D419" s="53" t="n">
        <f aca="true">NORMINV(RAND(),0,D$7)</f>
        <v>0.390013433114097</v>
      </c>
      <c r="E419" s="53" t="n">
        <f aca="true">NORMINV(RAND(),0,E$7)</f>
        <v>-0.297922704308518</v>
      </c>
      <c r="F419" s="53" t="n">
        <f aca="true">NORMINV(RAND(),0,F$7)</f>
        <v>-0.215425055469391</v>
      </c>
      <c r="G419" s="53" t="n">
        <f aca="true">NORMINV(RAND(),0,G$7)</f>
        <v>-1.18038886295671</v>
      </c>
      <c r="H419" s="53" t="n">
        <f aca="true">NORMINV(RAND(),0,H$7)</f>
        <v>-0.187243554812333</v>
      </c>
      <c r="I419" s="53" t="n">
        <f aca="false">SUM(B419:H419)</f>
        <v>-1.32518546475799</v>
      </c>
      <c r="J419" s="53" t="n">
        <f aca="true">NORMINV(RAND(),0,J$7)</f>
        <v>1.00152444958278</v>
      </c>
      <c r="K419" s="53" t="n">
        <f aca="true">NORMINV(RAND(),0,K$7)</f>
        <v>-0.36520414311368</v>
      </c>
      <c r="L419" s="53" t="n">
        <f aca="true">NORMINV(RAND(),0,L$7)</f>
        <v>-0.135158920756762</v>
      </c>
      <c r="M419" s="53" t="n">
        <f aca="true">NORMINV(RAND(),0,M$7)</f>
        <v>-0.368878660830073</v>
      </c>
      <c r="N419" s="53" t="n">
        <f aca="true">NORMINV(RAND(),0,N$7)</f>
        <v>-0.0417583514083073</v>
      </c>
      <c r="O419" s="53" t="n">
        <f aca="false">SUM(J419:N419)</f>
        <v>0.0905243734739599</v>
      </c>
    </row>
    <row r="420" customFormat="false" ht="15" hidden="false" customHeight="false" outlineLevel="0" collapsed="false">
      <c r="A420" s="2" t="n">
        <v>412</v>
      </c>
      <c r="B420" s="53" t="n">
        <f aca="true">NORMINV(RAND(),0,B$7)</f>
        <v>-1.34101089999009</v>
      </c>
      <c r="C420" s="53" t="n">
        <f aca="true">NORMINV(RAND(),0,C$7)</f>
        <v>-2.70984284852173</v>
      </c>
      <c r="D420" s="53" t="n">
        <f aca="true">NORMINV(RAND(),0,D$7)</f>
        <v>0.43894066695352</v>
      </c>
      <c r="E420" s="53" t="n">
        <f aca="true">NORMINV(RAND(),0,E$7)</f>
        <v>0.286105947029327</v>
      </c>
      <c r="F420" s="53" t="n">
        <f aca="true">NORMINV(RAND(),0,F$7)</f>
        <v>0.145474595676637</v>
      </c>
      <c r="G420" s="53" t="n">
        <f aca="true">NORMINV(RAND(),0,G$7)</f>
        <v>-2.31666986480858</v>
      </c>
      <c r="H420" s="53" t="n">
        <f aca="true">NORMINV(RAND(),0,H$7)</f>
        <v>0.619851409460997</v>
      </c>
      <c r="I420" s="53" t="n">
        <f aca="false">SUM(B420:H420)</f>
        <v>-4.87715099419992</v>
      </c>
      <c r="J420" s="53" t="n">
        <f aca="true">NORMINV(RAND(),0,J$7)</f>
        <v>-1.31416024521309</v>
      </c>
      <c r="K420" s="53" t="n">
        <f aca="true">NORMINV(RAND(),0,K$7)</f>
        <v>0.747080014452683</v>
      </c>
      <c r="L420" s="53" t="n">
        <f aca="true">NORMINV(RAND(),0,L$7)</f>
        <v>-0.0263596875786359</v>
      </c>
      <c r="M420" s="53" t="n">
        <f aca="true">NORMINV(RAND(),0,M$7)</f>
        <v>-0.0876052587192238</v>
      </c>
      <c r="N420" s="53" t="n">
        <f aca="true">NORMINV(RAND(),0,N$7)</f>
        <v>0.690934193693628</v>
      </c>
      <c r="O420" s="53" t="n">
        <f aca="false">SUM(J420:N420)</f>
        <v>0.00988901663536312</v>
      </c>
    </row>
    <row r="421" customFormat="false" ht="15" hidden="false" customHeight="false" outlineLevel="0" collapsed="false">
      <c r="A421" s="2" t="n">
        <v>413</v>
      </c>
      <c r="B421" s="53" t="n">
        <f aca="true">NORMINV(RAND(),0,B$7)</f>
        <v>-1.9522559751084</v>
      </c>
      <c r="C421" s="53" t="n">
        <f aca="true">NORMINV(RAND(),0,C$7)</f>
        <v>0.55925964145338</v>
      </c>
      <c r="D421" s="53" t="n">
        <f aca="true">NORMINV(RAND(),0,D$7)</f>
        <v>-1.74601050674984</v>
      </c>
      <c r="E421" s="53" t="n">
        <f aca="true">NORMINV(RAND(),0,E$7)</f>
        <v>0.347941328087952</v>
      </c>
      <c r="F421" s="53" t="n">
        <f aca="true">NORMINV(RAND(),0,F$7)</f>
        <v>0.176188841044373</v>
      </c>
      <c r="G421" s="53" t="n">
        <f aca="true">NORMINV(RAND(),0,G$7)</f>
        <v>-1.25552293873379</v>
      </c>
      <c r="H421" s="53" t="n">
        <f aca="true">NORMINV(RAND(),0,H$7)</f>
        <v>0.430917328623636</v>
      </c>
      <c r="I421" s="53" t="n">
        <f aca="false">SUM(B421:H421)</f>
        <v>-3.4394822813827</v>
      </c>
      <c r="J421" s="53" t="n">
        <f aca="true">NORMINV(RAND(),0,J$7)</f>
        <v>-2.63824895610776</v>
      </c>
      <c r="K421" s="53" t="n">
        <f aca="true">NORMINV(RAND(),0,K$7)</f>
        <v>-0.0195677072969285</v>
      </c>
      <c r="L421" s="53" t="n">
        <f aca="true">NORMINV(RAND(),0,L$7)</f>
        <v>-0.173515013619253</v>
      </c>
      <c r="M421" s="53" t="n">
        <f aca="true">NORMINV(RAND(),0,M$7)</f>
        <v>0.238198691198006</v>
      </c>
      <c r="N421" s="53" t="n">
        <f aca="true">NORMINV(RAND(),0,N$7)</f>
        <v>0.507391207711359</v>
      </c>
      <c r="O421" s="53" t="n">
        <f aca="false">SUM(J421:N421)</f>
        <v>-2.08574177811458</v>
      </c>
    </row>
    <row r="422" customFormat="false" ht="15" hidden="false" customHeight="false" outlineLevel="0" collapsed="false">
      <c r="A422" s="2" t="n">
        <v>414</v>
      </c>
      <c r="B422" s="53" t="n">
        <f aca="true">NORMINV(RAND(),0,B$7)</f>
        <v>3.23919072415441</v>
      </c>
      <c r="C422" s="53" t="n">
        <f aca="true">NORMINV(RAND(),0,C$7)</f>
        <v>0.325374168274238</v>
      </c>
      <c r="D422" s="53" t="n">
        <f aca="true">NORMINV(RAND(),0,D$7)</f>
        <v>-0.405466911853071</v>
      </c>
      <c r="E422" s="53" t="n">
        <f aca="true">NORMINV(RAND(),0,E$7)</f>
        <v>-0.530835419614998</v>
      </c>
      <c r="F422" s="53" t="n">
        <f aca="true">NORMINV(RAND(),0,F$7)</f>
        <v>-0.00764970242675785</v>
      </c>
      <c r="G422" s="53" t="n">
        <f aca="true">NORMINV(RAND(),0,G$7)</f>
        <v>0.14437752181653</v>
      </c>
      <c r="H422" s="53" t="n">
        <f aca="true">NORMINV(RAND(),0,H$7)</f>
        <v>-0.175570063756018</v>
      </c>
      <c r="I422" s="53" t="n">
        <f aca="false">SUM(B422:H422)</f>
        <v>2.58942031659433</v>
      </c>
      <c r="J422" s="53" t="n">
        <f aca="true">NORMINV(RAND(),0,J$7)</f>
        <v>-0.840671531357027</v>
      </c>
      <c r="K422" s="53" t="n">
        <f aca="true">NORMINV(RAND(),0,K$7)</f>
        <v>1.0626131775863</v>
      </c>
      <c r="L422" s="53" t="n">
        <f aca="true">NORMINV(RAND(),0,L$7)</f>
        <v>0.129677379111297</v>
      </c>
      <c r="M422" s="53" t="n">
        <f aca="true">NORMINV(RAND(),0,M$7)</f>
        <v>0.102734002690987</v>
      </c>
      <c r="N422" s="53" t="n">
        <f aca="true">NORMINV(RAND(),0,N$7)</f>
        <v>-0.561757381229305</v>
      </c>
      <c r="O422" s="53" t="n">
        <f aca="false">SUM(J422:N422)</f>
        <v>-0.107404353197752</v>
      </c>
    </row>
    <row r="423" customFormat="false" ht="15" hidden="false" customHeight="false" outlineLevel="0" collapsed="false">
      <c r="A423" s="2" t="n">
        <v>415</v>
      </c>
      <c r="B423" s="53" t="n">
        <f aca="true">NORMINV(RAND(),0,B$7)</f>
        <v>-1.17403854057436</v>
      </c>
      <c r="C423" s="53" t="n">
        <f aca="true">NORMINV(RAND(),0,C$7)</f>
        <v>-0.838866079700477</v>
      </c>
      <c r="D423" s="53" t="n">
        <f aca="true">NORMINV(RAND(),0,D$7)</f>
        <v>-0.350468806817967</v>
      </c>
      <c r="E423" s="53" t="n">
        <f aca="true">NORMINV(RAND(),0,E$7)</f>
        <v>-0.0381824600321042</v>
      </c>
      <c r="F423" s="53" t="n">
        <f aca="true">NORMINV(RAND(),0,F$7)</f>
        <v>-0.401580195527921</v>
      </c>
      <c r="G423" s="53" t="n">
        <f aca="true">NORMINV(RAND(),0,G$7)</f>
        <v>0.899954834901873</v>
      </c>
      <c r="H423" s="53" t="n">
        <f aca="true">NORMINV(RAND(),0,H$7)</f>
        <v>-0.250169852340369</v>
      </c>
      <c r="I423" s="53" t="n">
        <f aca="false">SUM(B423:H423)</f>
        <v>-2.15335110009133</v>
      </c>
      <c r="J423" s="53" t="n">
        <f aca="true">NORMINV(RAND(),0,J$7)</f>
        <v>2.81185511547267</v>
      </c>
      <c r="K423" s="53" t="n">
        <f aca="true">NORMINV(RAND(),0,K$7)</f>
        <v>0.248217460554854</v>
      </c>
      <c r="L423" s="53" t="n">
        <f aca="true">NORMINV(RAND(),0,L$7)</f>
        <v>0.543841123003553</v>
      </c>
      <c r="M423" s="53" t="n">
        <f aca="true">NORMINV(RAND(),0,M$7)</f>
        <v>-0.0901640815081192</v>
      </c>
      <c r="N423" s="53" t="n">
        <f aca="true">NORMINV(RAND(),0,N$7)</f>
        <v>-0.0975462290654217</v>
      </c>
      <c r="O423" s="53" t="n">
        <f aca="false">SUM(J423:N423)</f>
        <v>3.41620338845754</v>
      </c>
    </row>
    <row r="424" customFormat="false" ht="15" hidden="false" customHeight="false" outlineLevel="0" collapsed="false">
      <c r="A424" s="2" t="n">
        <v>416</v>
      </c>
      <c r="B424" s="53" t="n">
        <f aca="true">NORMINV(RAND(),0,B$7)</f>
        <v>-0.611625589879638</v>
      </c>
      <c r="C424" s="53" t="n">
        <f aca="true">NORMINV(RAND(),0,C$7)</f>
        <v>-1.40719838978454</v>
      </c>
      <c r="D424" s="53" t="n">
        <f aca="true">NORMINV(RAND(),0,D$7)</f>
        <v>1.46935440343508</v>
      </c>
      <c r="E424" s="53" t="n">
        <f aca="true">NORMINV(RAND(),0,E$7)</f>
        <v>0.476445462975533</v>
      </c>
      <c r="F424" s="53" t="n">
        <f aca="true">NORMINV(RAND(),0,F$7)</f>
        <v>0.182643189268676</v>
      </c>
      <c r="G424" s="53" t="n">
        <f aca="true">NORMINV(RAND(),0,G$7)</f>
        <v>-0.690241716697329</v>
      </c>
      <c r="H424" s="53" t="n">
        <f aca="true">NORMINV(RAND(),0,H$7)</f>
        <v>0.305676524908905</v>
      </c>
      <c r="I424" s="53" t="n">
        <f aca="false">SUM(B424:H424)</f>
        <v>-0.274946115773314</v>
      </c>
      <c r="J424" s="53" t="n">
        <f aca="true">NORMINV(RAND(),0,J$7)</f>
        <v>1.2307273325149</v>
      </c>
      <c r="K424" s="53" t="n">
        <f aca="true">NORMINV(RAND(),0,K$7)</f>
        <v>1.03990896936476</v>
      </c>
      <c r="L424" s="53" t="n">
        <f aca="true">NORMINV(RAND(),0,L$7)</f>
        <v>-0.591573004818063</v>
      </c>
      <c r="M424" s="53" t="n">
        <f aca="true">NORMINV(RAND(),0,M$7)</f>
        <v>0.173211304174628</v>
      </c>
      <c r="N424" s="53" t="n">
        <f aca="true">NORMINV(RAND(),0,N$7)</f>
        <v>-0.18513745086028</v>
      </c>
      <c r="O424" s="53" t="n">
        <f aca="false">SUM(J424:N424)</f>
        <v>1.66713715037594</v>
      </c>
    </row>
    <row r="425" customFormat="false" ht="15" hidden="false" customHeight="false" outlineLevel="0" collapsed="false">
      <c r="A425" s="2" t="n">
        <v>417</v>
      </c>
      <c r="B425" s="53" t="n">
        <f aca="true">NORMINV(RAND(),0,B$7)</f>
        <v>-0.969959381980491</v>
      </c>
      <c r="C425" s="53" t="n">
        <f aca="true">NORMINV(RAND(),0,C$7)</f>
        <v>-1.99389390965798</v>
      </c>
      <c r="D425" s="53" t="n">
        <f aca="true">NORMINV(RAND(),0,D$7)</f>
        <v>0.204977767360003</v>
      </c>
      <c r="E425" s="53" t="n">
        <f aca="true">NORMINV(RAND(),0,E$7)</f>
        <v>-0.694602915860782</v>
      </c>
      <c r="F425" s="53" t="n">
        <f aca="true">NORMINV(RAND(),0,F$7)</f>
        <v>-0.365180861481534</v>
      </c>
      <c r="G425" s="53" t="n">
        <f aca="true">NORMINV(RAND(),0,G$7)</f>
        <v>0.72367274340081</v>
      </c>
      <c r="H425" s="53" t="n">
        <f aca="true">NORMINV(RAND(),0,H$7)</f>
        <v>0.245616277796657</v>
      </c>
      <c r="I425" s="53" t="n">
        <f aca="false">SUM(B425:H425)</f>
        <v>-2.84937028042332</v>
      </c>
      <c r="J425" s="53" t="n">
        <f aca="true">NORMINV(RAND(),0,J$7)</f>
        <v>-0.817328495795598</v>
      </c>
      <c r="K425" s="53" t="n">
        <f aca="true">NORMINV(RAND(),0,K$7)</f>
        <v>-0.450516148441509</v>
      </c>
      <c r="L425" s="53" t="n">
        <f aca="true">NORMINV(RAND(),0,L$7)</f>
        <v>0.081731979325905</v>
      </c>
      <c r="M425" s="53" t="n">
        <f aca="true">NORMINV(RAND(),0,M$7)</f>
        <v>0.199822845611939</v>
      </c>
      <c r="N425" s="53" t="n">
        <f aca="true">NORMINV(RAND(),0,N$7)</f>
        <v>0.0384304551976259</v>
      </c>
      <c r="O425" s="53" t="n">
        <f aca="false">SUM(J425:N425)</f>
        <v>-0.947859364101638</v>
      </c>
    </row>
    <row r="426" customFormat="false" ht="15" hidden="false" customHeight="false" outlineLevel="0" collapsed="false">
      <c r="A426" s="2" t="n">
        <v>418</v>
      </c>
      <c r="B426" s="53" t="n">
        <f aca="true">NORMINV(RAND(),0,B$7)</f>
        <v>-1.05066538718697</v>
      </c>
      <c r="C426" s="53" t="n">
        <f aca="true">NORMINV(RAND(),0,C$7)</f>
        <v>-0.0214035372766077</v>
      </c>
      <c r="D426" s="53" t="n">
        <f aca="true">NORMINV(RAND(),0,D$7)</f>
        <v>0.869104579998988</v>
      </c>
      <c r="E426" s="53" t="n">
        <f aca="true">NORMINV(RAND(),0,E$7)</f>
        <v>0.562050944882968</v>
      </c>
      <c r="F426" s="53" t="n">
        <f aca="true">NORMINV(RAND(),0,F$7)</f>
        <v>0.768006546744475</v>
      </c>
      <c r="G426" s="53" t="n">
        <f aca="true">NORMINV(RAND(),0,G$7)</f>
        <v>1.86074059890416</v>
      </c>
      <c r="H426" s="53" t="n">
        <f aca="true">NORMINV(RAND(),0,H$7)</f>
        <v>0.375505827429204</v>
      </c>
      <c r="I426" s="53" t="n">
        <f aca="false">SUM(B426:H426)</f>
        <v>3.36333957349622</v>
      </c>
      <c r="J426" s="53" t="n">
        <f aca="true">NORMINV(RAND(),0,J$7)</f>
        <v>-0.0849647361749256</v>
      </c>
      <c r="K426" s="53" t="n">
        <f aca="true">NORMINV(RAND(),0,K$7)</f>
        <v>-0.471182445932242</v>
      </c>
      <c r="L426" s="53" t="n">
        <f aca="true">NORMINV(RAND(),0,L$7)</f>
        <v>0.579652323899506</v>
      </c>
      <c r="M426" s="53" t="n">
        <f aca="true">NORMINV(RAND(),0,M$7)</f>
        <v>-0.226063459201675</v>
      </c>
      <c r="N426" s="53" t="n">
        <f aca="true">NORMINV(RAND(),0,N$7)</f>
        <v>0.889871649597953</v>
      </c>
      <c r="O426" s="53" t="n">
        <f aca="false">SUM(J426:N426)</f>
        <v>0.687313332188617</v>
      </c>
    </row>
    <row r="427" customFormat="false" ht="15" hidden="false" customHeight="false" outlineLevel="0" collapsed="false">
      <c r="A427" s="2" t="n">
        <v>419</v>
      </c>
      <c r="B427" s="53" t="n">
        <f aca="true">NORMINV(RAND(),0,B$7)</f>
        <v>0.352641229462196</v>
      </c>
      <c r="C427" s="53" t="n">
        <f aca="true">NORMINV(RAND(),0,C$7)</f>
        <v>-2.14368888714084</v>
      </c>
      <c r="D427" s="53" t="n">
        <f aca="true">NORMINV(RAND(),0,D$7)</f>
        <v>-1.99749147968162</v>
      </c>
      <c r="E427" s="53" t="n">
        <f aca="true">NORMINV(RAND(),0,E$7)</f>
        <v>-0.265652517679321</v>
      </c>
      <c r="F427" s="53" t="n">
        <f aca="true">NORMINV(RAND(),0,F$7)</f>
        <v>-0.126408281092639</v>
      </c>
      <c r="G427" s="53" t="n">
        <f aca="true">NORMINV(RAND(),0,G$7)</f>
        <v>-0.0315356864805927</v>
      </c>
      <c r="H427" s="53" t="n">
        <f aca="true">NORMINV(RAND(),0,H$7)</f>
        <v>-0.372467541433319</v>
      </c>
      <c r="I427" s="53" t="n">
        <f aca="false">SUM(B427:H427)</f>
        <v>-4.58460316404613</v>
      </c>
      <c r="J427" s="53" t="n">
        <f aca="true">NORMINV(RAND(),0,J$7)</f>
        <v>1.59973801491174</v>
      </c>
      <c r="K427" s="53" t="n">
        <f aca="true">NORMINV(RAND(),0,K$7)</f>
        <v>-0.834019283695439</v>
      </c>
      <c r="L427" s="53" t="n">
        <f aca="true">NORMINV(RAND(),0,L$7)</f>
        <v>-0.0546707341602363</v>
      </c>
      <c r="M427" s="53" t="n">
        <f aca="true">NORMINV(RAND(),0,M$7)</f>
        <v>-0.11548092793932</v>
      </c>
      <c r="N427" s="53" t="n">
        <f aca="true">NORMINV(RAND(),0,N$7)</f>
        <v>0.28442487915028</v>
      </c>
      <c r="O427" s="53" t="n">
        <f aca="false">SUM(J427:N427)</f>
        <v>0.879991948267027</v>
      </c>
    </row>
    <row r="428" customFormat="false" ht="15" hidden="false" customHeight="false" outlineLevel="0" collapsed="false">
      <c r="A428" s="2" t="n">
        <v>420</v>
      </c>
      <c r="B428" s="53" t="n">
        <f aca="true">NORMINV(RAND(),0,B$7)</f>
        <v>1.72048029483432</v>
      </c>
      <c r="C428" s="53" t="n">
        <f aca="true">NORMINV(RAND(),0,C$7)</f>
        <v>-0.147125506092062</v>
      </c>
      <c r="D428" s="53" t="n">
        <f aca="true">NORMINV(RAND(),0,D$7)</f>
        <v>-2.20491584136953</v>
      </c>
      <c r="E428" s="53" t="n">
        <f aca="true">NORMINV(RAND(),0,E$7)</f>
        <v>-0.101735040443512</v>
      </c>
      <c r="F428" s="53" t="n">
        <f aca="true">NORMINV(RAND(),0,F$7)</f>
        <v>-0.00898748631172594</v>
      </c>
      <c r="G428" s="53" t="n">
        <f aca="true">NORMINV(RAND(),0,G$7)</f>
        <v>1.43955728647126</v>
      </c>
      <c r="H428" s="53" t="n">
        <f aca="true">NORMINV(RAND(),0,H$7)</f>
        <v>-0.484852953770558</v>
      </c>
      <c r="I428" s="53" t="n">
        <f aca="false">SUM(B428:H428)</f>
        <v>0.212420753318196</v>
      </c>
      <c r="J428" s="53" t="n">
        <f aca="true">NORMINV(RAND(),0,J$7)</f>
        <v>-4.81821944678466</v>
      </c>
      <c r="K428" s="53" t="n">
        <f aca="true">NORMINV(RAND(),0,K$7)</f>
        <v>-1.04899381935164</v>
      </c>
      <c r="L428" s="53" t="n">
        <f aca="true">NORMINV(RAND(),0,L$7)</f>
        <v>0.259607893383098</v>
      </c>
      <c r="M428" s="53" t="n">
        <f aca="true">NORMINV(RAND(),0,M$7)</f>
        <v>-0.0560455591450073</v>
      </c>
      <c r="N428" s="53" t="n">
        <f aca="true">NORMINV(RAND(),0,N$7)</f>
        <v>0.395072743059709</v>
      </c>
      <c r="O428" s="53" t="n">
        <f aca="false">SUM(J428:N428)</f>
        <v>-5.2685781888385</v>
      </c>
    </row>
    <row r="429" customFormat="false" ht="15" hidden="false" customHeight="false" outlineLevel="0" collapsed="false">
      <c r="A429" s="2" t="n">
        <v>421</v>
      </c>
      <c r="B429" s="53" t="n">
        <f aca="true">NORMINV(RAND(),0,B$7)</f>
        <v>-1.06114283461294</v>
      </c>
      <c r="C429" s="53" t="n">
        <f aca="true">NORMINV(RAND(),0,C$7)</f>
        <v>-1.85477424394974</v>
      </c>
      <c r="D429" s="53" t="n">
        <f aca="true">NORMINV(RAND(),0,D$7)</f>
        <v>-2.08922340265103</v>
      </c>
      <c r="E429" s="53" t="n">
        <f aca="true">NORMINV(RAND(),0,E$7)</f>
        <v>0.20014409199466</v>
      </c>
      <c r="F429" s="53" t="n">
        <f aca="true">NORMINV(RAND(),0,F$7)</f>
        <v>0.000824295355352171</v>
      </c>
      <c r="G429" s="53" t="n">
        <f aca="true">NORMINV(RAND(),0,G$7)</f>
        <v>1.6390261721121</v>
      </c>
      <c r="H429" s="53" t="n">
        <f aca="true">NORMINV(RAND(),0,H$7)</f>
        <v>-0.230511039929609</v>
      </c>
      <c r="I429" s="53" t="n">
        <f aca="false">SUM(B429:H429)</f>
        <v>-3.39565696168121</v>
      </c>
      <c r="J429" s="53" t="n">
        <f aca="true">NORMINV(RAND(),0,J$7)</f>
        <v>2.85329833619396</v>
      </c>
      <c r="K429" s="53" t="n">
        <f aca="true">NORMINV(RAND(),0,K$7)</f>
        <v>-0.203093602517164</v>
      </c>
      <c r="L429" s="53" t="n">
        <f aca="true">NORMINV(RAND(),0,L$7)</f>
        <v>0.0152537811417967</v>
      </c>
      <c r="M429" s="53" t="n">
        <f aca="true">NORMINV(RAND(),0,M$7)</f>
        <v>-0.16682962445581</v>
      </c>
      <c r="N429" s="53" t="n">
        <f aca="true">NORMINV(RAND(),0,N$7)</f>
        <v>-0.328573851544255</v>
      </c>
      <c r="O429" s="53" t="n">
        <f aca="false">SUM(J429:N429)</f>
        <v>2.17005503881853</v>
      </c>
    </row>
    <row r="430" customFormat="false" ht="15" hidden="false" customHeight="false" outlineLevel="0" collapsed="false">
      <c r="A430" s="2" t="n">
        <v>422</v>
      </c>
      <c r="B430" s="53" t="n">
        <f aca="true">NORMINV(RAND(),0,B$7)</f>
        <v>0.650997912536215</v>
      </c>
      <c r="C430" s="53" t="n">
        <f aca="true">NORMINV(RAND(),0,C$7)</f>
        <v>1.16930041437325</v>
      </c>
      <c r="D430" s="53" t="n">
        <f aca="true">NORMINV(RAND(),0,D$7)</f>
        <v>3.37850391517724</v>
      </c>
      <c r="E430" s="53" t="n">
        <f aca="true">NORMINV(RAND(),0,E$7)</f>
        <v>-0.653691302898559</v>
      </c>
      <c r="F430" s="53" t="n">
        <f aca="true">NORMINV(RAND(),0,F$7)</f>
        <v>-0.512589798300514</v>
      </c>
      <c r="G430" s="53" t="n">
        <f aca="true">NORMINV(RAND(),0,G$7)</f>
        <v>-0.264951291478879</v>
      </c>
      <c r="H430" s="53" t="n">
        <f aca="true">NORMINV(RAND(),0,H$7)</f>
        <v>-0.317305416662191</v>
      </c>
      <c r="I430" s="53" t="n">
        <f aca="false">SUM(B430:H430)</f>
        <v>3.45026443274657</v>
      </c>
      <c r="J430" s="53" t="n">
        <f aca="true">NORMINV(RAND(),0,J$7)</f>
        <v>-3.2196505892952</v>
      </c>
      <c r="K430" s="53" t="n">
        <f aca="true">NORMINV(RAND(),0,K$7)</f>
        <v>-0.300498910022088</v>
      </c>
      <c r="L430" s="53" t="n">
        <f aca="true">NORMINV(RAND(),0,L$7)</f>
        <v>-0.428737802551518</v>
      </c>
      <c r="M430" s="53" t="n">
        <f aca="true">NORMINV(RAND(),0,M$7)</f>
        <v>0.0936037910774651</v>
      </c>
      <c r="N430" s="53" t="n">
        <f aca="true">NORMINV(RAND(),0,N$7)</f>
        <v>-0.143366897403873</v>
      </c>
      <c r="O430" s="53" t="n">
        <f aca="false">SUM(J430:N430)</f>
        <v>-3.99865040819521</v>
      </c>
    </row>
    <row r="431" customFormat="false" ht="15" hidden="false" customHeight="false" outlineLevel="0" collapsed="false">
      <c r="A431" s="2" t="n">
        <v>423</v>
      </c>
      <c r="B431" s="53" t="n">
        <f aca="true">NORMINV(RAND(),0,B$7)</f>
        <v>-1.36562417448295</v>
      </c>
      <c r="C431" s="53" t="n">
        <f aca="true">NORMINV(RAND(),0,C$7)</f>
        <v>0.539041247200684</v>
      </c>
      <c r="D431" s="53" t="n">
        <f aca="true">NORMINV(RAND(),0,D$7)</f>
        <v>-1.21077228741102</v>
      </c>
      <c r="E431" s="53" t="n">
        <f aca="true">NORMINV(RAND(),0,E$7)</f>
        <v>-0.355631032895281</v>
      </c>
      <c r="F431" s="53" t="n">
        <f aca="true">NORMINV(RAND(),0,F$7)</f>
        <v>-0.124870465613801</v>
      </c>
      <c r="G431" s="53" t="n">
        <f aca="true">NORMINV(RAND(),0,G$7)</f>
        <v>3.21214546690945</v>
      </c>
      <c r="H431" s="53" t="n">
        <f aca="true">NORMINV(RAND(),0,H$7)</f>
        <v>-0.165993715124401</v>
      </c>
      <c r="I431" s="53" t="n">
        <f aca="false">SUM(B431:H431)</f>
        <v>0.528295038582687</v>
      </c>
      <c r="J431" s="53" t="n">
        <f aca="true">NORMINV(RAND(),0,J$7)</f>
        <v>1.25514302022786</v>
      </c>
      <c r="K431" s="53" t="n">
        <f aca="true">NORMINV(RAND(),0,K$7)</f>
        <v>0.0176917668442638</v>
      </c>
      <c r="L431" s="53" t="n">
        <f aca="true">NORMINV(RAND(),0,L$7)</f>
        <v>-0.284028557653533</v>
      </c>
      <c r="M431" s="53" t="n">
        <f aca="true">NORMINV(RAND(),0,M$7)</f>
        <v>0.179926752900937</v>
      </c>
      <c r="N431" s="53" t="n">
        <f aca="true">NORMINV(RAND(),0,N$7)</f>
        <v>0.0315646134893602</v>
      </c>
      <c r="O431" s="53" t="n">
        <f aca="false">SUM(J431:N431)</f>
        <v>1.20029759580888</v>
      </c>
    </row>
    <row r="432" customFormat="false" ht="15" hidden="false" customHeight="false" outlineLevel="0" collapsed="false">
      <c r="A432" s="2" t="n">
        <v>424</v>
      </c>
      <c r="B432" s="53" t="n">
        <f aca="true">NORMINV(RAND(),0,B$7)</f>
        <v>-0.885622031864548</v>
      </c>
      <c r="C432" s="53" t="n">
        <f aca="true">NORMINV(RAND(),0,C$7)</f>
        <v>-0.0409770495371883</v>
      </c>
      <c r="D432" s="53" t="n">
        <f aca="true">NORMINV(RAND(),0,D$7)</f>
        <v>-0.508969076845895</v>
      </c>
      <c r="E432" s="53" t="n">
        <f aca="true">NORMINV(RAND(),0,E$7)</f>
        <v>-0.0823213805534688</v>
      </c>
      <c r="F432" s="53" t="n">
        <f aca="true">NORMINV(RAND(),0,F$7)</f>
        <v>0.0708293400616816</v>
      </c>
      <c r="G432" s="53" t="n">
        <f aca="true">NORMINV(RAND(),0,G$7)</f>
        <v>-1.00123865670279</v>
      </c>
      <c r="H432" s="53" t="n">
        <f aca="true">NORMINV(RAND(),0,H$7)</f>
        <v>-0.307606422725178</v>
      </c>
      <c r="I432" s="53" t="n">
        <f aca="false">SUM(B432:H432)</f>
        <v>-2.75590527816738</v>
      </c>
      <c r="J432" s="53" t="n">
        <f aca="true">NORMINV(RAND(),0,J$7)</f>
        <v>-2.0692257058968</v>
      </c>
      <c r="K432" s="53" t="n">
        <f aca="true">NORMINV(RAND(),0,K$7)</f>
        <v>0.961979644083251</v>
      </c>
      <c r="L432" s="53" t="n">
        <f aca="true">NORMINV(RAND(),0,L$7)</f>
        <v>-0.362338580151803</v>
      </c>
      <c r="M432" s="53" t="n">
        <f aca="true">NORMINV(RAND(),0,M$7)</f>
        <v>0.0496617193964156</v>
      </c>
      <c r="N432" s="53" t="n">
        <f aca="true">NORMINV(RAND(),0,N$7)</f>
        <v>0.0552247894898129</v>
      </c>
      <c r="O432" s="53" t="n">
        <f aca="false">SUM(J432:N432)</f>
        <v>-1.36469813307912</v>
      </c>
    </row>
    <row r="433" customFormat="false" ht="15" hidden="false" customHeight="false" outlineLevel="0" collapsed="false">
      <c r="A433" s="2" t="n">
        <v>425</v>
      </c>
      <c r="B433" s="53" t="n">
        <f aca="true">NORMINV(RAND(),0,B$7)</f>
        <v>-2.27733630167611</v>
      </c>
      <c r="C433" s="53" t="n">
        <f aca="true">NORMINV(RAND(),0,C$7)</f>
        <v>-1.11667970471547</v>
      </c>
      <c r="D433" s="53" t="n">
        <f aca="true">NORMINV(RAND(),0,D$7)</f>
        <v>-1.24237625861214</v>
      </c>
      <c r="E433" s="53" t="n">
        <f aca="true">NORMINV(RAND(),0,E$7)</f>
        <v>-0.0999116631144714</v>
      </c>
      <c r="F433" s="53" t="n">
        <f aca="true">NORMINV(RAND(),0,F$7)</f>
        <v>0.318114441838083</v>
      </c>
      <c r="G433" s="53" t="n">
        <f aca="true">NORMINV(RAND(),0,G$7)</f>
        <v>-1.30478120702032</v>
      </c>
      <c r="H433" s="53" t="n">
        <f aca="true">NORMINV(RAND(),0,H$7)</f>
        <v>0.227223585873702</v>
      </c>
      <c r="I433" s="53" t="n">
        <f aca="false">SUM(B433:H433)</f>
        <v>-5.49574710742673</v>
      </c>
      <c r="J433" s="53" t="n">
        <f aca="true">NORMINV(RAND(),0,J$7)</f>
        <v>0.239101835083747</v>
      </c>
      <c r="K433" s="53" t="n">
        <f aca="true">NORMINV(RAND(),0,K$7)</f>
        <v>0.892542932360522</v>
      </c>
      <c r="L433" s="53" t="n">
        <f aca="true">NORMINV(RAND(),0,L$7)</f>
        <v>-0.240990735781387</v>
      </c>
      <c r="M433" s="53" t="n">
        <f aca="true">NORMINV(RAND(),0,M$7)</f>
        <v>-0.0579923883270416</v>
      </c>
      <c r="N433" s="53" t="n">
        <f aca="true">NORMINV(RAND(),0,N$7)</f>
        <v>-0.0803705850340255</v>
      </c>
      <c r="O433" s="53" t="n">
        <f aca="false">SUM(J433:N433)</f>
        <v>0.752291058301815</v>
      </c>
    </row>
    <row r="434" customFormat="false" ht="15" hidden="false" customHeight="false" outlineLevel="0" collapsed="false">
      <c r="A434" s="2" t="n">
        <v>426</v>
      </c>
      <c r="B434" s="53" t="n">
        <f aca="true">NORMINV(RAND(),0,B$7)</f>
        <v>-0.958642483109636</v>
      </c>
      <c r="C434" s="53" t="n">
        <f aca="true">NORMINV(RAND(),0,C$7)</f>
        <v>-0.938014067627092</v>
      </c>
      <c r="D434" s="53" t="n">
        <f aca="true">NORMINV(RAND(),0,D$7)</f>
        <v>0.253330230264784</v>
      </c>
      <c r="E434" s="53" t="n">
        <f aca="true">NORMINV(RAND(),0,E$7)</f>
        <v>-0.428049880197998</v>
      </c>
      <c r="F434" s="53" t="n">
        <f aca="true">NORMINV(RAND(),0,F$7)</f>
        <v>0.254430897431692</v>
      </c>
      <c r="G434" s="53" t="n">
        <f aca="true">NORMINV(RAND(),0,G$7)</f>
        <v>-2.12068156153855</v>
      </c>
      <c r="H434" s="53" t="n">
        <f aca="true">NORMINV(RAND(),0,H$7)</f>
        <v>-0.0355385978291823</v>
      </c>
      <c r="I434" s="53" t="n">
        <f aca="false">SUM(B434:H434)</f>
        <v>-3.97316546260599</v>
      </c>
      <c r="J434" s="53" t="n">
        <f aca="true">NORMINV(RAND(),0,J$7)</f>
        <v>2.2084931497758</v>
      </c>
      <c r="K434" s="53" t="n">
        <f aca="true">NORMINV(RAND(),0,K$7)</f>
        <v>0.20908450163718</v>
      </c>
      <c r="L434" s="53" t="n">
        <f aca="true">NORMINV(RAND(),0,L$7)</f>
        <v>0.00211836624975183</v>
      </c>
      <c r="M434" s="53" t="n">
        <f aca="true">NORMINV(RAND(),0,M$7)</f>
        <v>-0.120580920589333</v>
      </c>
      <c r="N434" s="53" t="n">
        <f aca="true">NORMINV(RAND(),0,N$7)</f>
        <v>0.0977010500834579</v>
      </c>
      <c r="O434" s="53" t="n">
        <f aca="false">SUM(J434:N434)</f>
        <v>2.39681614715686</v>
      </c>
    </row>
    <row r="435" customFormat="false" ht="15" hidden="false" customHeight="false" outlineLevel="0" collapsed="false">
      <c r="A435" s="2" t="n">
        <v>427</v>
      </c>
      <c r="B435" s="53" t="n">
        <f aca="true">NORMINV(RAND(),0,B$7)</f>
        <v>-0.208432872033634</v>
      </c>
      <c r="C435" s="53" t="n">
        <f aca="true">NORMINV(RAND(),0,C$7)</f>
        <v>0.818954655519003</v>
      </c>
      <c r="D435" s="53" t="n">
        <f aca="true">NORMINV(RAND(),0,D$7)</f>
        <v>1.47692500653547</v>
      </c>
      <c r="E435" s="53" t="n">
        <f aca="true">NORMINV(RAND(),0,E$7)</f>
        <v>-0.195474184650731</v>
      </c>
      <c r="F435" s="53" t="n">
        <f aca="true">NORMINV(RAND(),0,F$7)</f>
        <v>0.180486173332627</v>
      </c>
      <c r="G435" s="53" t="n">
        <f aca="true">NORMINV(RAND(),0,G$7)</f>
        <v>0.3962753938021</v>
      </c>
      <c r="H435" s="53" t="n">
        <f aca="true">NORMINV(RAND(),0,H$7)</f>
        <v>-0.134476211921162</v>
      </c>
      <c r="I435" s="53" t="n">
        <f aca="false">SUM(B435:H435)</f>
        <v>2.33425796058367</v>
      </c>
      <c r="J435" s="53" t="n">
        <f aca="true">NORMINV(RAND(),0,J$7)</f>
        <v>-2.09046564566707</v>
      </c>
      <c r="K435" s="53" t="n">
        <f aca="true">NORMINV(RAND(),0,K$7)</f>
        <v>-0.0942000061011305</v>
      </c>
      <c r="L435" s="53" t="n">
        <f aca="true">NORMINV(RAND(),0,L$7)</f>
        <v>-0.393831362238296</v>
      </c>
      <c r="M435" s="53" t="n">
        <f aca="true">NORMINV(RAND(),0,M$7)</f>
        <v>0.00579877160395213</v>
      </c>
      <c r="N435" s="53" t="n">
        <f aca="true">NORMINV(RAND(),0,N$7)</f>
        <v>0.050055479027908</v>
      </c>
      <c r="O435" s="53" t="n">
        <f aca="false">SUM(J435:N435)</f>
        <v>-2.52264276337463</v>
      </c>
    </row>
    <row r="436" customFormat="false" ht="15" hidden="false" customHeight="false" outlineLevel="0" collapsed="false">
      <c r="A436" s="2" t="n">
        <v>428</v>
      </c>
      <c r="B436" s="53" t="n">
        <f aca="true">NORMINV(RAND(),0,B$7)</f>
        <v>2.46913753556301</v>
      </c>
      <c r="C436" s="53" t="n">
        <f aca="true">NORMINV(RAND(),0,C$7)</f>
        <v>-1.3758062858915</v>
      </c>
      <c r="D436" s="53" t="n">
        <f aca="true">NORMINV(RAND(),0,D$7)</f>
        <v>-1.4633067517153</v>
      </c>
      <c r="E436" s="53" t="n">
        <f aca="true">NORMINV(RAND(),0,E$7)</f>
        <v>0.0747110863859035</v>
      </c>
      <c r="F436" s="53" t="n">
        <f aca="true">NORMINV(RAND(),0,F$7)</f>
        <v>0.181501913546325</v>
      </c>
      <c r="G436" s="53" t="n">
        <f aca="true">NORMINV(RAND(),0,G$7)</f>
        <v>-0.0491756161542763</v>
      </c>
      <c r="H436" s="53" t="n">
        <f aca="true">NORMINV(RAND(),0,H$7)</f>
        <v>0.37895337069113</v>
      </c>
      <c r="I436" s="53" t="n">
        <f aca="false">SUM(B436:H436)</f>
        <v>0.216015252425298</v>
      </c>
      <c r="J436" s="53" t="n">
        <f aca="true">NORMINV(RAND(),0,J$7)</f>
        <v>0.997874839242462</v>
      </c>
      <c r="K436" s="53" t="n">
        <f aca="true">NORMINV(RAND(),0,K$7)</f>
        <v>0.162717089547032</v>
      </c>
      <c r="L436" s="53" t="n">
        <f aca="true">NORMINV(RAND(),0,L$7)</f>
        <v>0.173784257581559</v>
      </c>
      <c r="M436" s="53" t="n">
        <f aca="true">NORMINV(RAND(),0,M$7)</f>
        <v>-0.167207135534066</v>
      </c>
      <c r="N436" s="53" t="n">
        <f aca="true">NORMINV(RAND(),0,N$7)</f>
        <v>-0.305282764209747</v>
      </c>
      <c r="O436" s="53" t="n">
        <f aca="false">SUM(J436:N436)</f>
        <v>0.86188628662724</v>
      </c>
    </row>
    <row r="437" customFormat="false" ht="15" hidden="false" customHeight="false" outlineLevel="0" collapsed="false">
      <c r="A437" s="2" t="n">
        <v>429</v>
      </c>
      <c r="B437" s="53" t="n">
        <f aca="true">NORMINV(RAND(),0,B$7)</f>
        <v>1.58315451916319</v>
      </c>
      <c r="C437" s="53" t="n">
        <f aca="true">NORMINV(RAND(),0,C$7)</f>
        <v>0.704159532452024</v>
      </c>
      <c r="D437" s="53" t="n">
        <f aca="true">NORMINV(RAND(),0,D$7)</f>
        <v>0.649526567211</v>
      </c>
      <c r="E437" s="53" t="n">
        <f aca="true">NORMINV(RAND(),0,E$7)</f>
        <v>0.355331288008673</v>
      </c>
      <c r="F437" s="53" t="n">
        <f aca="true">NORMINV(RAND(),0,F$7)</f>
        <v>-0.316474546982791</v>
      </c>
      <c r="G437" s="53" t="n">
        <f aca="true">NORMINV(RAND(),0,G$7)</f>
        <v>-1.93692142461603</v>
      </c>
      <c r="H437" s="53" t="n">
        <f aca="true">NORMINV(RAND(),0,H$7)</f>
        <v>0.266442117017468</v>
      </c>
      <c r="I437" s="53" t="n">
        <f aca="false">SUM(B437:H437)</f>
        <v>1.30521805225353</v>
      </c>
      <c r="J437" s="53" t="n">
        <f aca="true">NORMINV(RAND(),0,J$7)</f>
        <v>-3.07241434857969</v>
      </c>
      <c r="K437" s="53" t="n">
        <f aca="true">NORMINV(RAND(),0,K$7)</f>
        <v>-0.800232436044293</v>
      </c>
      <c r="L437" s="53" t="n">
        <f aca="true">NORMINV(RAND(),0,L$7)</f>
        <v>0.0257236894056114</v>
      </c>
      <c r="M437" s="53" t="n">
        <f aca="true">NORMINV(RAND(),0,M$7)</f>
        <v>-0.293295068451159</v>
      </c>
      <c r="N437" s="53" t="n">
        <f aca="true">NORMINV(RAND(),0,N$7)</f>
        <v>0.221449911514043</v>
      </c>
      <c r="O437" s="53" t="n">
        <f aca="false">SUM(J437:N437)</f>
        <v>-3.91876825215549</v>
      </c>
    </row>
    <row r="438" customFormat="false" ht="15" hidden="false" customHeight="false" outlineLevel="0" collapsed="false">
      <c r="A438" s="2" t="n">
        <v>430</v>
      </c>
      <c r="B438" s="53" t="n">
        <f aca="true">NORMINV(RAND(),0,B$7)</f>
        <v>-1.50484451865754</v>
      </c>
      <c r="C438" s="53" t="n">
        <f aca="true">NORMINV(RAND(),0,C$7)</f>
        <v>1.34396524779908</v>
      </c>
      <c r="D438" s="53" t="n">
        <f aca="true">NORMINV(RAND(),0,D$7)</f>
        <v>-1.04734462005222</v>
      </c>
      <c r="E438" s="53" t="n">
        <f aca="true">NORMINV(RAND(),0,E$7)</f>
        <v>-0.560351216668902</v>
      </c>
      <c r="F438" s="53" t="n">
        <f aca="true">NORMINV(RAND(),0,F$7)</f>
        <v>-0.145618441940405</v>
      </c>
      <c r="G438" s="53" t="n">
        <f aca="true">NORMINV(RAND(),0,G$7)</f>
        <v>1.97498797870609</v>
      </c>
      <c r="H438" s="53" t="n">
        <f aca="true">NORMINV(RAND(),0,H$7)</f>
        <v>0.217161628817168</v>
      </c>
      <c r="I438" s="53" t="n">
        <f aca="false">SUM(B438:H438)</f>
        <v>0.277956058003264</v>
      </c>
      <c r="J438" s="53" t="n">
        <f aca="true">NORMINV(RAND(),0,J$7)</f>
        <v>-2.63115326478093</v>
      </c>
      <c r="K438" s="53" t="n">
        <f aca="true">NORMINV(RAND(),0,K$7)</f>
        <v>-0.509778298134621</v>
      </c>
      <c r="L438" s="53" t="n">
        <f aca="true">NORMINV(RAND(),0,L$7)</f>
        <v>0.554624307921322</v>
      </c>
      <c r="M438" s="53" t="n">
        <f aca="true">NORMINV(RAND(),0,M$7)</f>
        <v>-0.0662580229173031</v>
      </c>
      <c r="N438" s="53" t="n">
        <f aca="true">NORMINV(RAND(),0,N$7)</f>
        <v>-0.427616894699769</v>
      </c>
      <c r="O438" s="53" t="n">
        <f aca="false">SUM(J438:N438)</f>
        <v>-3.0801821726113</v>
      </c>
    </row>
    <row r="439" customFormat="false" ht="15" hidden="false" customHeight="false" outlineLevel="0" collapsed="false">
      <c r="A439" s="2" t="n">
        <v>431</v>
      </c>
      <c r="B439" s="53" t="n">
        <f aca="true">NORMINV(RAND(),0,B$7)</f>
        <v>-2.26637073779119</v>
      </c>
      <c r="C439" s="53" t="n">
        <f aca="true">NORMINV(RAND(),0,C$7)</f>
        <v>1.39449329273159</v>
      </c>
      <c r="D439" s="53" t="n">
        <f aca="true">NORMINV(RAND(),0,D$7)</f>
        <v>-0.0444837141899195</v>
      </c>
      <c r="E439" s="53" t="n">
        <f aca="true">NORMINV(RAND(),0,E$7)</f>
        <v>0.399924002255978</v>
      </c>
      <c r="F439" s="53" t="n">
        <f aca="true">NORMINV(RAND(),0,F$7)</f>
        <v>-0.0973921920250523</v>
      </c>
      <c r="G439" s="53" t="n">
        <f aca="true">NORMINV(RAND(),0,G$7)</f>
        <v>1.96604583256278</v>
      </c>
      <c r="H439" s="53" t="n">
        <f aca="true">NORMINV(RAND(),0,H$7)</f>
        <v>-0.0138983692676151</v>
      </c>
      <c r="I439" s="53" t="n">
        <f aca="false">SUM(B439:H439)</f>
        <v>1.33831811427657</v>
      </c>
      <c r="J439" s="53" t="n">
        <f aca="true">NORMINV(RAND(),0,J$7)</f>
        <v>3.49694049991729</v>
      </c>
      <c r="K439" s="53" t="n">
        <f aca="true">NORMINV(RAND(),0,K$7)</f>
        <v>0.423593669013501</v>
      </c>
      <c r="L439" s="53" t="n">
        <f aca="true">NORMINV(RAND(),0,L$7)</f>
        <v>-0.392082314554838</v>
      </c>
      <c r="M439" s="53" t="n">
        <f aca="true">NORMINV(RAND(),0,M$7)</f>
        <v>0.0530075575053141</v>
      </c>
      <c r="N439" s="53" t="n">
        <f aca="true">NORMINV(RAND(),0,N$7)</f>
        <v>-0.305830400268644</v>
      </c>
      <c r="O439" s="53" t="n">
        <f aca="false">SUM(J439:N439)</f>
        <v>3.27562901161262</v>
      </c>
    </row>
    <row r="440" customFormat="false" ht="15" hidden="false" customHeight="false" outlineLevel="0" collapsed="false">
      <c r="A440" s="2" t="n">
        <v>432</v>
      </c>
      <c r="B440" s="53" t="n">
        <f aca="true">NORMINV(RAND(),0,B$7)</f>
        <v>1.45447332918637</v>
      </c>
      <c r="C440" s="53" t="n">
        <f aca="true">NORMINV(RAND(),0,C$7)</f>
        <v>-0.349829948085001</v>
      </c>
      <c r="D440" s="53" t="n">
        <f aca="true">NORMINV(RAND(),0,D$7)</f>
        <v>-4.19158233996189</v>
      </c>
      <c r="E440" s="53" t="n">
        <f aca="true">NORMINV(RAND(),0,E$7)</f>
        <v>-0.164951721036982</v>
      </c>
      <c r="F440" s="53" t="n">
        <f aca="true">NORMINV(RAND(),0,F$7)</f>
        <v>-0.208557540830925</v>
      </c>
      <c r="G440" s="53" t="n">
        <f aca="true">NORMINV(RAND(),0,G$7)</f>
        <v>-0.701564211247502</v>
      </c>
      <c r="H440" s="53" t="n">
        <f aca="true">NORMINV(RAND(),0,H$7)</f>
        <v>-0.239070161639044</v>
      </c>
      <c r="I440" s="53" t="n">
        <f aca="false">SUM(B440:H440)</f>
        <v>-4.40108259361498</v>
      </c>
      <c r="J440" s="53" t="n">
        <f aca="true">NORMINV(RAND(),0,J$7)</f>
        <v>-4.95441913800415</v>
      </c>
      <c r="K440" s="53" t="n">
        <f aca="true">NORMINV(RAND(),0,K$7)</f>
        <v>-0.320725175774493</v>
      </c>
      <c r="L440" s="53" t="n">
        <f aca="true">NORMINV(RAND(),0,L$7)</f>
        <v>-0.198210528260485</v>
      </c>
      <c r="M440" s="53" t="n">
        <f aca="true">NORMINV(RAND(),0,M$7)</f>
        <v>-0.0386955878140427</v>
      </c>
      <c r="N440" s="53" t="n">
        <f aca="true">NORMINV(RAND(),0,N$7)</f>
        <v>0.280326787440015</v>
      </c>
      <c r="O440" s="53" t="n">
        <f aca="false">SUM(J440:N440)</f>
        <v>-5.23172364241315</v>
      </c>
    </row>
    <row r="441" customFormat="false" ht="15" hidden="false" customHeight="false" outlineLevel="0" collapsed="false">
      <c r="A441" s="2" t="n">
        <v>433</v>
      </c>
      <c r="B441" s="53" t="n">
        <f aca="true">NORMINV(RAND(),0,B$7)</f>
        <v>-0.289966128983842</v>
      </c>
      <c r="C441" s="53" t="n">
        <f aca="true">NORMINV(RAND(),0,C$7)</f>
        <v>0.491349572274792</v>
      </c>
      <c r="D441" s="53" t="n">
        <f aca="true">NORMINV(RAND(),0,D$7)</f>
        <v>2.45969059350833</v>
      </c>
      <c r="E441" s="53" t="n">
        <f aca="true">NORMINV(RAND(),0,E$7)</f>
        <v>0.620887673487502</v>
      </c>
      <c r="F441" s="53" t="n">
        <f aca="true">NORMINV(RAND(),0,F$7)</f>
        <v>0.191022224683165</v>
      </c>
      <c r="G441" s="53" t="n">
        <f aca="true">NORMINV(RAND(),0,G$7)</f>
        <v>0.976997472519728</v>
      </c>
      <c r="H441" s="53" t="n">
        <f aca="true">NORMINV(RAND(),0,H$7)</f>
        <v>0.24724067886438</v>
      </c>
      <c r="I441" s="53" t="n">
        <f aca="false">SUM(B441:H441)</f>
        <v>4.69722208635406</v>
      </c>
      <c r="J441" s="53" t="n">
        <f aca="true">NORMINV(RAND(),0,J$7)</f>
        <v>1.38415139117058</v>
      </c>
      <c r="K441" s="53" t="n">
        <f aca="true">NORMINV(RAND(),0,K$7)</f>
        <v>0.332030426230001</v>
      </c>
      <c r="L441" s="53" t="n">
        <f aca="true">NORMINV(RAND(),0,L$7)</f>
        <v>-0.307836140911582</v>
      </c>
      <c r="M441" s="53" t="n">
        <f aca="true">NORMINV(RAND(),0,M$7)</f>
        <v>-0.0167987606491456</v>
      </c>
      <c r="N441" s="53" t="n">
        <f aca="true">NORMINV(RAND(),0,N$7)</f>
        <v>-0.164966204794676</v>
      </c>
      <c r="O441" s="53" t="n">
        <f aca="false">SUM(J441:N441)</f>
        <v>1.22658071104517</v>
      </c>
    </row>
    <row r="442" customFormat="false" ht="15" hidden="false" customHeight="false" outlineLevel="0" collapsed="false">
      <c r="A442" s="2" t="n">
        <v>434</v>
      </c>
      <c r="B442" s="53" t="n">
        <f aca="true">NORMINV(RAND(),0,B$7)</f>
        <v>-1.25125895353142</v>
      </c>
      <c r="C442" s="53" t="n">
        <f aca="true">NORMINV(RAND(),0,C$7)</f>
        <v>3.35152917615431</v>
      </c>
      <c r="D442" s="53" t="n">
        <f aca="true">NORMINV(RAND(),0,D$7)</f>
        <v>-1.12819069279617</v>
      </c>
      <c r="E442" s="53" t="n">
        <f aca="true">NORMINV(RAND(),0,E$7)</f>
        <v>-0.157339734247802</v>
      </c>
      <c r="F442" s="53" t="n">
        <f aca="true">NORMINV(RAND(),0,F$7)</f>
        <v>0.329274167858484</v>
      </c>
      <c r="G442" s="53" t="n">
        <f aca="true">NORMINV(RAND(),0,G$7)</f>
        <v>0.671821708874711</v>
      </c>
      <c r="H442" s="53" t="n">
        <f aca="true">NORMINV(RAND(),0,H$7)</f>
        <v>0.615057313240712</v>
      </c>
      <c r="I442" s="53" t="n">
        <f aca="false">SUM(B442:H442)</f>
        <v>2.43089298555283</v>
      </c>
      <c r="J442" s="53" t="n">
        <f aca="true">NORMINV(RAND(),0,J$7)</f>
        <v>-0.894902498236548</v>
      </c>
      <c r="K442" s="53" t="n">
        <f aca="true">NORMINV(RAND(),0,K$7)</f>
        <v>-0.752145524255167</v>
      </c>
      <c r="L442" s="53" t="n">
        <f aca="true">NORMINV(RAND(),0,L$7)</f>
        <v>-0.292499572432662</v>
      </c>
      <c r="M442" s="53" t="n">
        <f aca="true">NORMINV(RAND(),0,M$7)</f>
        <v>-0.0814800374784869</v>
      </c>
      <c r="N442" s="53" t="n">
        <f aca="true">NORMINV(RAND(),0,N$7)</f>
        <v>0.315163739510616</v>
      </c>
      <c r="O442" s="53" t="n">
        <f aca="false">SUM(J442:N442)</f>
        <v>-1.70586389289225</v>
      </c>
    </row>
    <row r="443" customFormat="false" ht="15" hidden="false" customHeight="false" outlineLevel="0" collapsed="false">
      <c r="A443" s="2" t="n">
        <v>435</v>
      </c>
      <c r="B443" s="53" t="n">
        <f aca="true">NORMINV(RAND(),0,B$7)</f>
        <v>0.690572973438773</v>
      </c>
      <c r="C443" s="53" t="n">
        <f aca="true">NORMINV(RAND(),0,C$7)</f>
        <v>-0.880033801337763</v>
      </c>
      <c r="D443" s="53" t="n">
        <f aca="true">NORMINV(RAND(),0,D$7)</f>
        <v>2.02320476830984</v>
      </c>
      <c r="E443" s="53" t="n">
        <f aca="true">NORMINV(RAND(),0,E$7)</f>
        <v>-0.230037969608428</v>
      </c>
      <c r="F443" s="53" t="n">
        <f aca="true">NORMINV(RAND(),0,F$7)</f>
        <v>-0.112841445123734</v>
      </c>
      <c r="G443" s="53" t="n">
        <f aca="true">NORMINV(RAND(),0,G$7)</f>
        <v>2.04941897954743</v>
      </c>
      <c r="H443" s="53" t="n">
        <f aca="true">NORMINV(RAND(),0,H$7)</f>
        <v>0.13251423739227</v>
      </c>
      <c r="I443" s="53" t="n">
        <f aca="false">SUM(B443:H443)</f>
        <v>3.67279774261839</v>
      </c>
      <c r="J443" s="53" t="n">
        <f aca="true">NORMINV(RAND(),0,J$7)</f>
        <v>0.107756209093275</v>
      </c>
      <c r="K443" s="53" t="n">
        <f aca="true">NORMINV(RAND(),0,K$7)</f>
        <v>-0.10560367832915</v>
      </c>
      <c r="L443" s="53" t="n">
        <f aca="true">NORMINV(RAND(),0,L$7)</f>
        <v>-0.546787756616826</v>
      </c>
      <c r="M443" s="53" t="n">
        <f aca="true">NORMINV(RAND(),0,M$7)</f>
        <v>-0.255338102122466</v>
      </c>
      <c r="N443" s="53" t="n">
        <f aca="true">NORMINV(RAND(),0,N$7)</f>
        <v>-0.18809278437047</v>
      </c>
      <c r="O443" s="53" t="n">
        <f aca="false">SUM(J443:N443)</f>
        <v>-0.988066112345637</v>
      </c>
    </row>
    <row r="444" customFormat="false" ht="15" hidden="false" customHeight="false" outlineLevel="0" collapsed="false">
      <c r="A444" s="2" t="n">
        <v>436</v>
      </c>
      <c r="B444" s="53" t="n">
        <f aca="true">NORMINV(RAND(),0,B$7)</f>
        <v>-2.72605198020156</v>
      </c>
      <c r="C444" s="53" t="n">
        <f aca="true">NORMINV(RAND(),0,C$7)</f>
        <v>-0.139869725750504</v>
      </c>
      <c r="D444" s="53" t="n">
        <f aca="true">NORMINV(RAND(),0,D$7)</f>
        <v>0.830720028474313</v>
      </c>
      <c r="E444" s="53" t="n">
        <f aca="true">NORMINV(RAND(),0,E$7)</f>
        <v>0.291471708083098</v>
      </c>
      <c r="F444" s="53" t="n">
        <f aca="true">NORMINV(RAND(),0,F$7)</f>
        <v>-0.0500855421948341</v>
      </c>
      <c r="G444" s="53" t="n">
        <f aca="true">NORMINV(RAND(),0,G$7)</f>
        <v>-1.04602810046238</v>
      </c>
      <c r="H444" s="53" t="n">
        <f aca="true">NORMINV(RAND(),0,H$7)</f>
        <v>0.103608135463394</v>
      </c>
      <c r="I444" s="53" t="n">
        <f aca="false">SUM(B444:H444)</f>
        <v>-2.73623547658848</v>
      </c>
      <c r="J444" s="53" t="n">
        <f aca="true">NORMINV(RAND(),0,J$7)</f>
        <v>-1.09040967899747</v>
      </c>
      <c r="K444" s="53" t="n">
        <f aca="true">NORMINV(RAND(),0,K$7)</f>
        <v>0.172836154271076</v>
      </c>
      <c r="L444" s="53" t="n">
        <f aca="true">NORMINV(RAND(),0,L$7)</f>
        <v>-0.290665949266399</v>
      </c>
      <c r="M444" s="53" t="n">
        <f aca="true">NORMINV(RAND(),0,M$7)</f>
        <v>-0.242287164938734</v>
      </c>
      <c r="N444" s="53" t="n">
        <f aca="true">NORMINV(RAND(),0,N$7)</f>
        <v>-0.15682109723503</v>
      </c>
      <c r="O444" s="53" t="n">
        <f aca="false">SUM(J444:N444)</f>
        <v>-1.60734773616656</v>
      </c>
    </row>
    <row r="445" customFormat="false" ht="15" hidden="false" customHeight="false" outlineLevel="0" collapsed="false">
      <c r="A445" s="2" t="n">
        <v>437</v>
      </c>
      <c r="B445" s="53" t="n">
        <f aca="true">NORMINV(RAND(),0,B$7)</f>
        <v>-2.38200845596699</v>
      </c>
      <c r="C445" s="53" t="n">
        <f aca="true">NORMINV(RAND(),0,C$7)</f>
        <v>-1.14929712982214</v>
      </c>
      <c r="D445" s="53" t="n">
        <f aca="true">NORMINV(RAND(),0,D$7)</f>
        <v>5.39641841449947</v>
      </c>
      <c r="E445" s="53" t="n">
        <f aca="true">NORMINV(RAND(),0,E$7)</f>
        <v>0.364766299019762</v>
      </c>
      <c r="F445" s="53" t="n">
        <f aca="true">NORMINV(RAND(),0,F$7)</f>
        <v>-0.215265320090389</v>
      </c>
      <c r="G445" s="53" t="n">
        <f aca="true">NORMINV(RAND(),0,G$7)</f>
        <v>0.508785250254957</v>
      </c>
      <c r="H445" s="53" t="n">
        <f aca="true">NORMINV(RAND(),0,H$7)</f>
        <v>0.181616364560238</v>
      </c>
      <c r="I445" s="53" t="n">
        <f aca="false">SUM(B445:H445)</f>
        <v>2.70501542245491</v>
      </c>
      <c r="J445" s="53" t="n">
        <f aca="true">NORMINV(RAND(),0,J$7)</f>
        <v>3.85543603709722</v>
      </c>
      <c r="K445" s="53" t="n">
        <f aca="true">NORMINV(RAND(),0,K$7)</f>
        <v>-0.974465224722375</v>
      </c>
      <c r="L445" s="53" t="n">
        <f aca="true">NORMINV(RAND(),0,L$7)</f>
        <v>-0.760259288582676</v>
      </c>
      <c r="M445" s="53" t="n">
        <f aca="true">NORMINV(RAND(),0,M$7)</f>
        <v>-0.203059349851775</v>
      </c>
      <c r="N445" s="53" t="n">
        <f aca="true">NORMINV(RAND(),0,N$7)</f>
        <v>-0.405547283332856</v>
      </c>
      <c r="O445" s="53" t="n">
        <f aca="false">SUM(J445:N445)</f>
        <v>1.51210489060754</v>
      </c>
    </row>
    <row r="446" customFormat="false" ht="15" hidden="false" customHeight="false" outlineLevel="0" collapsed="false">
      <c r="A446" s="2" t="n">
        <v>438</v>
      </c>
      <c r="B446" s="53" t="n">
        <f aca="true">NORMINV(RAND(),0,B$7)</f>
        <v>2.67175688268129</v>
      </c>
      <c r="C446" s="53" t="n">
        <f aca="true">NORMINV(RAND(),0,C$7)</f>
        <v>-0.31832450033907</v>
      </c>
      <c r="D446" s="53" t="n">
        <f aca="true">NORMINV(RAND(),0,D$7)</f>
        <v>1.95859258190142</v>
      </c>
      <c r="E446" s="53" t="n">
        <f aca="true">NORMINV(RAND(),0,E$7)</f>
        <v>-0.399591808147164</v>
      </c>
      <c r="F446" s="53" t="n">
        <f aca="true">NORMINV(RAND(),0,F$7)</f>
        <v>0.220073468795672</v>
      </c>
      <c r="G446" s="53" t="n">
        <f aca="true">NORMINV(RAND(),0,G$7)</f>
        <v>-2.42288225295949</v>
      </c>
      <c r="H446" s="53" t="n">
        <f aca="true">NORMINV(RAND(),0,H$7)</f>
        <v>-0.316894049111921</v>
      </c>
      <c r="I446" s="53" t="n">
        <f aca="false">SUM(B446:H446)</f>
        <v>1.39273032282074</v>
      </c>
      <c r="J446" s="53" t="n">
        <f aca="true">NORMINV(RAND(),0,J$7)</f>
        <v>1.91025506255653</v>
      </c>
      <c r="K446" s="53" t="n">
        <f aca="true">NORMINV(RAND(),0,K$7)</f>
        <v>-0.161863914721613</v>
      </c>
      <c r="L446" s="53" t="n">
        <f aca="true">NORMINV(RAND(),0,L$7)</f>
        <v>-0.126198377636716</v>
      </c>
      <c r="M446" s="53" t="n">
        <f aca="true">NORMINV(RAND(),0,M$7)</f>
        <v>0.220467699303483</v>
      </c>
      <c r="N446" s="53" t="n">
        <f aca="true">NORMINV(RAND(),0,N$7)</f>
        <v>-0.303652817955299</v>
      </c>
      <c r="O446" s="53" t="n">
        <f aca="false">SUM(J446:N446)</f>
        <v>1.53900765154638</v>
      </c>
    </row>
    <row r="447" customFormat="false" ht="15" hidden="false" customHeight="false" outlineLevel="0" collapsed="false">
      <c r="A447" s="2" t="n">
        <v>439</v>
      </c>
      <c r="B447" s="53" t="n">
        <f aca="true">NORMINV(RAND(),0,B$7)</f>
        <v>-1.94580999017121</v>
      </c>
      <c r="C447" s="53" t="n">
        <f aca="true">NORMINV(RAND(),0,C$7)</f>
        <v>0.471526909767425</v>
      </c>
      <c r="D447" s="53" t="n">
        <f aca="true">NORMINV(RAND(),0,D$7)</f>
        <v>-0.236553339462724</v>
      </c>
      <c r="E447" s="53" t="n">
        <f aca="true">NORMINV(RAND(),0,E$7)</f>
        <v>0.0208389658152319</v>
      </c>
      <c r="F447" s="53" t="n">
        <f aca="true">NORMINV(RAND(),0,F$7)</f>
        <v>-0.10474735794128</v>
      </c>
      <c r="G447" s="53" t="n">
        <f aca="true">NORMINV(RAND(),0,G$7)</f>
        <v>-2.30526250097119</v>
      </c>
      <c r="H447" s="53" t="n">
        <f aca="true">NORMINV(RAND(),0,H$7)</f>
        <v>0.174364757765679</v>
      </c>
      <c r="I447" s="53" t="n">
        <f aca="false">SUM(B447:H447)</f>
        <v>-3.92564255519807</v>
      </c>
      <c r="J447" s="53" t="n">
        <f aca="true">NORMINV(RAND(),0,J$7)</f>
        <v>-0.686549227137829</v>
      </c>
      <c r="K447" s="53" t="n">
        <f aca="true">NORMINV(RAND(),0,K$7)</f>
        <v>-0.682752048753833</v>
      </c>
      <c r="L447" s="53" t="n">
        <f aca="true">NORMINV(RAND(),0,L$7)</f>
        <v>0.0655418834496457</v>
      </c>
      <c r="M447" s="53" t="n">
        <f aca="true">NORMINV(RAND(),0,M$7)</f>
        <v>-0.350455464434033</v>
      </c>
      <c r="N447" s="53" t="n">
        <f aca="true">NORMINV(RAND(),0,N$7)</f>
        <v>-0.075651911733366</v>
      </c>
      <c r="O447" s="53" t="n">
        <f aca="false">SUM(J447:N447)</f>
        <v>-1.72986676860942</v>
      </c>
    </row>
    <row r="448" customFormat="false" ht="15" hidden="false" customHeight="false" outlineLevel="0" collapsed="false">
      <c r="A448" s="2" t="n">
        <v>440</v>
      </c>
      <c r="B448" s="53" t="n">
        <f aca="true">NORMINV(RAND(),0,B$7)</f>
        <v>0.827184521833</v>
      </c>
      <c r="C448" s="53" t="n">
        <f aca="true">NORMINV(RAND(),0,C$7)</f>
        <v>-2.62698641875923</v>
      </c>
      <c r="D448" s="53" t="n">
        <f aca="true">NORMINV(RAND(),0,D$7)</f>
        <v>-0.230918256755659</v>
      </c>
      <c r="E448" s="53" t="n">
        <f aca="true">NORMINV(RAND(),0,E$7)</f>
        <v>-0.237734770867766</v>
      </c>
      <c r="F448" s="53" t="n">
        <f aca="true">NORMINV(RAND(),0,F$7)</f>
        <v>0.223951473487285</v>
      </c>
      <c r="G448" s="53" t="n">
        <f aca="true">NORMINV(RAND(),0,G$7)</f>
        <v>-0.624226677022541</v>
      </c>
      <c r="H448" s="53" t="n">
        <f aca="true">NORMINV(RAND(),0,H$7)</f>
        <v>-0.0884307732032309</v>
      </c>
      <c r="I448" s="53" t="n">
        <f aca="false">SUM(B448:H448)</f>
        <v>-2.75716090128814</v>
      </c>
      <c r="J448" s="53" t="n">
        <f aca="true">NORMINV(RAND(),0,J$7)</f>
        <v>1.13185963736689</v>
      </c>
      <c r="K448" s="53" t="n">
        <f aca="true">NORMINV(RAND(),0,K$7)</f>
        <v>0.675735153031043</v>
      </c>
      <c r="L448" s="53" t="n">
        <f aca="true">NORMINV(RAND(),0,L$7)</f>
        <v>-0.401041828230115</v>
      </c>
      <c r="M448" s="53" t="n">
        <f aca="true">NORMINV(RAND(),0,M$7)</f>
        <v>-0.184978141806346</v>
      </c>
      <c r="N448" s="53" t="n">
        <f aca="true">NORMINV(RAND(),0,N$7)</f>
        <v>-0.284344087862393</v>
      </c>
      <c r="O448" s="53" t="n">
        <f aca="false">SUM(J448:N448)</f>
        <v>0.937230732499075</v>
      </c>
    </row>
    <row r="449" customFormat="false" ht="15" hidden="false" customHeight="false" outlineLevel="0" collapsed="false">
      <c r="A449" s="2" t="n">
        <v>441</v>
      </c>
      <c r="B449" s="53" t="n">
        <f aca="true">NORMINV(RAND(),0,B$7)</f>
        <v>-1.14777762304451</v>
      </c>
      <c r="C449" s="53" t="n">
        <f aca="true">NORMINV(RAND(),0,C$7)</f>
        <v>2.6375329439877</v>
      </c>
      <c r="D449" s="53" t="n">
        <f aca="true">NORMINV(RAND(),0,D$7)</f>
        <v>-2.64429464724116</v>
      </c>
      <c r="E449" s="53" t="n">
        <f aca="true">NORMINV(RAND(),0,E$7)</f>
        <v>-0.630791250655919</v>
      </c>
      <c r="F449" s="53" t="n">
        <f aca="true">NORMINV(RAND(),0,F$7)</f>
        <v>0.22742844750089</v>
      </c>
      <c r="G449" s="53" t="n">
        <f aca="true">NORMINV(RAND(),0,G$7)</f>
        <v>1.83905457856213</v>
      </c>
      <c r="H449" s="53" t="n">
        <f aca="true">NORMINV(RAND(),0,H$7)</f>
        <v>-0.261130411681343</v>
      </c>
      <c r="I449" s="53" t="n">
        <f aca="false">SUM(B449:H449)</f>
        <v>0.0200220374277993</v>
      </c>
      <c r="J449" s="53" t="n">
        <f aca="true">NORMINV(RAND(),0,J$7)</f>
        <v>0.159696236552205</v>
      </c>
      <c r="K449" s="53" t="n">
        <f aca="true">NORMINV(RAND(),0,K$7)</f>
        <v>-1.08881505355842</v>
      </c>
      <c r="L449" s="53" t="n">
        <f aca="true">NORMINV(RAND(),0,L$7)</f>
        <v>-0.299398452666827</v>
      </c>
      <c r="M449" s="53" t="n">
        <f aca="true">NORMINV(RAND(),0,M$7)</f>
        <v>0.111648646411369</v>
      </c>
      <c r="N449" s="53" t="n">
        <f aca="true">NORMINV(RAND(),0,N$7)</f>
        <v>-0.194182950647015</v>
      </c>
      <c r="O449" s="53" t="n">
        <f aca="false">SUM(J449:N449)</f>
        <v>-1.31105157390869</v>
      </c>
    </row>
    <row r="450" customFormat="false" ht="15" hidden="false" customHeight="false" outlineLevel="0" collapsed="false">
      <c r="A450" s="2" t="n">
        <v>442</v>
      </c>
      <c r="B450" s="53" t="n">
        <f aca="true">NORMINV(RAND(),0,B$7)</f>
        <v>1.87253922318148</v>
      </c>
      <c r="C450" s="53" t="n">
        <f aca="true">NORMINV(RAND(),0,C$7)</f>
        <v>-2.17734155249256</v>
      </c>
      <c r="D450" s="53" t="n">
        <f aca="true">NORMINV(RAND(),0,D$7)</f>
        <v>1.59408192133376</v>
      </c>
      <c r="E450" s="53" t="n">
        <f aca="true">NORMINV(RAND(),0,E$7)</f>
        <v>0.0364343787196248</v>
      </c>
      <c r="F450" s="53" t="n">
        <f aca="true">NORMINV(RAND(),0,F$7)</f>
        <v>0.214442398232247</v>
      </c>
      <c r="G450" s="53" t="n">
        <f aca="true">NORMINV(RAND(),0,G$7)</f>
        <v>1.75387580668978</v>
      </c>
      <c r="H450" s="53" t="n">
        <f aca="true">NORMINV(RAND(),0,H$7)</f>
        <v>-0.0284508523770701</v>
      </c>
      <c r="I450" s="53" t="n">
        <f aca="false">SUM(B450:H450)</f>
        <v>3.26558132328726</v>
      </c>
      <c r="J450" s="53" t="n">
        <f aca="true">NORMINV(RAND(),0,J$7)</f>
        <v>-1.80128042678822</v>
      </c>
      <c r="K450" s="53" t="n">
        <f aca="true">NORMINV(RAND(),0,K$7)</f>
        <v>0.553809136581297</v>
      </c>
      <c r="L450" s="53" t="n">
        <f aca="true">NORMINV(RAND(),0,L$7)</f>
        <v>0.334335752991242</v>
      </c>
      <c r="M450" s="53" t="n">
        <f aca="true">NORMINV(RAND(),0,M$7)</f>
        <v>-0.381740390265918</v>
      </c>
      <c r="N450" s="53" t="n">
        <f aca="true">NORMINV(RAND(),0,N$7)</f>
        <v>0.331328862638886</v>
      </c>
      <c r="O450" s="53" t="n">
        <f aca="false">SUM(J450:N450)</f>
        <v>-0.963547064842714</v>
      </c>
    </row>
    <row r="451" customFormat="false" ht="15" hidden="false" customHeight="false" outlineLevel="0" collapsed="false">
      <c r="A451" s="2" t="n">
        <v>443</v>
      </c>
      <c r="B451" s="53" t="n">
        <f aca="true">NORMINV(RAND(),0,B$7)</f>
        <v>0.46729388717253</v>
      </c>
      <c r="C451" s="53" t="n">
        <f aca="true">NORMINV(RAND(),0,C$7)</f>
        <v>-0.245384219958794</v>
      </c>
      <c r="D451" s="53" t="n">
        <f aca="true">NORMINV(RAND(),0,D$7)</f>
        <v>-2.36509480472456</v>
      </c>
      <c r="E451" s="53" t="n">
        <f aca="true">NORMINV(RAND(),0,E$7)</f>
        <v>0.328045859206556</v>
      </c>
      <c r="F451" s="53" t="n">
        <f aca="true">NORMINV(RAND(),0,F$7)</f>
        <v>0.103011035926133</v>
      </c>
      <c r="G451" s="53" t="n">
        <f aca="true">NORMINV(RAND(),0,G$7)</f>
        <v>-0.146617076826868</v>
      </c>
      <c r="H451" s="53" t="n">
        <f aca="true">NORMINV(RAND(),0,H$7)</f>
        <v>0.486516508376236</v>
      </c>
      <c r="I451" s="53" t="n">
        <f aca="false">SUM(B451:H451)</f>
        <v>-1.37222881082877</v>
      </c>
      <c r="J451" s="53" t="n">
        <f aca="true">NORMINV(RAND(),0,J$7)</f>
        <v>2.09762012442818</v>
      </c>
      <c r="K451" s="53" t="n">
        <f aca="true">NORMINV(RAND(),0,K$7)</f>
        <v>-0.157292112610466</v>
      </c>
      <c r="L451" s="53" t="n">
        <f aca="true">NORMINV(RAND(),0,L$7)</f>
        <v>-0.412918450311811</v>
      </c>
      <c r="M451" s="53" t="n">
        <f aca="true">NORMINV(RAND(),0,M$7)</f>
        <v>-0.180070658066079</v>
      </c>
      <c r="N451" s="53" t="n">
        <f aca="true">NORMINV(RAND(),0,N$7)</f>
        <v>0.443625411842492</v>
      </c>
      <c r="O451" s="53" t="n">
        <f aca="false">SUM(J451:N451)</f>
        <v>1.79096431528231</v>
      </c>
    </row>
    <row r="452" customFormat="false" ht="15" hidden="false" customHeight="false" outlineLevel="0" collapsed="false">
      <c r="A452" s="2" t="n">
        <v>444</v>
      </c>
      <c r="B452" s="53" t="n">
        <f aca="true">NORMINV(RAND(),0,B$7)</f>
        <v>1.65530947390909</v>
      </c>
      <c r="C452" s="53" t="n">
        <f aca="true">NORMINV(RAND(),0,C$7)</f>
        <v>1.32896596101949</v>
      </c>
      <c r="D452" s="53" t="n">
        <f aca="true">NORMINV(RAND(),0,D$7)</f>
        <v>0.157131702272451</v>
      </c>
      <c r="E452" s="53" t="n">
        <f aca="true">NORMINV(RAND(),0,E$7)</f>
        <v>0.0927031919193445</v>
      </c>
      <c r="F452" s="53" t="n">
        <f aca="true">NORMINV(RAND(),0,F$7)</f>
        <v>-0.0520784183028671</v>
      </c>
      <c r="G452" s="53" t="n">
        <f aca="true">NORMINV(RAND(),0,G$7)</f>
        <v>-0.0741212549405497</v>
      </c>
      <c r="H452" s="53" t="n">
        <f aca="true">NORMINV(RAND(),0,H$7)</f>
        <v>-0.185781580553311</v>
      </c>
      <c r="I452" s="53" t="n">
        <f aca="false">SUM(B452:H452)</f>
        <v>2.92212907532365</v>
      </c>
      <c r="J452" s="53" t="n">
        <f aca="true">NORMINV(RAND(),0,J$7)</f>
        <v>1.28015002564724</v>
      </c>
      <c r="K452" s="53" t="n">
        <f aca="true">NORMINV(RAND(),0,K$7)</f>
        <v>-1.36513720538431</v>
      </c>
      <c r="L452" s="53" t="n">
        <f aca="true">NORMINV(RAND(),0,L$7)</f>
        <v>-0.108607626022715</v>
      </c>
      <c r="M452" s="53" t="n">
        <f aca="true">NORMINV(RAND(),0,M$7)</f>
        <v>0.19108732842405</v>
      </c>
      <c r="N452" s="53" t="n">
        <f aca="true">NORMINV(RAND(),0,N$7)</f>
        <v>0.451210773197147</v>
      </c>
      <c r="O452" s="53" t="n">
        <f aca="false">SUM(J452:N452)</f>
        <v>0.448703295861415</v>
      </c>
    </row>
    <row r="453" customFormat="false" ht="15" hidden="false" customHeight="false" outlineLevel="0" collapsed="false">
      <c r="A453" s="2" t="n">
        <v>445</v>
      </c>
      <c r="B453" s="53" t="n">
        <f aca="true">NORMINV(RAND(),0,B$7)</f>
        <v>-0.395653750863964</v>
      </c>
      <c r="C453" s="53" t="n">
        <f aca="true">NORMINV(RAND(),0,C$7)</f>
        <v>1.79034967742724</v>
      </c>
      <c r="D453" s="53" t="n">
        <f aca="true">NORMINV(RAND(),0,D$7)</f>
        <v>0.531607318445738</v>
      </c>
      <c r="E453" s="53" t="n">
        <f aca="true">NORMINV(RAND(),0,E$7)</f>
        <v>-0.31889450236929</v>
      </c>
      <c r="F453" s="53" t="n">
        <f aca="true">NORMINV(RAND(),0,F$7)</f>
        <v>0.243273244817383</v>
      </c>
      <c r="G453" s="53" t="n">
        <f aca="true">NORMINV(RAND(),0,G$7)</f>
        <v>0.322046432466211</v>
      </c>
      <c r="H453" s="53" t="n">
        <f aca="true">NORMINV(RAND(),0,H$7)</f>
        <v>0.251488144758637</v>
      </c>
      <c r="I453" s="53" t="n">
        <f aca="false">SUM(B453:H453)</f>
        <v>2.42421656468196</v>
      </c>
      <c r="J453" s="53" t="n">
        <f aca="true">NORMINV(RAND(),0,J$7)</f>
        <v>0.30829125445816</v>
      </c>
      <c r="K453" s="53" t="n">
        <f aca="true">NORMINV(RAND(),0,K$7)</f>
        <v>-0.336501325653942</v>
      </c>
      <c r="L453" s="53" t="n">
        <f aca="true">NORMINV(RAND(),0,L$7)</f>
        <v>0.0885514902528615</v>
      </c>
      <c r="M453" s="53" t="n">
        <f aca="true">NORMINV(RAND(),0,M$7)</f>
        <v>-0.289421927467431</v>
      </c>
      <c r="N453" s="53" t="n">
        <f aca="true">NORMINV(RAND(),0,N$7)</f>
        <v>-0.282648134018673</v>
      </c>
      <c r="O453" s="53" t="n">
        <f aca="false">SUM(J453:N453)</f>
        <v>-0.511728642429024</v>
      </c>
    </row>
    <row r="454" customFormat="false" ht="15" hidden="false" customHeight="false" outlineLevel="0" collapsed="false">
      <c r="A454" s="2" t="n">
        <v>446</v>
      </c>
      <c r="B454" s="53" t="n">
        <f aca="true">NORMINV(RAND(),0,B$7)</f>
        <v>2.04050847948945</v>
      </c>
      <c r="C454" s="53" t="n">
        <f aca="true">NORMINV(RAND(),0,C$7)</f>
        <v>-0.969423802269052</v>
      </c>
      <c r="D454" s="53" t="n">
        <f aca="true">NORMINV(RAND(),0,D$7)</f>
        <v>-0.929078018756728</v>
      </c>
      <c r="E454" s="53" t="n">
        <f aca="true">NORMINV(RAND(),0,E$7)</f>
        <v>0.18064770911772</v>
      </c>
      <c r="F454" s="53" t="n">
        <f aca="true">NORMINV(RAND(),0,F$7)</f>
        <v>-0.0648560260645763</v>
      </c>
      <c r="G454" s="53" t="n">
        <f aca="true">NORMINV(RAND(),0,G$7)</f>
        <v>-0.934889543396827</v>
      </c>
      <c r="H454" s="53" t="n">
        <f aca="true">NORMINV(RAND(),0,H$7)</f>
        <v>0.0574684031137378</v>
      </c>
      <c r="I454" s="53" t="n">
        <f aca="false">SUM(B454:H454)</f>
        <v>-0.619622798766272</v>
      </c>
      <c r="J454" s="53" t="n">
        <f aca="true">NORMINV(RAND(),0,J$7)</f>
        <v>-4.28545897976015</v>
      </c>
      <c r="K454" s="53" t="n">
        <f aca="true">NORMINV(RAND(),0,K$7)</f>
        <v>-0.722414353734622</v>
      </c>
      <c r="L454" s="53" t="n">
        <f aca="true">NORMINV(RAND(),0,L$7)</f>
        <v>-0.0924462896162985</v>
      </c>
      <c r="M454" s="53" t="n">
        <f aca="true">NORMINV(RAND(),0,M$7)</f>
        <v>0.0762708091290786</v>
      </c>
      <c r="N454" s="53" t="n">
        <f aca="true">NORMINV(RAND(),0,N$7)</f>
        <v>-0.0201588246766201</v>
      </c>
      <c r="O454" s="53" t="n">
        <f aca="false">SUM(J454:N454)</f>
        <v>-5.04420763865861</v>
      </c>
    </row>
    <row r="455" customFormat="false" ht="15" hidden="false" customHeight="false" outlineLevel="0" collapsed="false">
      <c r="A455" s="2" t="n">
        <v>447</v>
      </c>
      <c r="B455" s="53" t="n">
        <f aca="true">NORMINV(RAND(),0,B$7)</f>
        <v>1.32467966652218</v>
      </c>
      <c r="C455" s="53" t="n">
        <f aca="true">NORMINV(RAND(),0,C$7)</f>
        <v>-1.58381665766348</v>
      </c>
      <c r="D455" s="53" t="n">
        <f aca="true">NORMINV(RAND(),0,D$7)</f>
        <v>2.06854876147328</v>
      </c>
      <c r="E455" s="53" t="n">
        <f aca="true">NORMINV(RAND(),0,E$7)</f>
        <v>0.571244975233452</v>
      </c>
      <c r="F455" s="53" t="n">
        <f aca="true">NORMINV(RAND(),0,F$7)</f>
        <v>0.293054210222537</v>
      </c>
      <c r="G455" s="53" t="n">
        <f aca="true">NORMINV(RAND(),0,G$7)</f>
        <v>1.0125534728027</v>
      </c>
      <c r="H455" s="53" t="n">
        <f aca="true">NORMINV(RAND(),0,H$7)</f>
        <v>0.626038295121793</v>
      </c>
      <c r="I455" s="53" t="n">
        <f aca="false">SUM(B455:H455)</f>
        <v>4.31230272371246</v>
      </c>
      <c r="J455" s="53" t="n">
        <f aca="true">NORMINV(RAND(),0,J$7)</f>
        <v>0.0222817306854279</v>
      </c>
      <c r="K455" s="53" t="n">
        <f aca="true">NORMINV(RAND(),0,K$7)</f>
        <v>0.32494253743737</v>
      </c>
      <c r="L455" s="53" t="n">
        <f aca="true">NORMINV(RAND(),0,L$7)</f>
        <v>-0.277571236658602</v>
      </c>
      <c r="M455" s="53" t="n">
        <f aca="true">NORMINV(RAND(),0,M$7)</f>
        <v>0.160392738155024</v>
      </c>
      <c r="N455" s="53" t="n">
        <f aca="true">NORMINV(RAND(),0,N$7)</f>
        <v>0.142585566082715</v>
      </c>
      <c r="O455" s="53" t="n">
        <f aca="false">SUM(J455:N455)</f>
        <v>0.372631335701935</v>
      </c>
    </row>
    <row r="456" customFormat="false" ht="15" hidden="false" customHeight="false" outlineLevel="0" collapsed="false">
      <c r="A456" s="2" t="n">
        <v>448</v>
      </c>
      <c r="B456" s="53" t="n">
        <f aca="true">NORMINV(RAND(),0,B$7)</f>
        <v>0.793799175568677</v>
      </c>
      <c r="C456" s="53" t="n">
        <f aca="true">NORMINV(RAND(),0,C$7)</f>
        <v>-2.95469235155762</v>
      </c>
      <c r="D456" s="53" t="n">
        <f aca="true">NORMINV(RAND(),0,D$7)</f>
        <v>1.97616776707396</v>
      </c>
      <c r="E456" s="53" t="n">
        <f aca="true">NORMINV(RAND(),0,E$7)</f>
        <v>0.0197387896889339</v>
      </c>
      <c r="F456" s="53" t="n">
        <f aca="true">NORMINV(RAND(),0,F$7)</f>
        <v>-0.180485398977813</v>
      </c>
      <c r="G456" s="53" t="n">
        <f aca="true">NORMINV(RAND(),0,G$7)</f>
        <v>0.569303873534097</v>
      </c>
      <c r="H456" s="53" t="n">
        <f aca="true">NORMINV(RAND(),0,H$7)</f>
        <v>0.170625956446595</v>
      </c>
      <c r="I456" s="53" t="n">
        <f aca="false">SUM(B456:H456)</f>
        <v>0.394457811776834</v>
      </c>
      <c r="J456" s="53" t="n">
        <f aca="true">NORMINV(RAND(),0,J$7)</f>
        <v>-1.82873348943633</v>
      </c>
      <c r="K456" s="53" t="n">
        <f aca="true">NORMINV(RAND(),0,K$7)</f>
        <v>-0.20806980448104</v>
      </c>
      <c r="L456" s="53" t="n">
        <f aca="true">NORMINV(RAND(),0,L$7)</f>
        <v>0.555903769632043</v>
      </c>
      <c r="M456" s="53" t="n">
        <f aca="true">NORMINV(RAND(),0,M$7)</f>
        <v>-0.0709470837240278</v>
      </c>
      <c r="N456" s="53" t="n">
        <f aca="true">NORMINV(RAND(),0,N$7)</f>
        <v>-0.321162095968088</v>
      </c>
      <c r="O456" s="53" t="n">
        <f aca="false">SUM(J456:N456)</f>
        <v>-1.87300870397744</v>
      </c>
    </row>
    <row r="457" customFormat="false" ht="15" hidden="false" customHeight="false" outlineLevel="0" collapsed="false">
      <c r="A457" s="2" t="n">
        <v>449</v>
      </c>
      <c r="B457" s="53" t="n">
        <f aca="true">NORMINV(RAND(),0,B$7)</f>
        <v>-2.80249491526528</v>
      </c>
      <c r="C457" s="53" t="n">
        <f aca="true">NORMINV(RAND(),0,C$7)</f>
        <v>1.67203067362035</v>
      </c>
      <c r="D457" s="53" t="n">
        <f aca="true">NORMINV(RAND(),0,D$7)</f>
        <v>0.287887746276935</v>
      </c>
      <c r="E457" s="53" t="n">
        <f aca="true">NORMINV(RAND(),0,E$7)</f>
        <v>-0.281870637127942</v>
      </c>
      <c r="F457" s="53" t="n">
        <f aca="true">NORMINV(RAND(),0,F$7)</f>
        <v>0.160646803283768</v>
      </c>
      <c r="G457" s="53" t="n">
        <f aca="true">NORMINV(RAND(),0,G$7)</f>
        <v>-0.546066999174966</v>
      </c>
      <c r="H457" s="53" t="n">
        <f aca="true">NORMINV(RAND(),0,H$7)</f>
        <v>0.109231129592311</v>
      </c>
      <c r="I457" s="53" t="n">
        <f aca="false">SUM(B457:H457)</f>
        <v>-1.40063619879482</v>
      </c>
      <c r="J457" s="53" t="n">
        <f aca="true">NORMINV(RAND(),0,J$7)</f>
        <v>-1.5157416934372</v>
      </c>
      <c r="K457" s="53" t="n">
        <f aca="true">NORMINV(RAND(),0,K$7)</f>
        <v>0.428581058253199</v>
      </c>
      <c r="L457" s="53" t="n">
        <f aca="true">NORMINV(RAND(),0,L$7)</f>
        <v>-0.0917380511963993</v>
      </c>
      <c r="M457" s="53" t="n">
        <f aca="true">NORMINV(RAND(),0,M$7)</f>
        <v>-0.153919265680434</v>
      </c>
      <c r="N457" s="53" t="n">
        <f aca="true">NORMINV(RAND(),0,N$7)</f>
        <v>-0.0401387580599645</v>
      </c>
      <c r="O457" s="53" t="n">
        <f aca="false">SUM(J457:N457)</f>
        <v>-1.3729567101208</v>
      </c>
    </row>
    <row r="458" customFormat="false" ht="15" hidden="false" customHeight="false" outlineLevel="0" collapsed="false">
      <c r="A458" s="2" t="n">
        <v>450</v>
      </c>
      <c r="B458" s="53" t="n">
        <f aca="true">NORMINV(RAND(),0,B$7)</f>
        <v>0.516097742381453</v>
      </c>
      <c r="C458" s="53" t="n">
        <f aca="true">NORMINV(RAND(),0,C$7)</f>
        <v>0.584257092747294</v>
      </c>
      <c r="D458" s="53" t="n">
        <f aca="true">NORMINV(RAND(),0,D$7)</f>
        <v>0.542524318496943</v>
      </c>
      <c r="E458" s="53" t="n">
        <f aca="true">NORMINV(RAND(),0,E$7)</f>
        <v>0.211475344294507</v>
      </c>
      <c r="F458" s="53" t="n">
        <f aca="true">NORMINV(RAND(),0,F$7)</f>
        <v>0.347399756092608</v>
      </c>
      <c r="G458" s="53" t="n">
        <f aca="true">NORMINV(RAND(),0,G$7)</f>
        <v>1.64261169276395</v>
      </c>
      <c r="H458" s="53" t="n">
        <f aca="true">NORMINV(RAND(),0,H$7)</f>
        <v>-0.16239084020457</v>
      </c>
      <c r="I458" s="53" t="n">
        <f aca="false">SUM(B458:H458)</f>
        <v>3.68197510657218</v>
      </c>
      <c r="J458" s="53" t="n">
        <f aca="true">NORMINV(RAND(),0,J$7)</f>
        <v>3.52547757570241</v>
      </c>
      <c r="K458" s="53" t="n">
        <f aca="true">NORMINV(RAND(),0,K$7)</f>
        <v>0.996759519910488</v>
      </c>
      <c r="L458" s="53" t="n">
        <f aca="true">NORMINV(RAND(),0,L$7)</f>
        <v>0.256966035825858</v>
      </c>
      <c r="M458" s="53" t="n">
        <f aca="true">NORMINV(RAND(),0,M$7)</f>
        <v>0.0669519673649977</v>
      </c>
      <c r="N458" s="53" t="n">
        <f aca="true">NORMINV(RAND(),0,N$7)</f>
        <v>-0.129702760683056</v>
      </c>
      <c r="O458" s="53" t="n">
        <f aca="false">SUM(J458:N458)</f>
        <v>4.7164523381207</v>
      </c>
    </row>
    <row r="459" customFormat="false" ht="15" hidden="false" customHeight="false" outlineLevel="0" collapsed="false">
      <c r="A459" s="2" t="n">
        <v>451</v>
      </c>
      <c r="B459" s="53" t="n">
        <f aca="true">NORMINV(RAND(),0,B$7)</f>
        <v>-0.943268974726676</v>
      </c>
      <c r="C459" s="53" t="n">
        <f aca="true">NORMINV(RAND(),0,C$7)</f>
        <v>-1.25337653471317</v>
      </c>
      <c r="D459" s="53" t="n">
        <f aca="true">NORMINV(RAND(),0,D$7)</f>
        <v>0.893146949554033</v>
      </c>
      <c r="E459" s="53" t="n">
        <f aca="true">NORMINV(RAND(),0,E$7)</f>
        <v>0.0136828262715063</v>
      </c>
      <c r="F459" s="53" t="n">
        <f aca="true">NORMINV(RAND(),0,F$7)</f>
        <v>0.0325793952204279</v>
      </c>
      <c r="G459" s="53" t="n">
        <f aca="true">NORMINV(RAND(),0,G$7)</f>
        <v>0.0540844335285696</v>
      </c>
      <c r="H459" s="53" t="n">
        <f aca="true">NORMINV(RAND(),0,H$7)</f>
        <v>0.0388214964775101</v>
      </c>
      <c r="I459" s="53" t="n">
        <f aca="false">SUM(B459:H459)</f>
        <v>-1.1643304083878</v>
      </c>
      <c r="J459" s="53" t="n">
        <f aca="true">NORMINV(RAND(),0,J$7)</f>
        <v>-3.08814239043172</v>
      </c>
      <c r="K459" s="53" t="n">
        <f aca="true">NORMINV(RAND(),0,K$7)</f>
        <v>0.00187386596662166</v>
      </c>
      <c r="L459" s="53" t="n">
        <f aca="true">NORMINV(RAND(),0,L$7)</f>
        <v>0.438673596877149</v>
      </c>
      <c r="M459" s="53" t="n">
        <f aca="true">NORMINV(RAND(),0,M$7)</f>
        <v>-0.20836841671778</v>
      </c>
      <c r="N459" s="53" t="n">
        <f aca="true">NORMINV(RAND(),0,N$7)</f>
        <v>0.184820761520766</v>
      </c>
      <c r="O459" s="53" t="n">
        <f aca="false">SUM(J459:N459)</f>
        <v>-2.67114258278496</v>
      </c>
    </row>
    <row r="460" customFormat="false" ht="15" hidden="false" customHeight="false" outlineLevel="0" collapsed="false">
      <c r="A460" s="2" t="n">
        <v>452</v>
      </c>
      <c r="B460" s="53" t="n">
        <f aca="true">NORMINV(RAND(),0,B$7)</f>
        <v>-3.34175920960558</v>
      </c>
      <c r="C460" s="53" t="n">
        <f aca="true">NORMINV(RAND(),0,C$7)</f>
        <v>2.1935988698505</v>
      </c>
      <c r="D460" s="53" t="n">
        <f aca="true">NORMINV(RAND(),0,D$7)</f>
        <v>3.7200799710535</v>
      </c>
      <c r="E460" s="53" t="n">
        <f aca="true">NORMINV(RAND(),0,E$7)</f>
        <v>-0.56414812231107</v>
      </c>
      <c r="F460" s="53" t="n">
        <f aca="true">NORMINV(RAND(),0,F$7)</f>
        <v>0.24818566812295</v>
      </c>
      <c r="G460" s="53" t="n">
        <f aca="true">NORMINV(RAND(),0,G$7)</f>
        <v>1.65069854647272</v>
      </c>
      <c r="H460" s="53" t="n">
        <f aca="true">NORMINV(RAND(),0,H$7)</f>
        <v>0.341170416082139</v>
      </c>
      <c r="I460" s="53" t="n">
        <f aca="false">SUM(B460:H460)</f>
        <v>4.24782613966516</v>
      </c>
      <c r="J460" s="53" t="n">
        <f aca="true">NORMINV(RAND(),0,J$7)</f>
        <v>1.79193428286418</v>
      </c>
      <c r="K460" s="53" t="n">
        <f aca="true">NORMINV(RAND(),0,K$7)</f>
        <v>0.395805405200215</v>
      </c>
      <c r="L460" s="53" t="n">
        <f aca="true">NORMINV(RAND(),0,L$7)</f>
        <v>-0.122459154316374</v>
      </c>
      <c r="M460" s="53" t="n">
        <f aca="true">NORMINV(RAND(),0,M$7)</f>
        <v>0.209431750677866</v>
      </c>
      <c r="N460" s="53" t="n">
        <f aca="true">NORMINV(RAND(),0,N$7)</f>
        <v>0.933467559056882</v>
      </c>
      <c r="O460" s="53" t="n">
        <f aca="false">SUM(J460:N460)</f>
        <v>3.20817984348277</v>
      </c>
    </row>
    <row r="461" customFormat="false" ht="15" hidden="false" customHeight="false" outlineLevel="0" collapsed="false">
      <c r="A461" s="2" t="n">
        <v>453</v>
      </c>
      <c r="B461" s="53" t="n">
        <f aca="true">NORMINV(RAND(),0,B$7)</f>
        <v>2.01335473149569</v>
      </c>
      <c r="C461" s="53" t="n">
        <f aca="true">NORMINV(RAND(),0,C$7)</f>
        <v>-1.93075427718889</v>
      </c>
      <c r="D461" s="53" t="n">
        <f aca="true">NORMINV(RAND(),0,D$7)</f>
        <v>0.9625621797603</v>
      </c>
      <c r="E461" s="53" t="n">
        <f aca="true">NORMINV(RAND(),0,E$7)</f>
        <v>0.119923902959119</v>
      </c>
      <c r="F461" s="53" t="n">
        <f aca="true">NORMINV(RAND(),0,F$7)</f>
        <v>-0.330455230940102</v>
      </c>
      <c r="G461" s="53" t="n">
        <f aca="true">NORMINV(RAND(),0,G$7)</f>
        <v>1.00582819752249</v>
      </c>
      <c r="H461" s="53" t="n">
        <f aca="true">NORMINV(RAND(),0,H$7)</f>
        <v>0.0555717719243899</v>
      </c>
      <c r="I461" s="53" t="n">
        <f aca="false">SUM(B461:H461)</f>
        <v>1.896031275533</v>
      </c>
      <c r="J461" s="53" t="n">
        <f aca="true">NORMINV(RAND(),0,J$7)</f>
        <v>-1.73115751810148</v>
      </c>
      <c r="K461" s="53" t="n">
        <f aca="true">NORMINV(RAND(),0,K$7)</f>
        <v>-0.619707122654551</v>
      </c>
      <c r="L461" s="53" t="n">
        <f aca="true">NORMINV(RAND(),0,L$7)</f>
        <v>0.316189824675832</v>
      </c>
      <c r="M461" s="53" t="n">
        <f aca="true">NORMINV(RAND(),0,M$7)</f>
        <v>-0.219028773128919</v>
      </c>
      <c r="N461" s="53" t="n">
        <f aca="true">NORMINV(RAND(),0,N$7)</f>
        <v>0.139877926886541</v>
      </c>
      <c r="O461" s="53" t="n">
        <f aca="false">SUM(J461:N461)</f>
        <v>-2.11382566232258</v>
      </c>
    </row>
    <row r="462" customFormat="false" ht="15" hidden="false" customHeight="false" outlineLevel="0" collapsed="false">
      <c r="A462" s="2" t="n">
        <v>454</v>
      </c>
      <c r="B462" s="53" t="n">
        <f aca="true">NORMINV(RAND(),0,B$7)</f>
        <v>0.573707052191533</v>
      </c>
      <c r="C462" s="53" t="n">
        <f aca="true">NORMINV(RAND(),0,C$7)</f>
        <v>3.08061842539784</v>
      </c>
      <c r="D462" s="53" t="n">
        <f aca="true">NORMINV(RAND(),0,D$7)</f>
        <v>-1.00685680874329</v>
      </c>
      <c r="E462" s="53" t="n">
        <f aca="true">NORMINV(RAND(),0,E$7)</f>
        <v>-0.243870320166115</v>
      </c>
      <c r="F462" s="53" t="n">
        <f aca="true">NORMINV(RAND(),0,F$7)</f>
        <v>0.369291411657618</v>
      </c>
      <c r="G462" s="53" t="n">
        <f aca="true">NORMINV(RAND(),0,G$7)</f>
        <v>-0.947269063847033</v>
      </c>
      <c r="H462" s="53" t="n">
        <f aca="true">NORMINV(RAND(),0,H$7)</f>
        <v>-0.0963582866010521</v>
      </c>
      <c r="I462" s="53" t="n">
        <f aca="false">SUM(B462:H462)</f>
        <v>1.7292624098895</v>
      </c>
      <c r="J462" s="53" t="n">
        <f aca="true">NORMINV(RAND(),0,J$7)</f>
        <v>0.746259479288519</v>
      </c>
      <c r="K462" s="53" t="n">
        <f aca="true">NORMINV(RAND(),0,K$7)</f>
        <v>0.628743380928252</v>
      </c>
      <c r="L462" s="53" t="n">
        <f aca="true">NORMINV(RAND(),0,L$7)</f>
        <v>0.419626993904002</v>
      </c>
      <c r="M462" s="53" t="n">
        <f aca="true">NORMINV(RAND(),0,M$7)</f>
        <v>-0.0767745948172088</v>
      </c>
      <c r="N462" s="53" t="n">
        <f aca="true">NORMINV(RAND(),0,N$7)</f>
        <v>-0.28803257281807</v>
      </c>
      <c r="O462" s="53" t="n">
        <f aca="false">SUM(J462:N462)</f>
        <v>1.4298226864855</v>
      </c>
    </row>
    <row r="463" customFormat="false" ht="15" hidden="false" customHeight="false" outlineLevel="0" collapsed="false">
      <c r="A463" s="2" t="n">
        <v>455</v>
      </c>
      <c r="B463" s="53" t="n">
        <f aca="true">NORMINV(RAND(),0,B$7)</f>
        <v>1.37750851628078</v>
      </c>
      <c r="C463" s="53" t="n">
        <f aca="true">NORMINV(RAND(),0,C$7)</f>
        <v>2.05131300243571</v>
      </c>
      <c r="D463" s="53" t="n">
        <f aca="true">NORMINV(RAND(),0,D$7)</f>
        <v>4.5819011754599</v>
      </c>
      <c r="E463" s="53" t="n">
        <f aca="true">NORMINV(RAND(),0,E$7)</f>
        <v>-0.0757009609327767</v>
      </c>
      <c r="F463" s="53" t="n">
        <f aca="true">NORMINV(RAND(),0,F$7)</f>
        <v>0.397428535945307</v>
      </c>
      <c r="G463" s="53" t="n">
        <f aca="true">NORMINV(RAND(),0,G$7)</f>
        <v>0.428339732774513</v>
      </c>
      <c r="H463" s="53" t="n">
        <f aca="true">NORMINV(RAND(),0,H$7)</f>
        <v>0.247455512085881</v>
      </c>
      <c r="I463" s="53" t="n">
        <f aca="false">SUM(B463:H463)</f>
        <v>9.00824551404931</v>
      </c>
      <c r="J463" s="53" t="n">
        <f aca="true">NORMINV(RAND(),0,J$7)</f>
        <v>-0.940515268549707</v>
      </c>
      <c r="K463" s="53" t="n">
        <f aca="true">NORMINV(RAND(),0,K$7)</f>
        <v>0.092227713886473</v>
      </c>
      <c r="L463" s="53" t="n">
        <f aca="true">NORMINV(RAND(),0,L$7)</f>
        <v>-0.0676274132555762</v>
      </c>
      <c r="M463" s="53" t="n">
        <f aca="true">NORMINV(RAND(),0,M$7)</f>
        <v>-0.000860337807902515</v>
      </c>
      <c r="N463" s="53" t="n">
        <f aca="true">NORMINV(RAND(),0,N$7)</f>
        <v>0.0469807234734879</v>
      </c>
      <c r="O463" s="53" t="n">
        <f aca="false">SUM(J463:N463)</f>
        <v>-0.869794582253225</v>
      </c>
    </row>
    <row r="464" customFormat="false" ht="15" hidden="false" customHeight="false" outlineLevel="0" collapsed="false">
      <c r="A464" s="2" t="n">
        <v>456</v>
      </c>
      <c r="B464" s="53" t="n">
        <f aca="true">NORMINV(RAND(),0,B$7)</f>
        <v>-1.4351012427234</v>
      </c>
      <c r="C464" s="53" t="n">
        <f aca="true">NORMINV(RAND(),0,C$7)</f>
        <v>1.15525481498591</v>
      </c>
      <c r="D464" s="53" t="n">
        <f aca="true">NORMINV(RAND(),0,D$7)</f>
        <v>3.40378416021158</v>
      </c>
      <c r="E464" s="53" t="n">
        <f aca="true">NORMINV(RAND(),0,E$7)</f>
        <v>0.650329580861028</v>
      </c>
      <c r="F464" s="53" t="n">
        <f aca="true">NORMINV(RAND(),0,F$7)</f>
        <v>-0.0533193626295052</v>
      </c>
      <c r="G464" s="53" t="n">
        <f aca="true">NORMINV(RAND(),0,G$7)</f>
        <v>0.405601786380414</v>
      </c>
      <c r="H464" s="53" t="n">
        <f aca="true">NORMINV(RAND(),0,H$7)</f>
        <v>-0.893656127424246</v>
      </c>
      <c r="I464" s="53" t="n">
        <f aca="false">SUM(B464:H464)</f>
        <v>3.23289360966178</v>
      </c>
      <c r="J464" s="53" t="n">
        <f aca="true">NORMINV(RAND(),0,J$7)</f>
        <v>-0.506734600089965</v>
      </c>
      <c r="K464" s="53" t="n">
        <f aca="true">NORMINV(RAND(),0,K$7)</f>
        <v>0.202792656172986</v>
      </c>
      <c r="L464" s="53" t="n">
        <f aca="true">NORMINV(RAND(),0,L$7)</f>
        <v>-0.0337871150280536</v>
      </c>
      <c r="M464" s="53" t="n">
        <f aca="true">NORMINV(RAND(),0,M$7)</f>
        <v>-0.317170772680299</v>
      </c>
      <c r="N464" s="53" t="n">
        <f aca="true">NORMINV(RAND(),0,N$7)</f>
        <v>-0.147740083766732</v>
      </c>
      <c r="O464" s="53" t="n">
        <f aca="false">SUM(J464:N464)</f>
        <v>-0.802639915392064</v>
      </c>
    </row>
    <row r="465" customFormat="false" ht="15" hidden="false" customHeight="false" outlineLevel="0" collapsed="false">
      <c r="A465" s="2" t="n">
        <v>457</v>
      </c>
      <c r="B465" s="53" t="n">
        <f aca="true">NORMINV(RAND(),0,B$7)</f>
        <v>0.528794598846206</v>
      </c>
      <c r="C465" s="53" t="n">
        <f aca="true">NORMINV(RAND(),0,C$7)</f>
        <v>-0.176038321384812</v>
      </c>
      <c r="D465" s="53" t="n">
        <f aca="true">NORMINV(RAND(),0,D$7)</f>
        <v>-3.44064920479901</v>
      </c>
      <c r="E465" s="53" t="n">
        <f aca="true">NORMINV(RAND(),0,E$7)</f>
        <v>0.463978432512942</v>
      </c>
      <c r="F465" s="53" t="n">
        <f aca="true">NORMINV(RAND(),0,F$7)</f>
        <v>-0.244066213784761</v>
      </c>
      <c r="G465" s="53" t="n">
        <f aca="true">NORMINV(RAND(),0,G$7)</f>
        <v>0.542111457933023</v>
      </c>
      <c r="H465" s="53" t="n">
        <f aca="true">NORMINV(RAND(),0,H$7)</f>
        <v>-0.320337593577725</v>
      </c>
      <c r="I465" s="53" t="n">
        <f aca="false">SUM(B465:H465)</f>
        <v>-2.64620684425413</v>
      </c>
      <c r="J465" s="53" t="n">
        <f aca="true">NORMINV(RAND(),0,J$7)</f>
        <v>1.51150322747218</v>
      </c>
      <c r="K465" s="53" t="n">
        <f aca="true">NORMINV(RAND(),0,K$7)</f>
        <v>-0.581908990096045</v>
      </c>
      <c r="L465" s="53" t="n">
        <f aca="true">NORMINV(RAND(),0,L$7)</f>
        <v>-0.693045917380901</v>
      </c>
      <c r="M465" s="53" t="n">
        <f aca="true">NORMINV(RAND(),0,M$7)</f>
        <v>0.265548699962369</v>
      </c>
      <c r="N465" s="53" t="n">
        <f aca="true">NORMINV(RAND(),0,N$7)</f>
        <v>-0.424353631139806</v>
      </c>
      <c r="O465" s="53" t="n">
        <f aca="false">SUM(J465:N465)</f>
        <v>0.0777433888177948</v>
      </c>
    </row>
    <row r="466" customFormat="false" ht="15" hidden="false" customHeight="false" outlineLevel="0" collapsed="false">
      <c r="A466" s="2" t="n">
        <v>458</v>
      </c>
      <c r="B466" s="53" t="n">
        <f aca="true">NORMINV(RAND(),0,B$7)</f>
        <v>0.693517116342605</v>
      </c>
      <c r="C466" s="53" t="n">
        <f aca="true">NORMINV(RAND(),0,C$7)</f>
        <v>-0.490224827074451</v>
      </c>
      <c r="D466" s="53" t="n">
        <f aca="true">NORMINV(RAND(),0,D$7)</f>
        <v>-0.209687775030854</v>
      </c>
      <c r="E466" s="53" t="n">
        <f aca="true">NORMINV(RAND(),0,E$7)</f>
        <v>-0.279594420141201</v>
      </c>
      <c r="F466" s="53" t="n">
        <f aca="true">NORMINV(RAND(),0,F$7)</f>
        <v>0.601248327193333</v>
      </c>
      <c r="G466" s="53" t="n">
        <f aca="true">NORMINV(RAND(),0,G$7)</f>
        <v>1.67770943169922</v>
      </c>
      <c r="H466" s="53" t="n">
        <f aca="true">NORMINV(RAND(),0,H$7)</f>
        <v>-0.510400025429437</v>
      </c>
      <c r="I466" s="53" t="n">
        <f aca="false">SUM(B466:H466)</f>
        <v>1.48256782755922</v>
      </c>
      <c r="J466" s="53" t="n">
        <f aca="true">NORMINV(RAND(),0,J$7)</f>
        <v>-3.46658261197837</v>
      </c>
      <c r="K466" s="53" t="n">
        <f aca="true">NORMINV(RAND(),0,K$7)</f>
        <v>0.44395405301197</v>
      </c>
      <c r="L466" s="53" t="n">
        <f aca="true">NORMINV(RAND(),0,L$7)</f>
        <v>0.209116415388188</v>
      </c>
      <c r="M466" s="53" t="n">
        <f aca="true">NORMINV(RAND(),0,M$7)</f>
        <v>-0.145133720610722</v>
      </c>
      <c r="N466" s="53" t="n">
        <f aca="true">NORMINV(RAND(),0,N$7)</f>
        <v>-0.0961543079701342</v>
      </c>
      <c r="O466" s="53" t="n">
        <f aca="false">SUM(J466:N466)</f>
        <v>-3.05480017215907</v>
      </c>
    </row>
    <row r="467" customFormat="false" ht="15" hidden="false" customHeight="false" outlineLevel="0" collapsed="false">
      <c r="A467" s="2" t="n">
        <v>459</v>
      </c>
      <c r="B467" s="53" t="n">
        <f aca="true">NORMINV(RAND(),0,B$7)</f>
        <v>-2.72166452808146</v>
      </c>
      <c r="C467" s="53" t="n">
        <f aca="true">NORMINV(RAND(),0,C$7)</f>
        <v>-0.502296510325959</v>
      </c>
      <c r="D467" s="53" t="n">
        <f aca="true">NORMINV(RAND(),0,D$7)</f>
        <v>-0.427751353234566</v>
      </c>
      <c r="E467" s="53" t="n">
        <f aca="true">NORMINV(RAND(),0,E$7)</f>
        <v>0.150066049749725</v>
      </c>
      <c r="F467" s="53" t="n">
        <f aca="true">NORMINV(RAND(),0,F$7)</f>
        <v>0.294649144427987</v>
      </c>
      <c r="G467" s="53" t="n">
        <f aca="true">NORMINV(RAND(),0,G$7)</f>
        <v>-0.0415343126090885</v>
      </c>
      <c r="H467" s="53" t="n">
        <f aca="true">NORMINV(RAND(),0,H$7)</f>
        <v>0.0607172186146901</v>
      </c>
      <c r="I467" s="53" t="n">
        <f aca="false">SUM(B467:H467)</f>
        <v>-3.18781429145867</v>
      </c>
      <c r="J467" s="53" t="n">
        <f aca="true">NORMINV(RAND(),0,J$7)</f>
        <v>0.470500339493895</v>
      </c>
      <c r="K467" s="53" t="n">
        <f aca="true">NORMINV(RAND(),0,K$7)</f>
        <v>-1.23818540607079</v>
      </c>
      <c r="L467" s="53" t="n">
        <f aca="true">NORMINV(RAND(),0,L$7)</f>
        <v>-0.108341698536162</v>
      </c>
      <c r="M467" s="53" t="n">
        <f aca="true">NORMINV(RAND(),0,M$7)</f>
        <v>-0.0995186506021291</v>
      </c>
      <c r="N467" s="53" t="n">
        <f aca="true">NORMINV(RAND(),0,N$7)</f>
        <v>0.0381960298082856</v>
      </c>
      <c r="O467" s="53" t="n">
        <f aca="false">SUM(J467:N467)</f>
        <v>-0.937349385906896</v>
      </c>
    </row>
    <row r="468" customFormat="false" ht="15" hidden="false" customHeight="false" outlineLevel="0" collapsed="false">
      <c r="A468" s="2" t="n">
        <v>460</v>
      </c>
      <c r="B468" s="53" t="n">
        <f aca="true">NORMINV(RAND(),0,B$7)</f>
        <v>-0.298726966435268</v>
      </c>
      <c r="C468" s="53" t="n">
        <f aca="true">NORMINV(RAND(),0,C$7)</f>
        <v>1.23898547740563</v>
      </c>
      <c r="D468" s="53" t="n">
        <f aca="true">NORMINV(RAND(),0,D$7)</f>
        <v>-1.88015293659401</v>
      </c>
      <c r="E468" s="53" t="n">
        <f aca="true">NORMINV(RAND(),0,E$7)</f>
        <v>-0.715461166698292</v>
      </c>
      <c r="F468" s="53" t="n">
        <f aca="true">NORMINV(RAND(),0,F$7)</f>
        <v>0.0161271292111174</v>
      </c>
      <c r="G468" s="53" t="n">
        <f aca="true">NORMINV(RAND(),0,G$7)</f>
        <v>-2.36035098270793</v>
      </c>
      <c r="H468" s="53" t="n">
        <f aca="true">NORMINV(RAND(),0,H$7)</f>
        <v>-0.371899994208031</v>
      </c>
      <c r="I468" s="53" t="n">
        <f aca="false">SUM(B468:H468)</f>
        <v>-4.37147944002677</v>
      </c>
      <c r="J468" s="53" t="n">
        <f aca="true">NORMINV(RAND(),0,J$7)</f>
        <v>-1.66440086083125</v>
      </c>
      <c r="K468" s="53" t="n">
        <f aca="true">NORMINV(RAND(),0,K$7)</f>
        <v>0.256172466768308</v>
      </c>
      <c r="L468" s="53" t="n">
        <f aca="true">NORMINV(RAND(),0,L$7)</f>
        <v>-0.0362925623250313</v>
      </c>
      <c r="M468" s="53" t="n">
        <f aca="true">NORMINV(RAND(),0,M$7)</f>
        <v>-0.109646128347748</v>
      </c>
      <c r="N468" s="53" t="n">
        <f aca="true">NORMINV(RAND(),0,N$7)</f>
        <v>-0.371858140716608</v>
      </c>
      <c r="O468" s="53" t="n">
        <f aca="false">SUM(J468:N468)</f>
        <v>-1.92602522545233</v>
      </c>
    </row>
    <row r="469" customFormat="false" ht="15" hidden="false" customHeight="false" outlineLevel="0" collapsed="false">
      <c r="A469" s="2" t="n">
        <v>461</v>
      </c>
      <c r="B469" s="53" t="n">
        <f aca="true">NORMINV(RAND(),0,B$7)</f>
        <v>-0.251074403816872</v>
      </c>
      <c r="C469" s="53" t="n">
        <f aca="true">NORMINV(RAND(),0,C$7)</f>
        <v>1.09665752605457</v>
      </c>
      <c r="D469" s="53" t="n">
        <f aca="true">NORMINV(RAND(),0,D$7)</f>
        <v>-3.04470838314948</v>
      </c>
      <c r="E469" s="53" t="n">
        <f aca="true">NORMINV(RAND(),0,E$7)</f>
        <v>0.23277083915459</v>
      </c>
      <c r="F469" s="53" t="n">
        <f aca="true">NORMINV(RAND(),0,F$7)</f>
        <v>-0.0180314988664975</v>
      </c>
      <c r="G469" s="53" t="n">
        <f aca="true">NORMINV(RAND(),0,G$7)</f>
        <v>0.746237638880661</v>
      </c>
      <c r="H469" s="53" t="n">
        <f aca="true">NORMINV(RAND(),0,H$7)</f>
        <v>-0.190115056879301</v>
      </c>
      <c r="I469" s="53" t="n">
        <f aca="false">SUM(B469:H469)</f>
        <v>-1.42826333862232</v>
      </c>
      <c r="J469" s="53" t="n">
        <f aca="true">NORMINV(RAND(),0,J$7)</f>
        <v>1.16964268640605</v>
      </c>
      <c r="K469" s="53" t="n">
        <f aca="true">NORMINV(RAND(),0,K$7)</f>
        <v>0.659785048510198</v>
      </c>
      <c r="L469" s="53" t="n">
        <f aca="true">NORMINV(RAND(),0,L$7)</f>
        <v>-0.30189710776263</v>
      </c>
      <c r="M469" s="53" t="n">
        <f aca="true">NORMINV(RAND(),0,M$7)</f>
        <v>0.0343073487249984</v>
      </c>
      <c r="N469" s="53" t="n">
        <f aca="true">NORMINV(RAND(),0,N$7)</f>
        <v>0.223357049010556</v>
      </c>
      <c r="O469" s="53" t="n">
        <f aca="false">SUM(J469:N469)</f>
        <v>1.78519502488917</v>
      </c>
    </row>
    <row r="470" customFormat="false" ht="15" hidden="false" customHeight="false" outlineLevel="0" collapsed="false">
      <c r="A470" s="2" t="n">
        <v>462</v>
      </c>
      <c r="B470" s="53" t="n">
        <f aca="true">NORMINV(RAND(),0,B$7)</f>
        <v>0.785098705546479</v>
      </c>
      <c r="C470" s="53" t="n">
        <f aca="true">NORMINV(RAND(),0,C$7)</f>
        <v>0.90140011898903</v>
      </c>
      <c r="D470" s="53" t="n">
        <f aca="true">NORMINV(RAND(),0,D$7)</f>
        <v>-2.37383081106809</v>
      </c>
      <c r="E470" s="53" t="n">
        <f aca="true">NORMINV(RAND(),0,E$7)</f>
        <v>-0.487592546008826</v>
      </c>
      <c r="F470" s="53" t="n">
        <f aca="true">NORMINV(RAND(),0,F$7)</f>
        <v>-0.048862462921681</v>
      </c>
      <c r="G470" s="53" t="n">
        <f aca="true">NORMINV(RAND(),0,G$7)</f>
        <v>-0.358583857312661</v>
      </c>
      <c r="H470" s="53" t="n">
        <f aca="true">NORMINV(RAND(),0,H$7)</f>
        <v>-0.0310094625043224</v>
      </c>
      <c r="I470" s="53" t="n">
        <f aca="false">SUM(B470:H470)</f>
        <v>-1.61338031528007</v>
      </c>
      <c r="J470" s="53" t="n">
        <f aca="true">NORMINV(RAND(),0,J$7)</f>
        <v>0.503461118616433</v>
      </c>
      <c r="K470" s="53" t="n">
        <f aca="true">NORMINV(RAND(),0,K$7)</f>
        <v>0.0650553619871748</v>
      </c>
      <c r="L470" s="53" t="n">
        <f aca="true">NORMINV(RAND(),0,L$7)</f>
        <v>-0.758855108972526</v>
      </c>
      <c r="M470" s="53" t="n">
        <f aca="true">NORMINV(RAND(),0,M$7)</f>
        <v>0.220663134526273</v>
      </c>
      <c r="N470" s="53" t="n">
        <f aca="true">NORMINV(RAND(),0,N$7)</f>
        <v>-0.384277471122569</v>
      </c>
      <c r="O470" s="53" t="n">
        <f aca="false">SUM(J470:N470)</f>
        <v>-0.353952964965213</v>
      </c>
    </row>
    <row r="471" customFormat="false" ht="15" hidden="false" customHeight="false" outlineLevel="0" collapsed="false">
      <c r="A471" s="2" t="n">
        <v>463</v>
      </c>
      <c r="B471" s="53" t="n">
        <f aca="true">NORMINV(RAND(),0,B$7)</f>
        <v>-1.53454892708343</v>
      </c>
      <c r="C471" s="53" t="n">
        <f aca="true">NORMINV(RAND(),0,C$7)</f>
        <v>-1.01860504981038</v>
      </c>
      <c r="D471" s="53" t="n">
        <f aca="true">NORMINV(RAND(),0,D$7)</f>
        <v>0.972985812335326</v>
      </c>
      <c r="E471" s="53" t="n">
        <f aca="true">NORMINV(RAND(),0,E$7)</f>
        <v>0.0242226591967454</v>
      </c>
      <c r="F471" s="53" t="n">
        <f aca="true">NORMINV(RAND(),0,F$7)</f>
        <v>0.744406219553114</v>
      </c>
      <c r="G471" s="53" t="n">
        <f aca="true">NORMINV(RAND(),0,G$7)</f>
        <v>1.48201730665381</v>
      </c>
      <c r="H471" s="53" t="n">
        <f aca="true">NORMINV(RAND(),0,H$7)</f>
        <v>0.0695944347055505</v>
      </c>
      <c r="I471" s="53" t="n">
        <f aca="false">SUM(B471:H471)</f>
        <v>0.740072455550733</v>
      </c>
      <c r="J471" s="53" t="n">
        <f aca="true">NORMINV(RAND(),0,J$7)</f>
        <v>0.889332839486929</v>
      </c>
      <c r="K471" s="53" t="n">
        <f aca="true">NORMINV(RAND(),0,K$7)</f>
        <v>-0.614116271131666</v>
      </c>
      <c r="L471" s="53" t="n">
        <f aca="true">NORMINV(RAND(),0,L$7)</f>
        <v>0.416347450116674</v>
      </c>
      <c r="M471" s="53" t="n">
        <f aca="true">NORMINV(RAND(),0,M$7)</f>
        <v>-0.159725806090572</v>
      </c>
      <c r="N471" s="53" t="n">
        <f aca="true">NORMINV(RAND(),0,N$7)</f>
        <v>-0.43801043186644</v>
      </c>
      <c r="O471" s="53" t="n">
        <f aca="false">SUM(J471:N471)</f>
        <v>0.0938277805149243</v>
      </c>
    </row>
    <row r="472" customFormat="false" ht="15" hidden="false" customHeight="false" outlineLevel="0" collapsed="false">
      <c r="A472" s="2" t="n">
        <v>464</v>
      </c>
      <c r="B472" s="53" t="n">
        <f aca="true">NORMINV(RAND(),0,B$7)</f>
        <v>-1.1818856329542</v>
      </c>
      <c r="C472" s="53" t="n">
        <f aca="true">NORMINV(RAND(),0,C$7)</f>
        <v>-2.091234992807</v>
      </c>
      <c r="D472" s="53" t="n">
        <f aca="true">NORMINV(RAND(),0,D$7)</f>
        <v>0.350960861982286</v>
      </c>
      <c r="E472" s="53" t="n">
        <f aca="true">NORMINV(RAND(),0,E$7)</f>
        <v>0.00599801506525165</v>
      </c>
      <c r="F472" s="53" t="n">
        <f aca="true">NORMINV(RAND(),0,F$7)</f>
        <v>-0.38578405429713</v>
      </c>
      <c r="G472" s="53" t="n">
        <f aca="true">NORMINV(RAND(),0,G$7)</f>
        <v>1.00306518125966</v>
      </c>
      <c r="H472" s="53" t="n">
        <f aca="true">NORMINV(RAND(),0,H$7)</f>
        <v>-0.228762299113684</v>
      </c>
      <c r="I472" s="53" t="n">
        <f aca="false">SUM(B472:H472)</f>
        <v>-2.52764292086482</v>
      </c>
      <c r="J472" s="53" t="n">
        <f aca="true">NORMINV(RAND(),0,J$7)</f>
        <v>-0.363776759569579</v>
      </c>
      <c r="K472" s="53" t="n">
        <f aca="true">NORMINV(RAND(),0,K$7)</f>
        <v>-0.141535858037252</v>
      </c>
      <c r="L472" s="53" t="n">
        <f aca="true">NORMINV(RAND(),0,L$7)</f>
        <v>-0.200117521495505</v>
      </c>
      <c r="M472" s="53" t="n">
        <f aca="true">NORMINV(RAND(),0,M$7)</f>
        <v>-0.148777915776964</v>
      </c>
      <c r="N472" s="53" t="n">
        <f aca="true">NORMINV(RAND(),0,N$7)</f>
        <v>0.327265083393502</v>
      </c>
      <c r="O472" s="53" t="n">
        <f aca="false">SUM(J472:N472)</f>
        <v>-0.526942971485798</v>
      </c>
    </row>
    <row r="473" customFormat="false" ht="15" hidden="false" customHeight="false" outlineLevel="0" collapsed="false">
      <c r="A473" s="2" t="n">
        <v>465</v>
      </c>
      <c r="B473" s="53" t="n">
        <f aca="true">NORMINV(RAND(),0,B$7)</f>
        <v>1.68190630311814</v>
      </c>
      <c r="C473" s="53" t="n">
        <f aca="true">NORMINV(RAND(),0,C$7)</f>
        <v>1.74250952715586</v>
      </c>
      <c r="D473" s="53" t="n">
        <f aca="true">NORMINV(RAND(),0,D$7)</f>
        <v>-1.37372512649899</v>
      </c>
      <c r="E473" s="53" t="n">
        <f aca="true">NORMINV(RAND(),0,E$7)</f>
        <v>0.320607987471103</v>
      </c>
      <c r="F473" s="53" t="n">
        <f aca="true">NORMINV(RAND(),0,F$7)</f>
        <v>0.0699829713944559</v>
      </c>
      <c r="G473" s="53" t="n">
        <f aca="true">NORMINV(RAND(),0,G$7)</f>
        <v>-0.399846296263352</v>
      </c>
      <c r="H473" s="53" t="n">
        <f aca="true">NORMINV(RAND(),0,H$7)</f>
        <v>0.627639131357487</v>
      </c>
      <c r="I473" s="53" t="n">
        <f aca="false">SUM(B473:H473)</f>
        <v>2.6690744977347</v>
      </c>
      <c r="J473" s="53" t="n">
        <f aca="true">NORMINV(RAND(),0,J$7)</f>
        <v>1.77391904596485</v>
      </c>
      <c r="K473" s="53" t="n">
        <f aca="true">NORMINV(RAND(),0,K$7)</f>
        <v>-0.13007050281145</v>
      </c>
      <c r="L473" s="53" t="n">
        <f aca="true">NORMINV(RAND(),0,L$7)</f>
        <v>0.365005901502668</v>
      </c>
      <c r="M473" s="53" t="n">
        <f aca="true">NORMINV(RAND(),0,M$7)</f>
        <v>-0.0216597781587496</v>
      </c>
      <c r="N473" s="53" t="n">
        <f aca="true">NORMINV(RAND(),0,N$7)</f>
        <v>0.40586707872493</v>
      </c>
      <c r="O473" s="53" t="n">
        <f aca="false">SUM(J473:N473)</f>
        <v>2.39306174522225</v>
      </c>
    </row>
    <row r="474" customFormat="false" ht="15" hidden="false" customHeight="false" outlineLevel="0" collapsed="false">
      <c r="A474" s="2" t="n">
        <v>466</v>
      </c>
      <c r="B474" s="53" t="n">
        <f aca="true">NORMINV(RAND(),0,B$7)</f>
        <v>-0.337848339442806</v>
      </c>
      <c r="C474" s="53" t="n">
        <f aca="true">NORMINV(RAND(),0,C$7)</f>
        <v>0.326437091202102</v>
      </c>
      <c r="D474" s="53" t="n">
        <f aca="true">NORMINV(RAND(),0,D$7)</f>
        <v>2.39383551602846</v>
      </c>
      <c r="E474" s="53" t="n">
        <f aca="true">NORMINV(RAND(),0,E$7)</f>
        <v>-0.15995799927603</v>
      </c>
      <c r="F474" s="53" t="n">
        <f aca="true">NORMINV(RAND(),0,F$7)</f>
        <v>-0.301446090818623</v>
      </c>
      <c r="G474" s="53" t="n">
        <f aca="true">NORMINV(RAND(),0,G$7)</f>
        <v>-1.3258703709856</v>
      </c>
      <c r="H474" s="53" t="n">
        <f aca="true">NORMINV(RAND(),0,H$7)</f>
        <v>0.105939891663962</v>
      </c>
      <c r="I474" s="53" t="n">
        <f aca="false">SUM(B474:H474)</f>
        <v>0.701089698371468</v>
      </c>
      <c r="J474" s="53" t="n">
        <f aca="true">NORMINV(RAND(),0,J$7)</f>
        <v>1.40487314454607</v>
      </c>
      <c r="K474" s="53" t="n">
        <f aca="true">NORMINV(RAND(),0,K$7)</f>
        <v>-1.77629068741386</v>
      </c>
      <c r="L474" s="53" t="n">
        <f aca="true">NORMINV(RAND(),0,L$7)</f>
        <v>-0.376168134164154</v>
      </c>
      <c r="M474" s="53" t="n">
        <f aca="true">NORMINV(RAND(),0,M$7)</f>
        <v>-0.114236674586592</v>
      </c>
      <c r="N474" s="53" t="n">
        <f aca="true">NORMINV(RAND(),0,N$7)</f>
        <v>0.363447587079634</v>
      </c>
      <c r="O474" s="53" t="n">
        <f aca="false">SUM(J474:N474)</f>
        <v>-0.498374764538906</v>
      </c>
    </row>
    <row r="475" customFormat="false" ht="15" hidden="false" customHeight="false" outlineLevel="0" collapsed="false">
      <c r="A475" s="2" t="n">
        <v>467</v>
      </c>
      <c r="B475" s="53" t="n">
        <f aca="true">NORMINV(RAND(),0,B$7)</f>
        <v>-1.89269085771581</v>
      </c>
      <c r="C475" s="53" t="n">
        <f aca="true">NORMINV(RAND(),0,C$7)</f>
        <v>-3.61251161764956</v>
      </c>
      <c r="D475" s="53" t="n">
        <f aca="true">NORMINV(RAND(),0,D$7)</f>
        <v>2.13754747163643</v>
      </c>
      <c r="E475" s="53" t="n">
        <f aca="true">NORMINV(RAND(),0,E$7)</f>
        <v>-0.229021564440575</v>
      </c>
      <c r="F475" s="53" t="n">
        <f aca="true">NORMINV(RAND(),0,F$7)</f>
        <v>0.155062309806752</v>
      </c>
      <c r="G475" s="53" t="n">
        <f aca="true">NORMINV(RAND(),0,G$7)</f>
        <v>0.279489155211935</v>
      </c>
      <c r="H475" s="53" t="n">
        <f aca="true">NORMINV(RAND(),0,H$7)</f>
        <v>-0.111910482005766</v>
      </c>
      <c r="I475" s="53" t="n">
        <f aca="false">SUM(B475:H475)</f>
        <v>-3.27403558515659</v>
      </c>
      <c r="J475" s="53" t="n">
        <f aca="true">NORMINV(RAND(),0,J$7)</f>
        <v>0.698467731900025</v>
      </c>
      <c r="K475" s="53" t="n">
        <f aca="true">NORMINV(RAND(),0,K$7)</f>
        <v>-1.34795620177599</v>
      </c>
      <c r="L475" s="53" t="n">
        <f aca="true">NORMINV(RAND(),0,L$7)</f>
        <v>-0.71307731823384</v>
      </c>
      <c r="M475" s="53" t="n">
        <f aca="true">NORMINV(RAND(),0,M$7)</f>
        <v>0.0723995014861367</v>
      </c>
      <c r="N475" s="53" t="n">
        <f aca="true">NORMINV(RAND(),0,N$7)</f>
        <v>-0.304169776797146</v>
      </c>
      <c r="O475" s="53" t="n">
        <f aca="false">SUM(J475:N475)</f>
        <v>-1.59433606342081</v>
      </c>
    </row>
    <row r="476" customFormat="false" ht="15" hidden="false" customHeight="false" outlineLevel="0" collapsed="false">
      <c r="A476" s="2" t="n">
        <v>468</v>
      </c>
      <c r="B476" s="53" t="n">
        <f aca="true">NORMINV(RAND(),0,B$7)</f>
        <v>2.02180110211059</v>
      </c>
      <c r="C476" s="53" t="n">
        <f aca="true">NORMINV(RAND(),0,C$7)</f>
        <v>-1.5615003712632</v>
      </c>
      <c r="D476" s="53" t="n">
        <f aca="true">NORMINV(RAND(),0,D$7)</f>
        <v>-0.434429579094804</v>
      </c>
      <c r="E476" s="53" t="n">
        <f aca="true">NORMINV(RAND(),0,E$7)</f>
        <v>-0.0652440817026487</v>
      </c>
      <c r="F476" s="53" t="n">
        <f aca="true">NORMINV(RAND(),0,F$7)</f>
        <v>-0.0486621916544037</v>
      </c>
      <c r="G476" s="53" t="n">
        <f aca="true">NORMINV(RAND(),0,G$7)</f>
        <v>-0.98972153700391</v>
      </c>
      <c r="H476" s="53" t="n">
        <f aca="true">NORMINV(RAND(),0,H$7)</f>
        <v>-0.678237820021625</v>
      </c>
      <c r="I476" s="53" t="n">
        <f aca="false">SUM(B476:H476)</f>
        <v>-1.75599447863</v>
      </c>
      <c r="J476" s="53" t="n">
        <f aca="true">NORMINV(RAND(),0,J$7)</f>
        <v>-3.39216819643265</v>
      </c>
      <c r="K476" s="53" t="n">
        <f aca="true">NORMINV(RAND(),0,K$7)</f>
        <v>-0.322135226484107</v>
      </c>
      <c r="L476" s="53" t="n">
        <f aca="true">NORMINV(RAND(),0,L$7)</f>
        <v>-0.0491735005565506</v>
      </c>
      <c r="M476" s="53" t="n">
        <f aca="true">NORMINV(RAND(),0,M$7)</f>
        <v>0.053460171426906</v>
      </c>
      <c r="N476" s="53" t="n">
        <f aca="true">NORMINV(RAND(),0,N$7)</f>
        <v>0.315186985905746</v>
      </c>
      <c r="O476" s="53" t="n">
        <f aca="false">SUM(J476:N476)</f>
        <v>-3.39482976614065</v>
      </c>
    </row>
    <row r="477" customFormat="false" ht="15" hidden="false" customHeight="false" outlineLevel="0" collapsed="false">
      <c r="A477" s="2" t="n">
        <v>469</v>
      </c>
      <c r="B477" s="53" t="n">
        <f aca="true">NORMINV(RAND(),0,B$7)</f>
        <v>-0.191019674415784</v>
      </c>
      <c r="C477" s="53" t="n">
        <f aca="true">NORMINV(RAND(),0,C$7)</f>
        <v>0.285834788501752</v>
      </c>
      <c r="D477" s="53" t="n">
        <f aca="true">NORMINV(RAND(),0,D$7)</f>
        <v>-1.10917948858079</v>
      </c>
      <c r="E477" s="53" t="n">
        <f aca="true">NORMINV(RAND(),0,E$7)</f>
        <v>0.16716578976863</v>
      </c>
      <c r="F477" s="53" t="n">
        <f aca="true">NORMINV(RAND(),0,F$7)</f>
        <v>0.390110057304909</v>
      </c>
      <c r="G477" s="53" t="n">
        <f aca="true">NORMINV(RAND(),0,G$7)</f>
        <v>0.185670755335432</v>
      </c>
      <c r="H477" s="53" t="n">
        <f aca="true">NORMINV(RAND(),0,H$7)</f>
        <v>-0.811195744201743</v>
      </c>
      <c r="I477" s="53" t="n">
        <f aca="false">SUM(B477:H477)</f>
        <v>-1.08261351628759</v>
      </c>
      <c r="J477" s="53" t="n">
        <f aca="true">NORMINV(RAND(),0,J$7)</f>
        <v>-0.97199638354098</v>
      </c>
      <c r="K477" s="53" t="n">
        <f aca="true">NORMINV(RAND(),0,K$7)</f>
        <v>-0.310585289137038</v>
      </c>
      <c r="L477" s="53" t="n">
        <f aca="true">NORMINV(RAND(),0,L$7)</f>
        <v>0.302187569999866</v>
      </c>
      <c r="M477" s="53" t="n">
        <f aca="true">NORMINV(RAND(),0,M$7)</f>
        <v>-0.0870267589274577</v>
      </c>
      <c r="N477" s="53" t="n">
        <f aca="true">NORMINV(RAND(),0,N$7)</f>
        <v>0.0125197122819799</v>
      </c>
      <c r="O477" s="53" t="n">
        <f aca="false">SUM(J477:N477)</f>
        <v>-1.05490114932363</v>
      </c>
    </row>
    <row r="478" customFormat="false" ht="15" hidden="false" customHeight="false" outlineLevel="0" collapsed="false">
      <c r="A478" s="2" t="n">
        <v>470</v>
      </c>
      <c r="B478" s="53" t="n">
        <f aca="true">NORMINV(RAND(),0,B$7)</f>
        <v>-1.69847430774138</v>
      </c>
      <c r="C478" s="53" t="n">
        <f aca="true">NORMINV(RAND(),0,C$7)</f>
        <v>-1.03294360883297</v>
      </c>
      <c r="D478" s="53" t="n">
        <f aca="true">NORMINV(RAND(),0,D$7)</f>
        <v>-0.536225089230603</v>
      </c>
      <c r="E478" s="53" t="n">
        <f aca="true">NORMINV(RAND(),0,E$7)</f>
        <v>0.36220187525649</v>
      </c>
      <c r="F478" s="53" t="n">
        <f aca="true">NORMINV(RAND(),0,F$7)</f>
        <v>-0.0583384137718575</v>
      </c>
      <c r="G478" s="53" t="n">
        <f aca="true">NORMINV(RAND(),0,G$7)</f>
        <v>-0.133530609140093</v>
      </c>
      <c r="H478" s="53" t="n">
        <f aca="true">NORMINV(RAND(),0,H$7)</f>
        <v>-0.156028902660961</v>
      </c>
      <c r="I478" s="53" t="n">
        <f aca="false">SUM(B478:H478)</f>
        <v>-3.25333905612137</v>
      </c>
      <c r="J478" s="53" t="n">
        <f aca="true">NORMINV(RAND(),0,J$7)</f>
        <v>-0.924027291258152</v>
      </c>
      <c r="K478" s="53" t="n">
        <f aca="true">NORMINV(RAND(),0,K$7)</f>
        <v>-0.415586711671731</v>
      </c>
      <c r="L478" s="53" t="n">
        <f aca="true">NORMINV(RAND(),0,L$7)</f>
        <v>0.180423682051021</v>
      </c>
      <c r="M478" s="53" t="n">
        <f aca="true">NORMINV(RAND(),0,M$7)</f>
        <v>0.408187480123906</v>
      </c>
      <c r="N478" s="53" t="n">
        <f aca="true">NORMINV(RAND(),0,N$7)</f>
        <v>-0.186375446663825</v>
      </c>
      <c r="O478" s="53" t="n">
        <f aca="false">SUM(J478:N478)</f>
        <v>-0.937378287418781</v>
      </c>
    </row>
    <row r="479" customFormat="false" ht="15" hidden="false" customHeight="false" outlineLevel="0" collapsed="false">
      <c r="A479" s="2" t="n">
        <v>471</v>
      </c>
      <c r="B479" s="53" t="n">
        <f aca="true">NORMINV(RAND(),0,B$7)</f>
        <v>-1.70678485236609</v>
      </c>
      <c r="C479" s="53" t="n">
        <f aca="true">NORMINV(RAND(),0,C$7)</f>
        <v>1.22001473004837</v>
      </c>
      <c r="D479" s="53" t="n">
        <f aca="true">NORMINV(RAND(),0,D$7)</f>
        <v>-1.43353115816219</v>
      </c>
      <c r="E479" s="53" t="n">
        <f aca="true">NORMINV(RAND(),0,E$7)</f>
        <v>0.24626683839629</v>
      </c>
      <c r="F479" s="53" t="n">
        <f aca="true">NORMINV(RAND(),0,F$7)</f>
        <v>0.346950820236922</v>
      </c>
      <c r="G479" s="53" t="n">
        <f aca="true">NORMINV(RAND(),0,G$7)</f>
        <v>0.884327858191294</v>
      </c>
      <c r="H479" s="53" t="n">
        <f aca="true">NORMINV(RAND(),0,H$7)</f>
        <v>-0.527579406370794</v>
      </c>
      <c r="I479" s="53" t="n">
        <f aca="false">SUM(B479:H479)</f>
        <v>-0.970335170026197</v>
      </c>
      <c r="J479" s="53" t="n">
        <f aca="true">NORMINV(RAND(),0,J$7)</f>
        <v>-0.283745697756098</v>
      </c>
      <c r="K479" s="53" t="n">
        <f aca="true">NORMINV(RAND(),0,K$7)</f>
        <v>-0.522371375887755</v>
      </c>
      <c r="L479" s="53" t="n">
        <f aca="true">NORMINV(RAND(),0,L$7)</f>
        <v>-0.179495636433768</v>
      </c>
      <c r="M479" s="53" t="n">
        <f aca="true">NORMINV(RAND(),0,M$7)</f>
        <v>-0.0218420807235138</v>
      </c>
      <c r="N479" s="53" t="n">
        <f aca="true">NORMINV(RAND(),0,N$7)</f>
        <v>0.118384848340073</v>
      </c>
      <c r="O479" s="53" t="n">
        <f aca="false">SUM(J479:N479)</f>
        <v>-0.889069942461062</v>
      </c>
    </row>
    <row r="480" customFormat="false" ht="15" hidden="false" customHeight="false" outlineLevel="0" collapsed="false">
      <c r="A480" s="2" t="n">
        <v>472</v>
      </c>
      <c r="B480" s="53" t="n">
        <f aca="true">NORMINV(RAND(),0,B$7)</f>
        <v>1.05605428802252</v>
      </c>
      <c r="C480" s="53" t="n">
        <f aca="true">NORMINV(RAND(),0,C$7)</f>
        <v>-2.63039104815719</v>
      </c>
      <c r="D480" s="53" t="n">
        <f aca="true">NORMINV(RAND(),0,D$7)</f>
        <v>-0.0685862207497542</v>
      </c>
      <c r="E480" s="53" t="n">
        <f aca="true">NORMINV(RAND(),0,E$7)</f>
        <v>0.0454668713754736</v>
      </c>
      <c r="F480" s="53" t="n">
        <f aca="true">NORMINV(RAND(),0,F$7)</f>
        <v>0.188817682528872</v>
      </c>
      <c r="G480" s="53" t="n">
        <f aca="true">NORMINV(RAND(),0,G$7)</f>
        <v>0.205980857627892</v>
      </c>
      <c r="H480" s="53" t="n">
        <f aca="true">NORMINV(RAND(),0,H$7)</f>
        <v>0.25216880456226</v>
      </c>
      <c r="I480" s="53" t="n">
        <f aca="false">SUM(B480:H480)</f>
        <v>-0.950488764789927</v>
      </c>
      <c r="J480" s="53" t="n">
        <f aca="true">NORMINV(RAND(),0,J$7)</f>
        <v>0.466111418562017</v>
      </c>
      <c r="K480" s="53" t="n">
        <f aca="true">NORMINV(RAND(),0,K$7)</f>
        <v>-0.106639706816707</v>
      </c>
      <c r="L480" s="53" t="n">
        <f aca="true">NORMINV(RAND(),0,L$7)</f>
        <v>-0.300164574082125</v>
      </c>
      <c r="M480" s="53" t="n">
        <f aca="true">NORMINV(RAND(),0,M$7)</f>
        <v>0.182183402543429</v>
      </c>
      <c r="N480" s="53" t="n">
        <f aca="true">NORMINV(RAND(),0,N$7)</f>
        <v>-0.79251318514136</v>
      </c>
      <c r="O480" s="53" t="n">
        <f aca="false">SUM(J480:N480)</f>
        <v>-0.551022644934746</v>
      </c>
    </row>
    <row r="481" customFormat="false" ht="15" hidden="false" customHeight="false" outlineLevel="0" collapsed="false">
      <c r="A481" s="2" t="n">
        <v>473</v>
      </c>
      <c r="B481" s="53" t="n">
        <f aca="true">NORMINV(RAND(),0,B$7)</f>
        <v>-0.0329633607204671</v>
      </c>
      <c r="C481" s="53" t="n">
        <f aca="true">NORMINV(RAND(),0,C$7)</f>
        <v>1.58313170736587</v>
      </c>
      <c r="D481" s="53" t="n">
        <f aca="true">NORMINV(RAND(),0,D$7)</f>
        <v>0.222870057213906</v>
      </c>
      <c r="E481" s="53" t="n">
        <f aca="true">NORMINV(RAND(),0,E$7)</f>
        <v>0.195607010078658</v>
      </c>
      <c r="F481" s="53" t="n">
        <f aca="true">NORMINV(RAND(),0,F$7)</f>
        <v>-0.211308184985553</v>
      </c>
      <c r="G481" s="53" t="n">
        <f aca="true">NORMINV(RAND(),0,G$7)</f>
        <v>-0.920565505876898</v>
      </c>
      <c r="H481" s="53" t="n">
        <f aca="true">NORMINV(RAND(),0,H$7)</f>
        <v>-0.540142156603272</v>
      </c>
      <c r="I481" s="53" t="n">
        <f aca="false">SUM(B481:H481)</f>
        <v>0.296629566472246</v>
      </c>
      <c r="J481" s="53" t="n">
        <f aca="true">NORMINV(RAND(),0,J$7)</f>
        <v>2.31726690322014</v>
      </c>
      <c r="K481" s="53" t="n">
        <f aca="true">NORMINV(RAND(),0,K$7)</f>
        <v>-0.510629496600286</v>
      </c>
      <c r="L481" s="53" t="n">
        <f aca="true">NORMINV(RAND(),0,L$7)</f>
        <v>0.943498949612065</v>
      </c>
      <c r="M481" s="53" t="n">
        <f aca="true">NORMINV(RAND(),0,M$7)</f>
        <v>-0.200246693965626</v>
      </c>
      <c r="N481" s="53" t="n">
        <f aca="true">NORMINV(RAND(),0,N$7)</f>
        <v>0.114298372258976</v>
      </c>
      <c r="O481" s="53" t="n">
        <f aca="false">SUM(J481:N481)</f>
        <v>2.66418803452527</v>
      </c>
    </row>
    <row r="482" customFormat="false" ht="15" hidden="false" customHeight="false" outlineLevel="0" collapsed="false">
      <c r="A482" s="2" t="n">
        <v>474</v>
      </c>
      <c r="B482" s="53" t="n">
        <f aca="true">NORMINV(RAND(),0,B$7)</f>
        <v>-0.783076186623449</v>
      </c>
      <c r="C482" s="53" t="n">
        <f aca="true">NORMINV(RAND(),0,C$7)</f>
        <v>0.186289323791806</v>
      </c>
      <c r="D482" s="53" t="n">
        <f aca="true">NORMINV(RAND(),0,D$7)</f>
        <v>1.84187266720024</v>
      </c>
      <c r="E482" s="53" t="n">
        <f aca="true">NORMINV(RAND(),0,E$7)</f>
        <v>0.750417165816323</v>
      </c>
      <c r="F482" s="53" t="n">
        <f aca="true">NORMINV(RAND(),0,F$7)</f>
        <v>-0.212002946872484</v>
      </c>
      <c r="G482" s="53" t="n">
        <f aca="true">NORMINV(RAND(),0,G$7)</f>
        <v>0.934218643106998</v>
      </c>
      <c r="H482" s="53" t="n">
        <f aca="true">NORMINV(RAND(),0,H$7)</f>
        <v>-0.479995033655197</v>
      </c>
      <c r="I482" s="53" t="n">
        <f aca="false">SUM(B482:H482)</f>
        <v>2.23772363276423</v>
      </c>
      <c r="J482" s="53" t="n">
        <f aca="true">NORMINV(RAND(),0,J$7)</f>
        <v>-1.13747645278478</v>
      </c>
      <c r="K482" s="53" t="n">
        <f aca="true">NORMINV(RAND(),0,K$7)</f>
        <v>1.24644277762745</v>
      </c>
      <c r="L482" s="53" t="n">
        <f aca="true">NORMINV(RAND(),0,L$7)</f>
        <v>0.130498962987996</v>
      </c>
      <c r="M482" s="53" t="n">
        <f aca="true">NORMINV(RAND(),0,M$7)</f>
        <v>-0.320428469399222</v>
      </c>
      <c r="N482" s="53" t="n">
        <f aca="true">NORMINV(RAND(),0,N$7)</f>
        <v>0.115532284051744</v>
      </c>
      <c r="O482" s="53" t="n">
        <f aca="false">SUM(J482:N482)</f>
        <v>0.0345691024831868</v>
      </c>
    </row>
    <row r="483" customFormat="false" ht="15" hidden="false" customHeight="false" outlineLevel="0" collapsed="false">
      <c r="A483" s="2" t="n">
        <v>475</v>
      </c>
      <c r="B483" s="53" t="n">
        <f aca="true">NORMINV(RAND(),0,B$7)</f>
        <v>-0.146148403678629</v>
      </c>
      <c r="C483" s="53" t="n">
        <f aca="true">NORMINV(RAND(),0,C$7)</f>
        <v>-0.11911253476683</v>
      </c>
      <c r="D483" s="53" t="n">
        <f aca="true">NORMINV(RAND(),0,D$7)</f>
        <v>0.969336446550676</v>
      </c>
      <c r="E483" s="53" t="n">
        <f aca="true">NORMINV(RAND(),0,E$7)</f>
        <v>-0.471357126799039</v>
      </c>
      <c r="F483" s="53" t="n">
        <f aca="true">NORMINV(RAND(),0,F$7)</f>
        <v>-0.170752879769413</v>
      </c>
      <c r="G483" s="53" t="n">
        <f aca="true">NORMINV(RAND(),0,G$7)</f>
        <v>1.86210417481718</v>
      </c>
      <c r="H483" s="53" t="n">
        <f aca="true">NORMINV(RAND(),0,H$7)</f>
        <v>0.335731266788988</v>
      </c>
      <c r="I483" s="53" t="n">
        <f aca="false">SUM(B483:H483)</f>
        <v>2.25980094314293</v>
      </c>
      <c r="J483" s="53" t="n">
        <f aca="true">NORMINV(RAND(),0,J$7)</f>
        <v>1.42503909022455</v>
      </c>
      <c r="K483" s="53" t="n">
        <f aca="true">NORMINV(RAND(),0,K$7)</f>
        <v>-0.130324398860508</v>
      </c>
      <c r="L483" s="53" t="n">
        <f aca="true">NORMINV(RAND(),0,L$7)</f>
        <v>-0.342004238985264</v>
      </c>
      <c r="M483" s="53" t="n">
        <f aca="true">NORMINV(RAND(),0,M$7)</f>
        <v>0.036982199253859</v>
      </c>
      <c r="N483" s="53" t="n">
        <f aca="true">NORMINV(RAND(),0,N$7)</f>
        <v>1.09878169399398</v>
      </c>
      <c r="O483" s="53" t="n">
        <f aca="false">SUM(J483:N483)</f>
        <v>2.08847434562662</v>
      </c>
    </row>
    <row r="484" customFormat="false" ht="15" hidden="false" customHeight="false" outlineLevel="0" collapsed="false">
      <c r="A484" s="2" t="n">
        <v>476</v>
      </c>
      <c r="B484" s="53" t="n">
        <f aca="true">NORMINV(RAND(),0,B$7)</f>
        <v>-0.72822129929439</v>
      </c>
      <c r="C484" s="53" t="n">
        <f aca="true">NORMINV(RAND(),0,C$7)</f>
        <v>0.991168235669931</v>
      </c>
      <c r="D484" s="53" t="n">
        <f aca="true">NORMINV(RAND(),0,D$7)</f>
        <v>-0.480799953138549</v>
      </c>
      <c r="E484" s="53" t="n">
        <f aca="true">NORMINV(RAND(),0,E$7)</f>
        <v>-0.154370078637244</v>
      </c>
      <c r="F484" s="53" t="n">
        <f aca="true">NORMINV(RAND(),0,F$7)</f>
        <v>-0.294743745693233</v>
      </c>
      <c r="G484" s="53" t="n">
        <f aca="true">NORMINV(RAND(),0,G$7)</f>
        <v>-0.313019085167443</v>
      </c>
      <c r="H484" s="53" t="n">
        <f aca="true">NORMINV(RAND(),0,H$7)</f>
        <v>-0.299046790790492</v>
      </c>
      <c r="I484" s="53" t="n">
        <f aca="false">SUM(B484:H484)</f>
        <v>-1.27903271705142</v>
      </c>
      <c r="J484" s="53" t="n">
        <f aca="true">NORMINV(RAND(),0,J$7)</f>
        <v>3.29960334790456</v>
      </c>
      <c r="K484" s="53" t="n">
        <f aca="true">NORMINV(RAND(),0,K$7)</f>
        <v>0.0671887133359355</v>
      </c>
      <c r="L484" s="53" t="n">
        <f aca="true">NORMINV(RAND(),0,L$7)</f>
        <v>-0.0445483338293526</v>
      </c>
      <c r="M484" s="53" t="n">
        <f aca="true">NORMINV(RAND(),0,M$7)</f>
        <v>-0.00658274503744687</v>
      </c>
      <c r="N484" s="53" t="n">
        <f aca="true">NORMINV(RAND(),0,N$7)</f>
        <v>-0.589640077292024</v>
      </c>
      <c r="O484" s="53" t="n">
        <f aca="false">SUM(J484:N484)</f>
        <v>2.72602090508168</v>
      </c>
    </row>
    <row r="485" customFormat="false" ht="15" hidden="false" customHeight="false" outlineLevel="0" collapsed="false">
      <c r="A485" s="2" t="n">
        <v>477</v>
      </c>
      <c r="B485" s="53" t="n">
        <f aca="true">NORMINV(RAND(),0,B$7)</f>
        <v>-0.0848192137360256</v>
      </c>
      <c r="C485" s="53" t="n">
        <f aca="true">NORMINV(RAND(),0,C$7)</f>
        <v>-1.28663150752206</v>
      </c>
      <c r="D485" s="53" t="n">
        <f aca="true">NORMINV(RAND(),0,D$7)</f>
        <v>-0.636677700455113</v>
      </c>
      <c r="E485" s="53" t="n">
        <f aca="true">NORMINV(RAND(),0,E$7)</f>
        <v>-0.743729236604225</v>
      </c>
      <c r="F485" s="53" t="n">
        <f aca="true">NORMINV(RAND(),0,F$7)</f>
        <v>0.126586330391182</v>
      </c>
      <c r="G485" s="53" t="n">
        <f aca="true">NORMINV(RAND(),0,G$7)</f>
        <v>0.819333492682983</v>
      </c>
      <c r="H485" s="53" t="n">
        <f aca="true">NORMINV(RAND(),0,H$7)</f>
        <v>-0.102216712689671</v>
      </c>
      <c r="I485" s="53" t="n">
        <f aca="false">SUM(B485:H485)</f>
        <v>-1.90815454793293</v>
      </c>
      <c r="J485" s="53" t="n">
        <f aca="true">NORMINV(RAND(),0,J$7)</f>
        <v>0.805550007629767</v>
      </c>
      <c r="K485" s="53" t="n">
        <f aca="true">NORMINV(RAND(),0,K$7)</f>
        <v>0.355755185840443</v>
      </c>
      <c r="L485" s="53" t="n">
        <f aca="true">NORMINV(RAND(),0,L$7)</f>
        <v>-0.770523258298818</v>
      </c>
      <c r="M485" s="53" t="n">
        <f aca="true">NORMINV(RAND(),0,M$7)</f>
        <v>0.177993248878353</v>
      </c>
      <c r="N485" s="53" t="n">
        <f aca="true">NORMINV(RAND(),0,N$7)</f>
        <v>-0.34874154044167</v>
      </c>
      <c r="O485" s="53" t="n">
        <f aca="false">SUM(J485:N485)</f>
        <v>0.220033643608075</v>
      </c>
    </row>
    <row r="486" customFormat="false" ht="15" hidden="false" customHeight="false" outlineLevel="0" collapsed="false">
      <c r="A486" s="2" t="n">
        <v>478</v>
      </c>
      <c r="B486" s="53" t="n">
        <f aca="true">NORMINV(RAND(),0,B$7)</f>
        <v>0.267260535022097</v>
      </c>
      <c r="C486" s="53" t="n">
        <f aca="true">NORMINV(RAND(),0,C$7)</f>
        <v>1.1906026807627</v>
      </c>
      <c r="D486" s="53" t="n">
        <f aca="true">NORMINV(RAND(),0,D$7)</f>
        <v>-1.708355430952</v>
      </c>
      <c r="E486" s="53" t="n">
        <f aca="true">NORMINV(RAND(),0,E$7)</f>
        <v>0.079516695356703</v>
      </c>
      <c r="F486" s="53" t="n">
        <f aca="true">NORMINV(RAND(),0,F$7)</f>
        <v>-0.109736133427869</v>
      </c>
      <c r="G486" s="53" t="n">
        <f aca="true">NORMINV(RAND(),0,G$7)</f>
        <v>-2.17654114156942</v>
      </c>
      <c r="H486" s="53" t="n">
        <f aca="true">NORMINV(RAND(),0,H$7)</f>
        <v>-0.263538851012982</v>
      </c>
      <c r="I486" s="53" t="n">
        <f aca="false">SUM(B486:H486)</f>
        <v>-2.72079164582077</v>
      </c>
      <c r="J486" s="53" t="n">
        <f aca="true">NORMINV(RAND(),0,J$7)</f>
        <v>0.219786796333564</v>
      </c>
      <c r="K486" s="53" t="n">
        <f aca="true">NORMINV(RAND(),0,K$7)</f>
        <v>0.263161205141854</v>
      </c>
      <c r="L486" s="53" t="n">
        <f aca="true">NORMINV(RAND(),0,L$7)</f>
        <v>-0.564987907521882</v>
      </c>
      <c r="M486" s="53" t="n">
        <f aca="true">NORMINV(RAND(),0,M$7)</f>
        <v>-0.448212331857675</v>
      </c>
      <c r="N486" s="53" t="n">
        <f aca="true">NORMINV(RAND(),0,N$7)</f>
        <v>-0.362121458508992</v>
      </c>
      <c r="O486" s="53" t="n">
        <f aca="false">SUM(J486:N486)</f>
        <v>-0.892373696413132</v>
      </c>
    </row>
    <row r="487" customFormat="false" ht="15" hidden="false" customHeight="false" outlineLevel="0" collapsed="false">
      <c r="A487" s="2" t="n">
        <v>479</v>
      </c>
      <c r="B487" s="53" t="n">
        <f aca="true">NORMINV(RAND(),0,B$7)</f>
        <v>-0.196932321675287</v>
      </c>
      <c r="C487" s="53" t="n">
        <f aca="true">NORMINV(RAND(),0,C$7)</f>
        <v>-0.681628068042296</v>
      </c>
      <c r="D487" s="53" t="n">
        <f aca="true">NORMINV(RAND(),0,D$7)</f>
        <v>-1.57396679919774</v>
      </c>
      <c r="E487" s="53" t="n">
        <f aca="true">NORMINV(RAND(),0,E$7)</f>
        <v>-0.20080096514856</v>
      </c>
      <c r="F487" s="53" t="n">
        <f aca="true">NORMINV(RAND(),0,F$7)</f>
        <v>-0.270845112917484</v>
      </c>
      <c r="G487" s="53" t="n">
        <f aca="true">NORMINV(RAND(),0,G$7)</f>
        <v>-0.154109413747897</v>
      </c>
      <c r="H487" s="53" t="n">
        <f aca="true">NORMINV(RAND(),0,H$7)</f>
        <v>-0.200014855978899</v>
      </c>
      <c r="I487" s="53" t="n">
        <f aca="false">SUM(B487:H487)</f>
        <v>-3.27829753670817</v>
      </c>
      <c r="J487" s="53" t="n">
        <f aca="true">NORMINV(RAND(),0,J$7)</f>
        <v>1.02173836646529</v>
      </c>
      <c r="K487" s="53" t="n">
        <f aca="true">NORMINV(RAND(),0,K$7)</f>
        <v>-0.466491427008129</v>
      </c>
      <c r="L487" s="53" t="n">
        <f aca="true">NORMINV(RAND(),0,L$7)</f>
        <v>0.635012918226391</v>
      </c>
      <c r="M487" s="53" t="n">
        <f aca="true">NORMINV(RAND(),0,M$7)</f>
        <v>0.403376345450805</v>
      </c>
      <c r="N487" s="53" t="n">
        <f aca="true">NORMINV(RAND(),0,N$7)</f>
        <v>0.136155019592476</v>
      </c>
      <c r="O487" s="53" t="n">
        <f aca="false">SUM(J487:N487)</f>
        <v>1.72979122272683</v>
      </c>
    </row>
    <row r="488" customFormat="false" ht="15" hidden="false" customHeight="false" outlineLevel="0" collapsed="false">
      <c r="A488" s="2" t="n">
        <v>480</v>
      </c>
      <c r="B488" s="53" t="n">
        <f aca="true">NORMINV(RAND(),0,B$7)</f>
        <v>-0.277071053212239</v>
      </c>
      <c r="C488" s="53" t="n">
        <f aca="true">NORMINV(RAND(),0,C$7)</f>
        <v>-1.45050394589263</v>
      </c>
      <c r="D488" s="53" t="n">
        <f aca="true">NORMINV(RAND(),0,D$7)</f>
        <v>0.340571394333673</v>
      </c>
      <c r="E488" s="53" t="n">
        <f aca="true">NORMINV(RAND(),0,E$7)</f>
        <v>0.517043218350115</v>
      </c>
      <c r="F488" s="53" t="n">
        <f aca="true">NORMINV(RAND(),0,F$7)</f>
        <v>0.0226133699724853</v>
      </c>
      <c r="G488" s="53" t="n">
        <f aca="true">NORMINV(RAND(),0,G$7)</f>
        <v>-0.840449474393832</v>
      </c>
      <c r="H488" s="53" t="n">
        <f aca="true">NORMINV(RAND(),0,H$7)</f>
        <v>0.10749973177188</v>
      </c>
      <c r="I488" s="53" t="n">
        <f aca="false">SUM(B488:H488)</f>
        <v>-1.58029675907054</v>
      </c>
      <c r="J488" s="53" t="n">
        <f aca="true">NORMINV(RAND(),0,J$7)</f>
        <v>2.01984656207929</v>
      </c>
      <c r="K488" s="53" t="n">
        <f aca="true">NORMINV(RAND(),0,K$7)</f>
        <v>0.126509429809535</v>
      </c>
      <c r="L488" s="53" t="n">
        <f aca="true">NORMINV(RAND(),0,L$7)</f>
        <v>-0.343755265991291</v>
      </c>
      <c r="M488" s="53" t="n">
        <f aca="true">NORMINV(RAND(),0,M$7)</f>
        <v>-0.212207662147678</v>
      </c>
      <c r="N488" s="53" t="n">
        <f aca="true">NORMINV(RAND(),0,N$7)</f>
        <v>0.473834379482406</v>
      </c>
      <c r="O488" s="53" t="n">
        <f aca="false">SUM(J488:N488)</f>
        <v>2.06422744323226</v>
      </c>
    </row>
    <row r="489" customFormat="false" ht="15" hidden="false" customHeight="false" outlineLevel="0" collapsed="false">
      <c r="A489" s="2" t="n">
        <v>481</v>
      </c>
      <c r="B489" s="53" t="n">
        <f aca="true">NORMINV(RAND(),0,B$7)</f>
        <v>-0.763685699853038</v>
      </c>
      <c r="C489" s="53" t="n">
        <f aca="true">NORMINV(RAND(),0,C$7)</f>
        <v>0.122620215946313</v>
      </c>
      <c r="D489" s="53" t="n">
        <f aca="true">NORMINV(RAND(),0,D$7)</f>
        <v>-0.862473296647938</v>
      </c>
      <c r="E489" s="53" t="n">
        <f aca="true">NORMINV(RAND(),0,E$7)</f>
        <v>-0.122665812937038</v>
      </c>
      <c r="F489" s="53" t="n">
        <f aca="true">NORMINV(RAND(),0,F$7)</f>
        <v>-0.418680949199564</v>
      </c>
      <c r="G489" s="53" t="n">
        <f aca="true">NORMINV(RAND(),0,G$7)</f>
        <v>1.02154689768176</v>
      </c>
      <c r="H489" s="53" t="n">
        <f aca="true">NORMINV(RAND(),0,H$7)</f>
        <v>0.53369103449416</v>
      </c>
      <c r="I489" s="53" t="n">
        <f aca="false">SUM(B489:H489)</f>
        <v>-0.489647610515347</v>
      </c>
      <c r="J489" s="53" t="n">
        <f aca="true">NORMINV(RAND(),0,J$7)</f>
        <v>3.34210889204015</v>
      </c>
      <c r="K489" s="53" t="n">
        <f aca="true">NORMINV(RAND(),0,K$7)</f>
        <v>1.22619026720847</v>
      </c>
      <c r="L489" s="53" t="n">
        <f aca="true">NORMINV(RAND(),0,L$7)</f>
        <v>0.362391078276133</v>
      </c>
      <c r="M489" s="53" t="n">
        <f aca="true">NORMINV(RAND(),0,M$7)</f>
        <v>-0.31396324355296</v>
      </c>
      <c r="N489" s="53" t="n">
        <f aca="true">NORMINV(RAND(),0,N$7)</f>
        <v>0.817774052105637</v>
      </c>
      <c r="O489" s="53" t="n">
        <f aca="false">SUM(J489:N489)</f>
        <v>5.43450104607743</v>
      </c>
    </row>
    <row r="490" customFormat="false" ht="15" hidden="false" customHeight="false" outlineLevel="0" collapsed="false">
      <c r="A490" s="2" t="n">
        <v>482</v>
      </c>
      <c r="B490" s="53" t="n">
        <f aca="true">NORMINV(RAND(),0,B$7)</f>
        <v>1.47693228289897</v>
      </c>
      <c r="C490" s="53" t="n">
        <f aca="true">NORMINV(RAND(),0,C$7)</f>
        <v>0.590985803996495</v>
      </c>
      <c r="D490" s="53" t="n">
        <f aca="true">NORMINV(RAND(),0,D$7)</f>
        <v>2.78809250967755</v>
      </c>
      <c r="E490" s="53" t="n">
        <f aca="true">NORMINV(RAND(),0,E$7)</f>
        <v>-0.663420172476851</v>
      </c>
      <c r="F490" s="53" t="n">
        <f aca="true">NORMINV(RAND(),0,F$7)</f>
        <v>-0.152794342710562</v>
      </c>
      <c r="G490" s="53" t="n">
        <f aca="true">NORMINV(RAND(),0,G$7)</f>
        <v>0.838710404180308</v>
      </c>
      <c r="H490" s="53" t="n">
        <f aca="true">NORMINV(RAND(),0,H$7)</f>
        <v>-0.400780230250947</v>
      </c>
      <c r="I490" s="53" t="n">
        <f aca="false">SUM(B490:H490)</f>
        <v>4.47772625531497</v>
      </c>
      <c r="J490" s="53" t="n">
        <f aca="true">NORMINV(RAND(),0,J$7)</f>
        <v>-2.60294203023699</v>
      </c>
      <c r="K490" s="53" t="n">
        <f aca="true">NORMINV(RAND(),0,K$7)</f>
        <v>-0.616536099395005</v>
      </c>
      <c r="L490" s="53" t="n">
        <f aca="true">NORMINV(RAND(),0,L$7)</f>
        <v>0.168117844854376</v>
      </c>
      <c r="M490" s="53" t="n">
        <f aca="true">NORMINV(RAND(),0,M$7)</f>
        <v>-0.229215675127276</v>
      </c>
      <c r="N490" s="53" t="n">
        <f aca="true">NORMINV(RAND(),0,N$7)</f>
        <v>-0.06524822984252</v>
      </c>
      <c r="O490" s="53" t="n">
        <f aca="false">SUM(J490:N490)</f>
        <v>-3.34582418974742</v>
      </c>
    </row>
    <row r="491" customFormat="false" ht="15" hidden="false" customHeight="false" outlineLevel="0" collapsed="false">
      <c r="A491" s="2" t="n">
        <v>483</v>
      </c>
      <c r="B491" s="53" t="n">
        <f aca="true">NORMINV(RAND(),0,B$7)</f>
        <v>-2.92170827409946</v>
      </c>
      <c r="C491" s="53" t="n">
        <f aca="true">NORMINV(RAND(),0,C$7)</f>
        <v>1.24737033056406</v>
      </c>
      <c r="D491" s="53" t="n">
        <f aca="true">NORMINV(RAND(),0,D$7)</f>
        <v>1.46614461748411</v>
      </c>
      <c r="E491" s="53" t="n">
        <f aca="true">NORMINV(RAND(),0,E$7)</f>
        <v>0.351883472318181</v>
      </c>
      <c r="F491" s="53" t="n">
        <f aca="true">NORMINV(RAND(),0,F$7)</f>
        <v>-0.0430793328114204</v>
      </c>
      <c r="G491" s="53" t="n">
        <f aca="true">NORMINV(RAND(),0,G$7)</f>
        <v>-2.30734196647613</v>
      </c>
      <c r="H491" s="53" t="n">
        <f aca="true">NORMINV(RAND(),0,H$7)</f>
        <v>0.503195703088223</v>
      </c>
      <c r="I491" s="53" t="n">
        <f aca="false">SUM(B491:H491)</f>
        <v>-1.70353544993244</v>
      </c>
      <c r="J491" s="53" t="n">
        <f aca="true">NORMINV(RAND(),0,J$7)</f>
        <v>-4.25047292335599</v>
      </c>
      <c r="K491" s="53" t="n">
        <f aca="true">NORMINV(RAND(),0,K$7)</f>
        <v>0.395071199495855</v>
      </c>
      <c r="L491" s="53" t="n">
        <f aca="true">NORMINV(RAND(),0,L$7)</f>
        <v>0.235320878623475</v>
      </c>
      <c r="M491" s="53" t="n">
        <f aca="true">NORMINV(RAND(),0,M$7)</f>
        <v>0.110472146025151</v>
      </c>
      <c r="N491" s="53" t="n">
        <f aca="true">NORMINV(RAND(),0,N$7)</f>
        <v>0.191256690549688</v>
      </c>
      <c r="O491" s="53" t="n">
        <f aca="false">SUM(J491:N491)</f>
        <v>-3.31835200866182</v>
      </c>
    </row>
    <row r="492" customFormat="false" ht="15" hidden="false" customHeight="false" outlineLevel="0" collapsed="false">
      <c r="A492" s="2" t="n">
        <v>484</v>
      </c>
      <c r="B492" s="53" t="n">
        <f aca="true">NORMINV(RAND(),0,B$7)</f>
        <v>0.187664200611254</v>
      </c>
      <c r="C492" s="53" t="n">
        <f aca="true">NORMINV(RAND(),0,C$7)</f>
        <v>-0.742757638317081</v>
      </c>
      <c r="D492" s="53" t="n">
        <f aca="true">NORMINV(RAND(),0,D$7)</f>
        <v>-0.542519670768955</v>
      </c>
      <c r="E492" s="53" t="n">
        <f aca="true">NORMINV(RAND(),0,E$7)</f>
        <v>0.603613496317576</v>
      </c>
      <c r="F492" s="53" t="n">
        <f aca="true">NORMINV(RAND(),0,F$7)</f>
        <v>-0.534400431523957</v>
      </c>
      <c r="G492" s="53" t="n">
        <f aca="true">NORMINV(RAND(),0,G$7)</f>
        <v>2.16804672628635</v>
      </c>
      <c r="H492" s="53" t="n">
        <f aca="true">NORMINV(RAND(),0,H$7)</f>
        <v>0.143967000933162</v>
      </c>
      <c r="I492" s="53" t="n">
        <f aca="false">SUM(B492:H492)</f>
        <v>1.28361368353835</v>
      </c>
      <c r="J492" s="53" t="n">
        <f aca="true">NORMINV(RAND(),0,J$7)</f>
        <v>-0.378306360728506</v>
      </c>
      <c r="K492" s="53" t="n">
        <f aca="true">NORMINV(RAND(),0,K$7)</f>
        <v>0.222775508662561</v>
      </c>
      <c r="L492" s="53" t="n">
        <f aca="true">NORMINV(RAND(),0,L$7)</f>
        <v>0.110802003188149</v>
      </c>
      <c r="M492" s="53" t="n">
        <f aca="true">NORMINV(RAND(),0,M$7)</f>
        <v>-0.0751189134686127</v>
      </c>
      <c r="N492" s="53" t="n">
        <f aca="true">NORMINV(RAND(),0,N$7)</f>
        <v>0.579347347924253</v>
      </c>
      <c r="O492" s="53" t="n">
        <f aca="false">SUM(J492:N492)</f>
        <v>0.459499585577844</v>
      </c>
    </row>
    <row r="493" customFormat="false" ht="15" hidden="false" customHeight="false" outlineLevel="0" collapsed="false">
      <c r="A493" s="2" t="n">
        <v>485</v>
      </c>
      <c r="B493" s="53" t="n">
        <f aca="true">NORMINV(RAND(),0,B$7)</f>
        <v>0.277295082575367</v>
      </c>
      <c r="C493" s="53" t="n">
        <f aca="true">NORMINV(RAND(),0,C$7)</f>
        <v>1.70481793180073</v>
      </c>
      <c r="D493" s="53" t="n">
        <f aca="true">NORMINV(RAND(),0,D$7)</f>
        <v>0.476298517562468</v>
      </c>
      <c r="E493" s="53" t="n">
        <f aca="true">NORMINV(RAND(),0,E$7)</f>
        <v>0.189427466575575</v>
      </c>
      <c r="F493" s="53" t="n">
        <f aca="true">NORMINV(RAND(),0,F$7)</f>
        <v>-0.205662383840944</v>
      </c>
      <c r="G493" s="53" t="n">
        <f aca="true">NORMINV(RAND(),0,G$7)</f>
        <v>-0.0366332211382567</v>
      </c>
      <c r="H493" s="53" t="n">
        <f aca="true">NORMINV(RAND(),0,H$7)</f>
        <v>-0.184816752631951</v>
      </c>
      <c r="I493" s="53" t="n">
        <f aca="false">SUM(B493:H493)</f>
        <v>2.22072664090299</v>
      </c>
      <c r="J493" s="53" t="n">
        <f aca="true">NORMINV(RAND(),0,J$7)</f>
        <v>1.27504100088603</v>
      </c>
      <c r="K493" s="53" t="n">
        <f aca="true">NORMINV(RAND(),0,K$7)</f>
        <v>-0.328701041872963</v>
      </c>
      <c r="L493" s="53" t="n">
        <f aca="true">NORMINV(RAND(),0,L$7)</f>
        <v>0.180738011984229</v>
      </c>
      <c r="M493" s="53" t="n">
        <f aca="true">NORMINV(RAND(),0,M$7)</f>
        <v>0.157914885175688</v>
      </c>
      <c r="N493" s="53" t="n">
        <f aca="true">NORMINV(RAND(),0,N$7)</f>
        <v>-0.368133731669606</v>
      </c>
      <c r="O493" s="53" t="n">
        <f aca="false">SUM(J493:N493)</f>
        <v>0.916859124503379</v>
      </c>
    </row>
    <row r="494" customFormat="false" ht="15" hidden="false" customHeight="false" outlineLevel="0" collapsed="false">
      <c r="A494" s="2" t="n">
        <v>486</v>
      </c>
      <c r="B494" s="53" t="n">
        <f aca="true">NORMINV(RAND(),0,B$7)</f>
        <v>-0.0625384557942795</v>
      </c>
      <c r="C494" s="53" t="n">
        <f aca="true">NORMINV(RAND(),0,C$7)</f>
        <v>-0.733254653723995</v>
      </c>
      <c r="D494" s="53" t="n">
        <f aca="true">NORMINV(RAND(),0,D$7)</f>
        <v>-2.28598933459805</v>
      </c>
      <c r="E494" s="53" t="n">
        <f aca="true">NORMINV(RAND(),0,E$7)</f>
        <v>0.631644601214824</v>
      </c>
      <c r="F494" s="53" t="n">
        <f aca="true">NORMINV(RAND(),0,F$7)</f>
        <v>0.238118277861252</v>
      </c>
      <c r="G494" s="53" t="n">
        <f aca="true">NORMINV(RAND(),0,G$7)</f>
        <v>-0.306827237507988</v>
      </c>
      <c r="H494" s="53" t="n">
        <f aca="true">NORMINV(RAND(),0,H$7)</f>
        <v>0.177873093972773</v>
      </c>
      <c r="I494" s="53" t="n">
        <f aca="false">SUM(B494:H494)</f>
        <v>-2.34097370857547</v>
      </c>
      <c r="J494" s="53" t="n">
        <f aca="true">NORMINV(RAND(),0,J$7)</f>
        <v>-4.80007711821902</v>
      </c>
      <c r="K494" s="53" t="n">
        <f aca="true">NORMINV(RAND(),0,K$7)</f>
        <v>-1.09740387754648</v>
      </c>
      <c r="L494" s="53" t="n">
        <f aca="true">NORMINV(RAND(),0,L$7)</f>
        <v>0.0436417191759466</v>
      </c>
      <c r="M494" s="53" t="n">
        <f aca="true">NORMINV(RAND(),0,M$7)</f>
        <v>0.154509787947189</v>
      </c>
      <c r="N494" s="53" t="n">
        <f aca="true">NORMINV(RAND(),0,N$7)</f>
        <v>-0.739549741481865</v>
      </c>
      <c r="O494" s="53" t="n">
        <f aca="false">SUM(J494:N494)</f>
        <v>-6.43887923012422</v>
      </c>
    </row>
    <row r="495" customFormat="false" ht="15" hidden="false" customHeight="false" outlineLevel="0" collapsed="false">
      <c r="A495" s="2" t="n">
        <v>487</v>
      </c>
      <c r="B495" s="53" t="n">
        <f aca="true">NORMINV(RAND(),0,B$7)</f>
        <v>0.600572887139663</v>
      </c>
      <c r="C495" s="53" t="n">
        <f aca="true">NORMINV(RAND(),0,C$7)</f>
        <v>-0.0626119195846924</v>
      </c>
      <c r="D495" s="53" t="n">
        <f aca="true">NORMINV(RAND(),0,D$7)</f>
        <v>2.04872310755573</v>
      </c>
      <c r="E495" s="53" t="n">
        <f aca="true">NORMINV(RAND(),0,E$7)</f>
        <v>0.27652605511537</v>
      </c>
      <c r="F495" s="53" t="n">
        <f aca="true">NORMINV(RAND(),0,F$7)</f>
        <v>0.454672750998861</v>
      </c>
      <c r="G495" s="53" t="n">
        <f aca="true">NORMINV(RAND(),0,G$7)</f>
        <v>-0.618863118753597</v>
      </c>
      <c r="H495" s="53" t="n">
        <f aca="true">NORMINV(RAND(),0,H$7)</f>
        <v>0.0343577506562815</v>
      </c>
      <c r="I495" s="53" t="n">
        <f aca="false">SUM(B495:H495)</f>
        <v>2.73337751312762</v>
      </c>
      <c r="J495" s="53" t="n">
        <f aca="true">NORMINV(RAND(),0,J$7)</f>
        <v>1.1142401660408</v>
      </c>
      <c r="K495" s="53" t="n">
        <f aca="true">NORMINV(RAND(),0,K$7)</f>
        <v>-0.318476864423572</v>
      </c>
      <c r="L495" s="53" t="n">
        <f aca="true">NORMINV(RAND(),0,L$7)</f>
        <v>-0.24894557673557</v>
      </c>
      <c r="M495" s="53" t="n">
        <f aca="true">NORMINV(RAND(),0,M$7)</f>
        <v>-0.209188000311512</v>
      </c>
      <c r="N495" s="53" t="n">
        <f aca="true">NORMINV(RAND(),0,N$7)</f>
        <v>-0.302625710998301</v>
      </c>
      <c r="O495" s="53" t="n">
        <f aca="false">SUM(J495:N495)</f>
        <v>0.0350040135718489</v>
      </c>
    </row>
    <row r="496" customFormat="false" ht="15" hidden="false" customHeight="false" outlineLevel="0" collapsed="false">
      <c r="A496" s="2" t="n">
        <v>488</v>
      </c>
      <c r="B496" s="53" t="n">
        <f aca="true">NORMINV(RAND(),0,B$7)</f>
        <v>0.793674815532986</v>
      </c>
      <c r="C496" s="53" t="n">
        <f aca="true">NORMINV(RAND(),0,C$7)</f>
        <v>-1.39375554115037</v>
      </c>
      <c r="D496" s="53" t="n">
        <f aca="true">NORMINV(RAND(),0,D$7)</f>
        <v>0.876377678536567</v>
      </c>
      <c r="E496" s="53" t="n">
        <f aca="true">NORMINV(RAND(),0,E$7)</f>
        <v>-0.452768444696082</v>
      </c>
      <c r="F496" s="53" t="n">
        <f aca="true">NORMINV(RAND(),0,F$7)</f>
        <v>-0.596660379109215</v>
      </c>
      <c r="G496" s="53" t="n">
        <f aca="true">NORMINV(RAND(),0,G$7)</f>
        <v>-0.109460273971839</v>
      </c>
      <c r="H496" s="53" t="n">
        <f aca="true">NORMINV(RAND(),0,H$7)</f>
        <v>0.430294570038398</v>
      </c>
      <c r="I496" s="53" t="n">
        <f aca="false">SUM(B496:H496)</f>
        <v>-0.452297574819551</v>
      </c>
      <c r="J496" s="53" t="n">
        <f aca="true">NORMINV(RAND(),0,J$7)</f>
        <v>-1.47274604765544</v>
      </c>
      <c r="K496" s="53" t="n">
        <f aca="true">NORMINV(RAND(),0,K$7)</f>
        <v>0.573596676693487</v>
      </c>
      <c r="L496" s="53" t="n">
        <f aca="true">NORMINV(RAND(),0,L$7)</f>
        <v>-0.16177739811774</v>
      </c>
      <c r="M496" s="53" t="n">
        <f aca="true">NORMINV(RAND(),0,M$7)</f>
        <v>0.15921238065188</v>
      </c>
      <c r="N496" s="53" t="n">
        <f aca="true">NORMINV(RAND(),0,N$7)</f>
        <v>-0.0742403624110257</v>
      </c>
      <c r="O496" s="53" t="n">
        <f aca="false">SUM(J496:N496)</f>
        <v>-0.975954750838843</v>
      </c>
    </row>
    <row r="497" customFormat="false" ht="15" hidden="false" customHeight="false" outlineLevel="0" collapsed="false">
      <c r="A497" s="2" t="n">
        <v>489</v>
      </c>
      <c r="B497" s="53" t="n">
        <f aca="true">NORMINV(RAND(),0,B$7)</f>
        <v>1.44669454227374</v>
      </c>
      <c r="C497" s="53" t="n">
        <f aca="true">NORMINV(RAND(),0,C$7)</f>
        <v>0.130998852612997</v>
      </c>
      <c r="D497" s="53" t="n">
        <f aca="true">NORMINV(RAND(),0,D$7)</f>
        <v>-1.89870752058551</v>
      </c>
      <c r="E497" s="53" t="n">
        <f aca="true">NORMINV(RAND(),0,E$7)</f>
        <v>-0.875052991495703</v>
      </c>
      <c r="F497" s="53" t="n">
        <f aca="true">NORMINV(RAND(),0,F$7)</f>
        <v>-0.558737568783539</v>
      </c>
      <c r="G497" s="53" t="n">
        <f aca="true">NORMINV(RAND(),0,G$7)</f>
        <v>0.819026111908419</v>
      </c>
      <c r="H497" s="53" t="n">
        <f aca="true">NORMINV(RAND(),0,H$7)</f>
        <v>-0.353232787348421</v>
      </c>
      <c r="I497" s="53" t="n">
        <f aca="false">SUM(B497:H497)</f>
        <v>-1.28901136141802</v>
      </c>
      <c r="J497" s="53" t="n">
        <f aca="true">NORMINV(RAND(),0,J$7)</f>
        <v>-0.0260483297466825</v>
      </c>
      <c r="K497" s="53" t="n">
        <f aca="true">NORMINV(RAND(),0,K$7)</f>
        <v>-0.555088501648981</v>
      </c>
      <c r="L497" s="53" t="n">
        <f aca="true">NORMINV(RAND(),0,L$7)</f>
        <v>-0.463090156836546</v>
      </c>
      <c r="M497" s="53" t="n">
        <f aca="true">NORMINV(RAND(),0,M$7)</f>
        <v>0.0205227096203287</v>
      </c>
      <c r="N497" s="53" t="n">
        <f aca="true">NORMINV(RAND(),0,N$7)</f>
        <v>0.153928031982162</v>
      </c>
      <c r="O497" s="53" t="n">
        <f aca="false">SUM(J497:N497)</f>
        <v>-0.869776246629718</v>
      </c>
    </row>
    <row r="498" customFormat="false" ht="15" hidden="false" customHeight="false" outlineLevel="0" collapsed="false">
      <c r="A498" s="2" t="n">
        <v>490</v>
      </c>
      <c r="B498" s="53" t="n">
        <f aca="true">NORMINV(RAND(),0,B$7)</f>
        <v>1.18856967598861</v>
      </c>
      <c r="C498" s="53" t="n">
        <f aca="true">NORMINV(RAND(),0,C$7)</f>
        <v>0.508688030005517</v>
      </c>
      <c r="D498" s="53" t="n">
        <f aca="true">NORMINV(RAND(),0,D$7)</f>
        <v>0.289384652841585</v>
      </c>
      <c r="E498" s="53" t="n">
        <f aca="true">NORMINV(RAND(),0,E$7)</f>
        <v>-0.205873022442054</v>
      </c>
      <c r="F498" s="53" t="n">
        <f aca="true">NORMINV(RAND(),0,F$7)</f>
        <v>-0.0912540837134725</v>
      </c>
      <c r="G498" s="53" t="n">
        <f aca="true">NORMINV(RAND(),0,G$7)</f>
        <v>-1.46970909958339</v>
      </c>
      <c r="H498" s="53" t="n">
        <f aca="true">NORMINV(RAND(),0,H$7)</f>
        <v>-0.416192109418506</v>
      </c>
      <c r="I498" s="53" t="n">
        <f aca="false">SUM(B498:H498)</f>
        <v>-0.196385956321707</v>
      </c>
      <c r="J498" s="53" t="n">
        <f aca="true">NORMINV(RAND(),0,J$7)</f>
        <v>0.0380855462630549</v>
      </c>
      <c r="K498" s="53" t="n">
        <f aca="true">NORMINV(RAND(),0,K$7)</f>
        <v>0.176677208071006</v>
      </c>
      <c r="L498" s="53" t="n">
        <f aca="true">NORMINV(RAND(),0,L$7)</f>
        <v>-0.0249096196674375</v>
      </c>
      <c r="M498" s="53" t="n">
        <f aca="true">NORMINV(RAND(),0,M$7)</f>
        <v>0.100075188514384</v>
      </c>
      <c r="N498" s="53" t="n">
        <f aca="true">NORMINV(RAND(),0,N$7)</f>
        <v>0.563012611071154</v>
      </c>
      <c r="O498" s="53" t="n">
        <f aca="false">SUM(J498:N498)</f>
        <v>0.852940934252162</v>
      </c>
    </row>
    <row r="499" customFormat="false" ht="15" hidden="false" customHeight="false" outlineLevel="0" collapsed="false">
      <c r="A499" s="2" t="n">
        <v>491</v>
      </c>
      <c r="B499" s="53" t="n">
        <f aca="true">NORMINV(RAND(),0,B$7)</f>
        <v>-0.0295255043121632</v>
      </c>
      <c r="C499" s="53" t="n">
        <f aca="true">NORMINV(RAND(),0,C$7)</f>
        <v>1.67773421470017</v>
      </c>
      <c r="D499" s="53" t="n">
        <f aca="true">NORMINV(RAND(),0,D$7)</f>
        <v>1.5304229101448</v>
      </c>
      <c r="E499" s="53" t="n">
        <f aca="true">NORMINV(RAND(),0,E$7)</f>
        <v>0.318797645669766</v>
      </c>
      <c r="F499" s="53" t="n">
        <f aca="true">NORMINV(RAND(),0,F$7)</f>
        <v>0.386779038920379</v>
      </c>
      <c r="G499" s="53" t="n">
        <f aca="true">NORMINV(RAND(),0,G$7)</f>
        <v>-0.815884694274773</v>
      </c>
      <c r="H499" s="53" t="n">
        <f aca="true">NORMINV(RAND(),0,H$7)</f>
        <v>0.361528122694184</v>
      </c>
      <c r="I499" s="53" t="n">
        <f aca="false">SUM(B499:H499)</f>
        <v>3.42985173354237</v>
      </c>
      <c r="J499" s="53" t="n">
        <f aca="true">NORMINV(RAND(),0,J$7)</f>
        <v>-0.420517884995754</v>
      </c>
      <c r="K499" s="53" t="n">
        <f aca="true">NORMINV(RAND(),0,K$7)</f>
        <v>0.859909372424033</v>
      </c>
      <c r="L499" s="53" t="n">
        <f aca="true">NORMINV(RAND(),0,L$7)</f>
        <v>-0.195098358426223</v>
      </c>
      <c r="M499" s="53" t="n">
        <f aca="true">NORMINV(RAND(),0,M$7)</f>
        <v>0.013873333613209</v>
      </c>
      <c r="N499" s="53" t="n">
        <f aca="true">NORMINV(RAND(),0,N$7)</f>
        <v>-0.15754886981642</v>
      </c>
      <c r="O499" s="53" t="n">
        <f aca="false">SUM(J499:N499)</f>
        <v>0.100617592798846</v>
      </c>
    </row>
    <row r="500" customFormat="false" ht="15" hidden="false" customHeight="false" outlineLevel="0" collapsed="false">
      <c r="A500" s="2" t="n">
        <v>492</v>
      </c>
      <c r="B500" s="53" t="n">
        <f aca="true">NORMINV(RAND(),0,B$7)</f>
        <v>-0.971794352305979</v>
      </c>
      <c r="C500" s="53" t="n">
        <f aca="true">NORMINV(RAND(),0,C$7)</f>
        <v>0.860226468836522</v>
      </c>
      <c r="D500" s="53" t="n">
        <f aca="true">NORMINV(RAND(),0,D$7)</f>
        <v>-0.17576847631958</v>
      </c>
      <c r="E500" s="53" t="n">
        <f aca="true">NORMINV(RAND(),0,E$7)</f>
        <v>-0.2224711833978</v>
      </c>
      <c r="F500" s="53" t="n">
        <f aca="true">NORMINV(RAND(),0,F$7)</f>
        <v>-0.0828712884256106</v>
      </c>
      <c r="G500" s="53" t="n">
        <f aca="true">NORMINV(RAND(),0,G$7)</f>
        <v>-0.349494654630122</v>
      </c>
      <c r="H500" s="53" t="n">
        <f aca="true">NORMINV(RAND(),0,H$7)</f>
        <v>0.0681960827532248</v>
      </c>
      <c r="I500" s="53" t="n">
        <f aca="false">SUM(B500:H500)</f>
        <v>-0.873977403489345</v>
      </c>
      <c r="J500" s="53" t="n">
        <f aca="true">NORMINV(RAND(),0,J$7)</f>
        <v>1.52490499028398</v>
      </c>
      <c r="K500" s="53" t="n">
        <f aca="true">NORMINV(RAND(),0,K$7)</f>
        <v>0.460984264861399</v>
      </c>
      <c r="L500" s="53" t="n">
        <f aca="true">NORMINV(RAND(),0,L$7)</f>
        <v>0.0987306650702449</v>
      </c>
      <c r="M500" s="53" t="n">
        <f aca="true">NORMINV(RAND(),0,M$7)</f>
        <v>-0.144239456110561</v>
      </c>
      <c r="N500" s="53" t="n">
        <f aca="true">NORMINV(RAND(),0,N$7)</f>
        <v>-0.00515051213694104</v>
      </c>
      <c r="O500" s="53" t="n">
        <f aca="false">SUM(J500:N500)</f>
        <v>1.93522995196812</v>
      </c>
    </row>
    <row r="501" customFormat="false" ht="15" hidden="false" customHeight="false" outlineLevel="0" collapsed="false">
      <c r="A501" s="2" t="n">
        <v>493</v>
      </c>
      <c r="B501" s="53" t="n">
        <f aca="true">NORMINV(RAND(),0,B$7)</f>
        <v>0.523764015970306</v>
      </c>
      <c r="C501" s="53" t="n">
        <f aca="true">NORMINV(RAND(),0,C$7)</f>
        <v>-1.22915305291839</v>
      </c>
      <c r="D501" s="53" t="n">
        <f aca="true">NORMINV(RAND(),0,D$7)</f>
        <v>1.17644315878804</v>
      </c>
      <c r="E501" s="53" t="n">
        <f aca="true">NORMINV(RAND(),0,E$7)</f>
        <v>-0.217336687980927</v>
      </c>
      <c r="F501" s="53" t="n">
        <f aca="true">NORMINV(RAND(),0,F$7)</f>
        <v>0.0569881221012343</v>
      </c>
      <c r="G501" s="53" t="n">
        <f aca="true">NORMINV(RAND(),0,G$7)</f>
        <v>-0.0571829368333169</v>
      </c>
      <c r="H501" s="53" t="n">
        <f aca="true">NORMINV(RAND(),0,H$7)</f>
        <v>-0.311205488362459</v>
      </c>
      <c r="I501" s="53" t="n">
        <f aca="false">SUM(B501:H501)</f>
        <v>-0.0576828692355127</v>
      </c>
      <c r="J501" s="53" t="n">
        <f aca="true">NORMINV(RAND(),0,J$7)</f>
        <v>-0.150010116793371</v>
      </c>
      <c r="K501" s="53" t="n">
        <f aca="true">NORMINV(RAND(),0,K$7)</f>
        <v>-0.0367696052972034</v>
      </c>
      <c r="L501" s="53" t="n">
        <f aca="true">NORMINV(RAND(),0,L$7)</f>
        <v>0.581541699740475</v>
      </c>
      <c r="M501" s="53" t="n">
        <f aca="true">NORMINV(RAND(),0,M$7)</f>
        <v>0.0945329908332313</v>
      </c>
      <c r="N501" s="53" t="n">
        <f aca="true">NORMINV(RAND(),0,N$7)</f>
        <v>0.1975511366585</v>
      </c>
      <c r="O501" s="53" t="n">
        <f aca="false">SUM(J501:N501)</f>
        <v>0.686846105141633</v>
      </c>
    </row>
    <row r="502" customFormat="false" ht="15" hidden="false" customHeight="false" outlineLevel="0" collapsed="false">
      <c r="A502" s="2" t="n">
        <v>494</v>
      </c>
      <c r="B502" s="53" t="n">
        <f aca="true">NORMINV(RAND(),0,B$7)</f>
        <v>-2.49469476728969</v>
      </c>
      <c r="C502" s="53" t="n">
        <f aca="true">NORMINV(RAND(),0,C$7)</f>
        <v>1.19227584223345</v>
      </c>
      <c r="D502" s="53" t="n">
        <f aca="true">NORMINV(RAND(),0,D$7)</f>
        <v>0.21919775778694</v>
      </c>
      <c r="E502" s="53" t="n">
        <f aca="true">NORMINV(RAND(),0,E$7)</f>
        <v>0.136953398412547</v>
      </c>
      <c r="F502" s="53" t="n">
        <f aca="true">NORMINV(RAND(),0,F$7)</f>
        <v>0.0748643457025749</v>
      </c>
      <c r="G502" s="53" t="n">
        <f aca="true">NORMINV(RAND(),0,G$7)</f>
        <v>-0.910451244527411</v>
      </c>
      <c r="H502" s="53" t="n">
        <f aca="true">NORMINV(RAND(),0,H$7)</f>
        <v>-0.0422826046848428</v>
      </c>
      <c r="I502" s="53" t="n">
        <f aca="false">SUM(B502:H502)</f>
        <v>-1.82413727236644</v>
      </c>
      <c r="J502" s="53" t="n">
        <f aca="true">NORMINV(RAND(),0,J$7)</f>
        <v>-2.23471471160436</v>
      </c>
      <c r="K502" s="53" t="n">
        <f aca="true">NORMINV(RAND(),0,K$7)</f>
        <v>0.375608060958995</v>
      </c>
      <c r="L502" s="53" t="n">
        <f aca="true">NORMINV(RAND(),0,L$7)</f>
        <v>0.678005129630123</v>
      </c>
      <c r="M502" s="53" t="n">
        <f aca="true">NORMINV(RAND(),0,M$7)</f>
        <v>0.0615489123824111</v>
      </c>
      <c r="N502" s="53" t="n">
        <f aca="true">NORMINV(RAND(),0,N$7)</f>
        <v>-0.303947417393642</v>
      </c>
      <c r="O502" s="53" t="n">
        <f aca="false">SUM(J502:N502)</f>
        <v>-1.42350002602647</v>
      </c>
    </row>
    <row r="503" customFormat="false" ht="15" hidden="false" customHeight="false" outlineLevel="0" collapsed="false">
      <c r="A503" s="2" t="n">
        <v>495</v>
      </c>
      <c r="B503" s="53" t="n">
        <f aca="true">NORMINV(RAND(),0,B$7)</f>
        <v>1.895720908205</v>
      </c>
      <c r="C503" s="53" t="n">
        <f aca="true">NORMINV(RAND(),0,C$7)</f>
        <v>2.25794634516994</v>
      </c>
      <c r="D503" s="53" t="n">
        <f aca="true">NORMINV(RAND(),0,D$7)</f>
        <v>-1.62733534729124</v>
      </c>
      <c r="E503" s="53" t="n">
        <f aca="true">NORMINV(RAND(),0,E$7)</f>
        <v>-0.277641809798329</v>
      </c>
      <c r="F503" s="53" t="n">
        <f aca="true">NORMINV(RAND(),0,F$7)</f>
        <v>0.557264059601707</v>
      </c>
      <c r="G503" s="53" t="n">
        <f aca="true">NORMINV(RAND(),0,G$7)</f>
        <v>0.438414112173892</v>
      </c>
      <c r="H503" s="53" t="n">
        <f aca="true">NORMINV(RAND(),0,H$7)</f>
        <v>0.0769833443240872</v>
      </c>
      <c r="I503" s="53" t="n">
        <f aca="false">SUM(B503:H503)</f>
        <v>3.32135161238506</v>
      </c>
      <c r="J503" s="53" t="n">
        <f aca="true">NORMINV(RAND(),0,J$7)</f>
        <v>-0.0844554177691876</v>
      </c>
      <c r="K503" s="53" t="n">
        <f aca="true">NORMINV(RAND(),0,K$7)</f>
        <v>-0.461340327512297</v>
      </c>
      <c r="L503" s="53" t="n">
        <f aca="true">NORMINV(RAND(),0,L$7)</f>
        <v>0.509584852025057</v>
      </c>
      <c r="M503" s="53" t="n">
        <f aca="true">NORMINV(RAND(),0,M$7)</f>
        <v>0.219877369214059</v>
      </c>
      <c r="N503" s="53" t="n">
        <f aca="true">NORMINV(RAND(),0,N$7)</f>
        <v>-0.439366651825758</v>
      </c>
      <c r="O503" s="53" t="n">
        <f aca="false">SUM(J503:N503)</f>
        <v>-0.255700175868127</v>
      </c>
    </row>
    <row r="504" customFormat="false" ht="15" hidden="false" customHeight="false" outlineLevel="0" collapsed="false">
      <c r="A504" s="2" t="n">
        <v>496</v>
      </c>
      <c r="B504" s="53" t="n">
        <f aca="true">NORMINV(RAND(),0,B$7)</f>
        <v>-0.868452164597281</v>
      </c>
      <c r="C504" s="53" t="n">
        <f aca="true">NORMINV(RAND(),0,C$7)</f>
        <v>4.00030877707347</v>
      </c>
      <c r="D504" s="53" t="n">
        <f aca="true">NORMINV(RAND(),0,D$7)</f>
        <v>1.20652197878448</v>
      </c>
      <c r="E504" s="53" t="n">
        <f aca="true">NORMINV(RAND(),0,E$7)</f>
        <v>0.255957430286579</v>
      </c>
      <c r="F504" s="53" t="n">
        <f aca="true">NORMINV(RAND(),0,F$7)</f>
        <v>0.258473917960095</v>
      </c>
      <c r="G504" s="53" t="n">
        <f aca="true">NORMINV(RAND(),0,G$7)</f>
        <v>-0.483979597031024</v>
      </c>
      <c r="H504" s="53" t="n">
        <f aca="true">NORMINV(RAND(),0,H$7)</f>
        <v>0.805545795449767</v>
      </c>
      <c r="I504" s="53" t="n">
        <f aca="false">SUM(B504:H504)</f>
        <v>5.17437613792609</v>
      </c>
      <c r="J504" s="53" t="n">
        <f aca="true">NORMINV(RAND(),0,J$7)</f>
        <v>2.01994098646716</v>
      </c>
      <c r="K504" s="53" t="n">
        <f aca="true">NORMINV(RAND(),0,K$7)</f>
        <v>-0.50478627335594</v>
      </c>
      <c r="L504" s="53" t="n">
        <f aca="true">NORMINV(RAND(),0,L$7)</f>
        <v>0.348589722610573</v>
      </c>
      <c r="M504" s="53" t="n">
        <f aca="true">NORMINV(RAND(),0,M$7)</f>
        <v>-0.350830219883861</v>
      </c>
      <c r="N504" s="53" t="n">
        <f aca="true">NORMINV(RAND(),0,N$7)</f>
        <v>0.184326149412694</v>
      </c>
      <c r="O504" s="53" t="n">
        <f aca="false">SUM(J504:N504)</f>
        <v>1.69724036525063</v>
      </c>
    </row>
    <row r="505" customFormat="false" ht="15" hidden="false" customHeight="false" outlineLevel="0" collapsed="false">
      <c r="A505" s="2" t="n">
        <v>497</v>
      </c>
      <c r="B505" s="53" t="n">
        <f aca="true">NORMINV(RAND(),0,B$7)</f>
        <v>0.481002110776647</v>
      </c>
      <c r="C505" s="53" t="n">
        <f aca="true">NORMINV(RAND(),0,C$7)</f>
        <v>-0.303900123154992</v>
      </c>
      <c r="D505" s="53" t="n">
        <f aca="true">NORMINV(RAND(),0,D$7)</f>
        <v>0.0398184627837759</v>
      </c>
      <c r="E505" s="53" t="n">
        <f aca="true">NORMINV(RAND(),0,E$7)</f>
        <v>-0.407571924299173</v>
      </c>
      <c r="F505" s="53" t="n">
        <f aca="true">NORMINV(RAND(),0,F$7)</f>
        <v>0.102341132809255</v>
      </c>
      <c r="G505" s="53" t="n">
        <f aca="true">NORMINV(RAND(),0,G$7)</f>
        <v>0.485551660706501</v>
      </c>
      <c r="H505" s="53" t="n">
        <f aca="true">NORMINV(RAND(),0,H$7)</f>
        <v>-0.45036459667279</v>
      </c>
      <c r="I505" s="53" t="n">
        <f aca="false">SUM(B505:H505)</f>
        <v>-0.0531232770507763</v>
      </c>
      <c r="J505" s="53" t="n">
        <f aca="true">NORMINV(RAND(),0,J$7)</f>
        <v>-1.97063689823372</v>
      </c>
      <c r="K505" s="53" t="n">
        <f aca="true">NORMINV(RAND(),0,K$7)</f>
        <v>1.5457041411009</v>
      </c>
      <c r="L505" s="53" t="n">
        <f aca="true">NORMINV(RAND(),0,L$7)</f>
        <v>-0.747329795791785</v>
      </c>
      <c r="M505" s="53" t="n">
        <f aca="true">NORMINV(RAND(),0,M$7)</f>
        <v>-0.307626264251741</v>
      </c>
      <c r="N505" s="53" t="n">
        <f aca="true">NORMINV(RAND(),0,N$7)</f>
        <v>0.279833515871785</v>
      </c>
      <c r="O505" s="53" t="n">
        <f aca="false">SUM(J505:N505)</f>
        <v>-1.20005530130456</v>
      </c>
    </row>
    <row r="506" customFormat="false" ht="15" hidden="false" customHeight="false" outlineLevel="0" collapsed="false">
      <c r="A506" s="2" t="n">
        <v>498</v>
      </c>
      <c r="B506" s="53" t="n">
        <f aca="true">NORMINV(RAND(),0,B$7)</f>
        <v>1.28267062521155</v>
      </c>
      <c r="C506" s="53" t="n">
        <f aca="true">NORMINV(RAND(),0,C$7)</f>
        <v>-0.0749951667476363</v>
      </c>
      <c r="D506" s="53" t="n">
        <f aca="true">NORMINV(RAND(),0,D$7)</f>
        <v>-0.317347561942814</v>
      </c>
      <c r="E506" s="53" t="n">
        <f aca="true">NORMINV(RAND(),0,E$7)</f>
        <v>0.352038407923938</v>
      </c>
      <c r="F506" s="53" t="n">
        <f aca="true">NORMINV(RAND(),0,F$7)</f>
        <v>0.0252217878086401</v>
      </c>
      <c r="G506" s="53" t="n">
        <f aca="true">NORMINV(RAND(),0,G$7)</f>
        <v>-4.55843676001862</v>
      </c>
      <c r="H506" s="53" t="n">
        <f aca="true">NORMINV(RAND(),0,H$7)</f>
        <v>0.186210333339868</v>
      </c>
      <c r="I506" s="53" t="n">
        <f aca="false">SUM(B506:H506)</f>
        <v>-3.10463833442508</v>
      </c>
      <c r="J506" s="53" t="n">
        <f aca="true">NORMINV(RAND(),0,J$7)</f>
        <v>3.14321679328777</v>
      </c>
      <c r="K506" s="53" t="n">
        <f aca="true">NORMINV(RAND(),0,K$7)</f>
        <v>-0.598444706999908</v>
      </c>
      <c r="L506" s="53" t="n">
        <f aca="true">NORMINV(RAND(),0,L$7)</f>
        <v>-0.284146551958073</v>
      </c>
      <c r="M506" s="53" t="n">
        <f aca="true">NORMINV(RAND(),0,M$7)</f>
        <v>0.012547192376333</v>
      </c>
      <c r="N506" s="53" t="n">
        <f aca="true">NORMINV(RAND(),0,N$7)</f>
        <v>0.375399452692356</v>
      </c>
      <c r="O506" s="53" t="n">
        <f aca="false">SUM(J506:N506)</f>
        <v>2.64857217939848</v>
      </c>
    </row>
    <row r="507" customFormat="false" ht="15" hidden="false" customHeight="false" outlineLevel="0" collapsed="false">
      <c r="A507" s="2" t="n">
        <v>499</v>
      </c>
      <c r="B507" s="53" t="n">
        <f aca="true">NORMINV(RAND(),0,B$7)</f>
        <v>-2.29087928575471</v>
      </c>
      <c r="C507" s="53" t="n">
        <f aca="true">NORMINV(RAND(),0,C$7)</f>
        <v>0.17558091337363</v>
      </c>
      <c r="D507" s="53" t="n">
        <f aca="true">NORMINV(RAND(),0,D$7)</f>
        <v>1.0367742868053</v>
      </c>
      <c r="E507" s="53" t="n">
        <f aca="true">NORMINV(RAND(),0,E$7)</f>
        <v>0.0682014010930532</v>
      </c>
      <c r="F507" s="53" t="n">
        <f aca="true">NORMINV(RAND(),0,F$7)</f>
        <v>-0.0117063948409432</v>
      </c>
      <c r="G507" s="53" t="n">
        <f aca="true">NORMINV(RAND(),0,G$7)</f>
        <v>-0.287599742903046</v>
      </c>
      <c r="H507" s="53" t="n">
        <f aca="true">NORMINV(RAND(),0,H$7)</f>
        <v>-0.414253249212186</v>
      </c>
      <c r="I507" s="53" t="n">
        <f aca="false">SUM(B507:H507)</f>
        <v>-1.72388207143891</v>
      </c>
      <c r="J507" s="53" t="n">
        <f aca="true">NORMINV(RAND(),0,J$7)</f>
        <v>3.50758302633776</v>
      </c>
      <c r="K507" s="53" t="n">
        <f aca="true">NORMINV(RAND(),0,K$7)</f>
        <v>-1.44502526872422</v>
      </c>
      <c r="L507" s="53" t="n">
        <f aca="true">NORMINV(RAND(),0,L$7)</f>
        <v>0.501257559521404</v>
      </c>
      <c r="M507" s="53" t="n">
        <f aca="true">NORMINV(RAND(),0,M$7)</f>
        <v>-0.0162451856776896</v>
      </c>
      <c r="N507" s="53" t="n">
        <f aca="true">NORMINV(RAND(),0,N$7)</f>
        <v>0.388543839889073</v>
      </c>
      <c r="O507" s="53" t="n">
        <f aca="false">SUM(J507:N507)</f>
        <v>2.93611397134633</v>
      </c>
    </row>
    <row r="508" customFormat="false" ht="15" hidden="false" customHeight="false" outlineLevel="0" collapsed="false">
      <c r="A508" s="2" t="n">
        <v>500</v>
      </c>
      <c r="B508" s="53" t="n">
        <f aca="true">NORMINV(RAND(),0,B$7)</f>
        <v>-1.49746086968665</v>
      </c>
      <c r="C508" s="53" t="n">
        <f aca="true">NORMINV(RAND(),0,C$7)</f>
        <v>0.487130623881201</v>
      </c>
      <c r="D508" s="53" t="n">
        <f aca="true">NORMINV(RAND(),0,D$7)</f>
        <v>4.3961608140649</v>
      </c>
      <c r="E508" s="53" t="n">
        <f aca="true">NORMINV(RAND(),0,E$7)</f>
        <v>0.105275807691181</v>
      </c>
      <c r="F508" s="53" t="n">
        <f aca="true">NORMINV(RAND(),0,F$7)</f>
        <v>0.0875378709519199</v>
      </c>
      <c r="G508" s="53" t="n">
        <f aca="true">NORMINV(RAND(),0,G$7)</f>
        <v>-1.11966930646366</v>
      </c>
      <c r="H508" s="53" t="n">
        <f aca="true">NORMINV(RAND(),0,H$7)</f>
        <v>-0.363477427130425</v>
      </c>
      <c r="I508" s="53" t="n">
        <f aca="false">SUM(B508:H508)</f>
        <v>2.09549751330847</v>
      </c>
      <c r="J508" s="53" t="n">
        <f aca="true">NORMINV(RAND(),0,J$7)</f>
        <v>2.18532934352563</v>
      </c>
      <c r="K508" s="53" t="n">
        <f aca="true">NORMINV(RAND(),0,K$7)</f>
        <v>-0.0877680527362353</v>
      </c>
      <c r="L508" s="53" t="n">
        <f aca="true">NORMINV(RAND(),0,L$7)</f>
        <v>-0.0542801193607229</v>
      </c>
      <c r="M508" s="53" t="n">
        <f aca="true">NORMINV(RAND(),0,M$7)</f>
        <v>-0.263081559757614</v>
      </c>
      <c r="N508" s="53" t="n">
        <f aca="true">NORMINV(RAND(),0,N$7)</f>
        <v>-0.190897050015403</v>
      </c>
      <c r="O508" s="53" t="n">
        <f aca="false">SUM(J508:N508)</f>
        <v>1.58930256165565</v>
      </c>
    </row>
    <row r="509" customFormat="false" ht="15" hidden="false" customHeight="false" outlineLevel="0" collapsed="false">
      <c r="A509" s="2" t="n">
        <v>501</v>
      </c>
      <c r="B509" s="53" t="n">
        <f aca="true">NORMINV(RAND(),0,B$7)</f>
        <v>1.2242353357861</v>
      </c>
      <c r="C509" s="53" t="n">
        <f aca="true">NORMINV(RAND(),0,C$7)</f>
        <v>-0.232378240230388</v>
      </c>
      <c r="D509" s="53" t="n">
        <f aca="true">NORMINV(RAND(),0,D$7)</f>
        <v>1.32600206055816</v>
      </c>
      <c r="E509" s="53" t="n">
        <f aca="true">NORMINV(RAND(),0,E$7)</f>
        <v>0.380508504985784</v>
      </c>
      <c r="F509" s="53" t="n">
        <f aca="true">NORMINV(RAND(),0,F$7)</f>
        <v>-0.20452854652217</v>
      </c>
      <c r="G509" s="53" t="n">
        <f aca="true">NORMINV(RAND(),0,G$7)</f>
        <v>0.765884851514863</v>
      </c>
      <c r="H509" s="53" t="n">
        <f aca="true">NORMINV(RAND(),0,H$7)</f>
        <v>-0.459900601340837</v>
      </c>
      <c r="I509" s="53" t="n">
        <f aca="false">SUM(B509:H509)</f>
        <v>2.79982336475151</v>
      </c>
      <c r="J509" s="53" t="n">
        <f aca="true">NORMINV(RAND(),0,J$7)</f>
        <v>-0.487366269670593</v>
      </c>
      <c r="K509" s="53" t="n">
        <f aca="true">NORMINV(RAND(),0,K$7)</f>
        <v>0.815550909287187</v>
      </c>
      <c r="L509" s="53" t="n">
        <f aca="true">NORMINV(RAND(),0,L$7)</f>
        <v>0.162274995965747</v>
      </c>
      <c r="M509" s="53" t="n">
        <f aca="true">NORMINV(RAND(),0,M$7)</f>
        <v>0.337761006822556</v>
      </c>
      <c r="N509" s="53" t="n">
        <f aca="true">NORMINV(RAND(),0,N$7)</f>
        <v>-0.569970454558807</v>
      </c>
      <c r="O509" s="53" t="n">
        <f aca="false">SUM(J509:N509)</f>
        <v>0.258250187846091</v>
      </c>
    </row>
    <row r="510" customFormat="false" ht="15" hidden="false" customHeight="false" outlineLevel="0" collapsed="false">
      <c r="A510" s="2" t="n">
        <v>502</v>
      </c>
      <c r="B510" s="53" t="n">
        <f aca="true">NORMINV(RAND(),0,B$7)</f>
        <v>1.21171411772349</v>
      </c>
      <c r="C510" s="53" t="n">
        <f aca="true">NORMINV(RAND(),0,C$7)</f>
        <v>0.289003833576766</v>
      </c>
      <c r="D510" s="53" t="n">
        <f aca="true">NORMINV(RAND(),0,D$7)</f>
        <v>1.9333914731067</v>
      </c>
      <c r="E510" s="53" t="n">
        <f aca="true">NORMINV(RAND(),0,E$7)</f>
        <v>-0.483009989046683</v>
      </c>
      <c r="F510" s="53" t="n">
        <f aca="true">NORMINV(RAND(),0,F$7)</f>
        <v>0.206537812072308</v>
      </c>
      <c r="G510" s="53" t="n">
        <f aca="true">NORMINV(RAND(),0,G$7)</f>
        <v>-2.49935398226917</v>
      </c>
      <c r="H510" s="53" t="n">
        <f aca="true">NORMINV(RAND(),0,H$7)</f>
        <v>-0.163030967697066</v>
      </c>
      <c r="I510" s="53" t="n">
        <f aca="false">SUM(B510:H510)</f>
        <v>0.495252297466338</v>
      </c>
      <c r="J510" s="53" t="n">
        <f aca="true">NORMINV(RAND(),0,J$7)</f>
        <v>-0.0638755502754536</v>
      </c>
      <c r="K510" s="53" t="n">
        <f aca="true">NORMINV(RAND(),0,K$7)</f>
        <v>-0.889195827325633</v>
      </c>
      <c r="L510" s="53" t="n">
        <f aca="true">NORMINV(RAND(),0,L$7)</f>
        <v>0.0400721053773944</v>
      </c>
      <c r="M510" s="53" t="n">
        <f aca="true">NORMINV(RAND(),0,M$7)</f>
        <v>-0.102275681158128</v>
      </c>
      <c r="N510" s="53" t="n">
        <f aca="true">NORMINV(RAND(),0,N$7)</f>
        <v>0.00574608334222397</v>
      </c>
      <c r="O510" s="53" t="n">
        <f aca="false">SUM(J510:N510)</f>
        <v>-1.0095288700396</v>
      </c>
    </row>
    <row r="511" customFormat="false" ht="15" hidden="false" customHeight="false" outlineLevel="0" collapsed="false">
      <c r="A511" s="2" t="n">
        <v>503</v>
      </c>
      <c r="B511" s="53" t="n">
        <f aca="true">NORMINV(RAND(),0,B$7)</f>
        <v>0.296077415492412</v>
      </c>
      <c r="C511" s="53" t="n">
        <f aca="true">NORMINV(RAND(),0,C$7)</f>
        <v>0.0507734000662682</v>
      </c>
      <c r="D511" s="53" t="n">
        <f aca="true">NORMINV(RAND(),0,D$7)</f>
        <v>0.0819079507364155</v>
      </c>
      <c r="E511" s="53" t="n">
        <f aca="true">NORMINV(RAND(),0,E$7)</f>
        <v>-0.220660449337857</v>
      </c>
      <c r="F511" s="53" t="n">
        <f aca="true">NORMINV(RAND(),0,F$7)</f>
        <v>-0.217057477990843</v>
      </c>
      <c r="G511" s="53" t="n">
        <f aca="true">NORMINV(RAND(),0,G$7)</f>
        <v>1.4736307802925</v>
      </c>
      <c r="H511" s="53" t="n">
        <f aca="true">NORMINV(RAND(),0,H$7)</f>
        <v>0.029001349313983</v>
      </c>
      <c r="I511" s="53" t="n">
        <f aca="false">SUM(B511:H511)</f>
        <v>1.49367296857288</v>
      </c>
      <c r="J511" s="53" t="n">
        <f aca="true">NORMINV(RAND(),0,J$7)</f>
        <v>0.707584110460069</v>
      </c>
      <c r="K511" s="53" t="n">
        <f aca="true">NORMINV(RAND(),0,K$7)</f>
        <v>0.291916363537157</v>
      </c>
      <c r="L511" s="53" t="n">
        <f aca="true">NORMINV(RAND(),0,L$7)</f>
        <v>-0.497579406432188</v>
      </c>
      <c r="M511" s="53" t="n">
        <f aca="true">NORMINV(RAND(),0,M$7)</f>
        <v>0.0147455729922332</v>
      </c>
      <c r="N511" s="53" t="n">
        <f aca="true">NORMINV(RAND(),0,N$7)</f>
        <v>-0.382831998304631</v>
      </c>
      <c r="O511" s="53" t="n">
        <f aca="false">SUM(J511:N511)</f>
        <v>0.13383464225264</v>
      </c>
    </row>
    <row r="512" customFormat="false" ht="15" hidden="false" customHeight="false" outlineLevel="0" collapsed="false">
      <c r="A512" s="2" t="n">
        <v>504</v>
      </c>
      <c r="B512" s="53" t="n">
        <f aca="true">NORMINV(RAND(),0,B$7)</f>
        <v>2.53141526032443</v>
      </c>
      <c r="C512" s="53" t="n">
        <f aca="true">NORMINV(RAND(),0,C$7)</f>
        <v>0.247518573798803</v>
      </c>
      <c r="D512" s="53" t="n">
        <f aca="true">NORMINV(RAND(),0,D$7)</f>
        <v>0.20471344791909</v>
      </c>
      <c r="E512" s="53" t="n">
        <f aca="true">NORMINV(RAND(),0,E$7)</f>
        <v>0.701774166254527</v>
      </c>
      <c r="F512" s="53" t="n">
        <f aca="true">NORMINV(RAND(),0,F$7)</f>
        <v>-0.0225254743723095</v>
      </c>
      <c r="G512" s="53" t="n">
        <f aca="true">NORMINV(RAND(),0,G$7)</f>
        <v>2.17770375289535</v>
      </c>
      <c r="H512" s="53" t="n">
        <f aca="true">NORMINV(RAND(),0,H$7)</f>
        <v>0.20033454076213</v>
      </c>
      <c r="I512" s="53" t="n">
        <f aca="false">SUM(B512:H512)</f>
        <v>6.04093426758203</v>
      </c>
      <c r="J512" s="53" t="n">
        <f aca="true">NORMINV(RAND(),0,J$7)</f>
        <v>-1.57065183065102</v>
      </c>
      <c r="K512" s="53" t="n">
        <f aca="true">NORMINV(RAND(),0,K$7)</f>
        <v>1.18018914373746</v>
      </c>
      <c r="L512" s="53" t="n">
        <f aca="true">NORMINV(RAND(),0,L$7)</f>
        <v>-0.0933616439790089</v>
      </c>
      <c r="M512" s="53" t="n">
        <f aca="true">NORMINV(RAND(),0,M$7)</f>
        <v>-0.359970410302929</v>
      </c>
      <c r="N512" s="53" t="n">
        <f aca="true">NORMINV(RAND(),0,N$7)</f>
        <v>0.439884227750145</v>
      </c>
      <c r="O512" s="53" t="n">
        <f aca="false">SUM(J512:N512)</f>
        <v>-0.403910513445353</v>
      </c>
    </row>
    <row r="513" customFormat="false" ht="15" hidden="false" customHeight="false" outlineLevel="0" collapsed="false">
      <c r="A513" s="2" t="n">
        <v>505</v>
      </c>
      <c r="B513" s="53" t="n">
        <f aca="true">NORMINV(RAND(),0,B$7)</f>
        <v>-2.71964555116596</v>
      </c>
      <c r="C513" s="53" t="n">
        <f aca="true">NORMINV(RAND(),0,C$7)</f>
        <v>-0.0680968654402132</v>
      </c>
      <c r="D513" s="53" t="n">
        <f aca="true">NORMINV(RAND(),0,D$7)</f>
        <v>-2.0641805475994</v>
      </c>
      <c r="E513" s="53" t="n">
        <f aca="true">NORMINV(RAND(),0,E$7)</f>
        <v>-0.0261121445109627</v>
      </c>
      <c r="F513" s="53" t="n">
        <f aca="true">NORMINV(RAND(),0,F$7)</f>
        <v>0.151130462374177</v>
      </c>
      <c r="G513" s="53" t="n">
        <f aca="true">NORMINV(RAND(),0,G$7)</f>
        <v>-0.18406220481717</v>
      </c>
      <c r="H513" s="53" t="n">
        <f aca="true">NORMINV(RAND(),0,H$7)</f>
        <v>-0.130591817055969</v>
      </c>
      <c r="I513" s="53" t="n">
        <f aca="false">SUM(B513:H513)</f>
        <v>-5.04155866821549</v>
      </c>
      <c r="J513" s="53" t="n">
        <f aca="true">NORMINV(RAND(),0,J$7)</f>
        <v>1.3631936836896</v>
      </c>
      <c r="K513" s="53" t="n">
        <f aca="true">NORMINV(RAND(),0,K$7)</f>
        <v>0.352859745851903</v>
      </c>
      <c r="L513" s="53" t="n">
        <f aca="true">NORMINV(RAND(),0,L$7)</f>
        <v>0.0833660721052608</v>
      </c>
      <c r="M513" s="53" t="n">
        <f aca="true">NORMINV(RAND(),0,M$7)</f>
        <v>-0.0927859334080183</v>
      </c>
      <c r="N513" s="53" t="n">
        <f aca="true">NORMINV(RAND(),0,N$7)</f>
        <v>0.499935299669795</v>
      </c>
      <c r="O513" s="53" t="n">
        <f aca="false">SUM(J513:N513)</f>
        <v>2.20656886790854</v>
      </c>
    </row>
    <row r="514" customFormat="false" ht="15" hidden="false" customHeight="false" outlineLevel="0" collapsed="false">
      <c r="A514" s="2" t="n">
        <v>506</v>
      </c>
      <c r="B514" s="53" t="n">
        <f aca="true">NORMINV(RAND(),0,B$7)</f>
        <v>0.663762832279912</v>
      </c>
      <c r="C514" s="53" t="n">
        <f aca="true">NORMINV(RAND(),0,C$7)</f>
        <v>2.41835181151048</v>
      </c>
      <c r="D514" s="53" t="n">
        <f aca="true">NORMINV(RAND(),0,D$7)</f>
        <v>-3.50335099605775</v>
      </c>
      <c r="E514" s="53" t="n">
        <f aca="true">NORMINV(RAND(),0,E$7)</f>
        <v>0.397293345043563</v>
      </c>
      <c r="F514" s="53" t="n">
        <f aca="true">NORMINV(RAND(),0,F$7)</f>
        <v>0.250114454273536</v>
      </c>
      <c r="G514" s="53" t="n">
        <f aca="true">NORMINV(RAND(),0,G$7)</f>
        <v>2.14303113685619</v>
      </c>
      <c r="H514" s="53" t="n">
        <f aca="true">NORMINV(RAND(),0,H$7)</f>
        <v>-0.0119616737643288</v>
      </c>
      <c r="I514" s="53" t="n">
        <f aca="false">SUM(B514:H514)</f>
        <v>2.3572409101416</v>
      </c>
      <c r="J514" s="53" t="n">
        <f aca="true">NORMINV(RAND(),0,J$7)</f>
        <v>3.14098367403293</v>
      </c>
      <c r="K514" s="53" t="n">
        <f aca="true">NORMINV(RAND(),0,K$7)</f>
        <v>-0.470459144052938</v>
      </c>
      <c r="L514" s="53" t="n">
        <f aca="true">NORMINV(RAND(),0,L$7)</f>
        <v>0.254482345383598</v>
      </c>
      <c r="M514" s="53" t="n">
        <f aca="true">NORMINV(RAND(),0,M$7)</f>
        <v>-0.202638751759597</v>
      </c>
      <c r="N514" s="53" t="n">
        <f aca="true">NORMINV(RAND(),0,N$7)</f>
        <v>-0.108533467935286</v>
      </c>
      <c r="O514" s="53" t="n">
        <f aca="false">SUM(J514:N514)</f>
        <v>2.61383465566871</v>
      </c>
    </row>
    <row r="515" customFormat="false" ht="15" hidden="false" customHeight="false" outlineLevel="0" collapsed="false">
      <c r="A515" s="2" t="n">
        <v>507</v>
      </c>
      <c r="B515" s="53" t="n">
        <f aca="true">NORMINV(RAND(),0,B$7)</f>
        <v>-0.817961679070592</v>
      </c>
      <c r="C515" s="53" t="n">
        <f aca="true">NORMINV(RAND(),0,C$7)</f>
        <v>-0.57217624759311</v>
      </c>
      <c r="D515" s="53" t="n">
        <f aca="true">NORMINV(RAND(),0,D$7)</f>
        <v>0.69548940478102</v>
      </c>
      <c r="E515" s="53" t="n">
        <f aca="true">NORMINV(RAND(),0,E$7)</f>
        <v>0.637778866719836</v>
      </c>
      <c r="F515" s="53" t="n">
        <f aca="true">NORMINV(RAND(),0,F$7)</f>
        <v>0.426617937174005</v>
      </c>
      <c r="G515" s="53" t="n">
        <f aca="true">NORMINV(RAND(),0,G$7)</f>
        <v>-0.521465466661822</v>
      </c>
      <c r="H515" s="53" t="n">
        <f aca="true">NORMINV(RAND(),0,H$7)</f>
        <v>-0.0414360902556639</v>
      </c>
      <c r="I515" s="53" t="n">
        <f aca="false">SUM(B515:H515)</f>
        <v>-0.193153274906327</v>
      </c>
      <c r="J515" s="53" t="n">
        <f aca="true">NORMINV(RAND(),0,J$7)</f>
        <v>-2.34698012974061</v>
      </c>
      <c r="K515" s="53" t="n">
        <f aca="true">NORMINV(RAND(),0,K$7)</f>
        <v>-0.305712596702673</v>
      </c>
      <c r="L515" s="53" t="n">
        <f aca="true">NORMINV(RAND(),0,L$7)</f>
        <v>0.105092424196164</v>
      </c>
      <c r="M515" s="53" t="n">
        <f aca="true">NORMINV(RAND(),0,M$7)</f>
        <v>-0.0534265023156832</v>
      </c>
      <c r="N515" s="53" t="n">
        <f aca="true">NORMINV(RAND(),0,N$7)</f>
        <v>-0.121248527341688</v>
      </c>
      <c r="O515" s="53" t="n">
        <f aca="false">SUM(J515:N515)</f>
        <v>-2.72227533190449</v>
      </c>
    </row>
    <row r="516" customFormat="false" ht="15" hidden="false" customHeight="false" outlineLevel="0" collapsed="false">
      <c r="A516" s="2" t="n">
        <v>508</v>
      </c>
      <c r="B516" s="53" t="n">
        <f aca="true">NORMINV(RAND(),0,B$7)</f>
        <v>0.534875614298933</v>
      </c>
      <c r="C516" s="53" t="n">
        <f aca="true">NORMINV(RAND(),0,C$7)</f>
        <v>-0.285157462069802</v>
      </c>
      <c r="D516" s="53" t="n">
        <f aca="true">NORMINV(RAND(),0,D$7)</f>
        <v>-1.93241105431897</v>
      </c>
      <c r="E516" s="53" t="n">
        <f aca="true">NORMINV(RAND(),0,E$7)</f>
        <v>-0.0555947937960189</v>
      </c>
      <c r="F516" s="53" t="n">
        <f aca="true">NORMINV(RAND(),0,F$7)</f>
        <v>0.477089326133453</v>
      </c>
      <c r="G516" s="53" t="n">
        <f aca="true">NORMINV(RAND(),0,G$7)</f>
        <v>3.15578081202471</v>
      </c>
      <c r="H516" s="53" t="n">
        <f aca="true">NORMINV(RAND(),0,H$7)</f>
        <v>-0.229348481671611</v>
      </c>
      <c r="I516" s="53" t="n">
        <f aca="false">SUM(B516:H516)</f>
        <v>1.66523396060069</v>
      </c>
      <c r="J516" s="53" t="n">
        <f aca="true">NORMINV(RAND(),0,J$7)</f>
        <v>1.07093353130038</v>
      </c>
      <c r="K516" s="53" t="n">
        <f aca="true">NORMINV(RAND(),0,K$7)</f>
        <v>1.02276496090267</v>
      </c>
      <c r="L516" s="53" t="n">
        <f aca="true">NORMINV(RAND(),0,L$7)</f>
        <v>-0.332909933522084</v>
      </c>
      <c r="M516" s="53" t="n">
        <f aca="true">NORMINV(RAND(),0,M$7)</f>
        <v>-0.162039469554687</v>
      </c>
      <c r="N516" s="53" t="n">
        <f aca="true">NORMINV(RAND(),0,N$7)</f>
        <v>-0.914943586408488</v>
      </c>
      <c r="O516" s="53" t="n">
        <f aca="false">SUM(J516:N516)</f>
        <v>0.683805502717789</v>
      </c>
    </row>
    <row r="517" customFormat="false" ht="15" hidden="false" customHeight="false" outlineLevel="0" collapsed="false">
      <c r="A517" s="2" t="n">
        <v>509</v>
      </c>
      <c r="B517" s="53" t="n">
        <f aca="true">NORMINV(RAND(),0,B$7)</f>
        <v>0.867252023535925</v>
      </c>
      <c r="C517" s="53" t="n">
        <f aca="true">NORMINV(RAND(),0,C$7)</f>
        <v>0.0923347026428714</v>
      </c>
      <c r="D517" s="53" t="n">
        <f aca="true">NORMINV(RAND(),0,D$7)</f>
        <v>-0.489532698045268</v>
      </c>
      <c r="E517" s="53" t="n">
        <f aca="true">NORMINV(RAND(),0,E$7)</f>
        <v>0.19866366169625</v>
      </c>
      <c r="F517" s="53" t="n">
        <f aca="true">NORMINV(RAND(),0,F$7)</f>
        <v>-0.143615315945869</v>
      </c>
      <c r="G517" s="53" t="n">
        <f aca="true">NORMINV(RAND(),0,G$7)</f>
        <v>2.42478561355972</v>
      </c>
      <c r="H517" s="53" t="n">
        <f aca="true">NORMINV(RAND(),0,H$7)</f>
        <v>0.0549632876598335</v>
      </c>
      <c r="I517" s="53" t="n">
        <f aca="false">SUM(B517:H517)</f>
        <v>3.00485127510346</v>
      </c>
      <c r="J517" s="53" t="n">
        <f aca="true">NORMINV(RAND(),0,J$7)</f>
        <v>1.75604018821654</v>
      </c>
      <c r="K517" s="53" t="n">
        <f aca="true">NORMINV(RAND(),0,K$7)</f>
        <v>0.099205402196616</v>
      </c>
      <c r="L517" s="53" t="n">
        <f aca="true">NORMINV(RAND(),0,L$7)</f>
        <v>0.421613079029006</v>
      </c>
      <c r="M517" s="53" t="n">
        <f aca="true">NORMINV(RAND(),0,M$7)</f>
        <v>0.0608761627257887</v>
      </c>
      <c r="N517" s="53" t="n">
        <f aca="true">NORMINV(RAND(),0,N$7)</f>
        <v>-0.434438888109494</v>
      </c>
      <c r="O517" s="53" t="n">
        <f aca="false">SUM(J517:N517)</f>
        <v>1.90329594405845</v>
      </c>
    </row>
    <row r="518" customFormat="false" ht="15" hidden="false" customHeight="false" outlineLevel="0" collapsed="false">
      <c r="A518" s="2" t="n">
        <v>510</v>
      </c>
      <c r="B518" s="53" t="n">
        <f aca="true">NORMINV(RAND(),0,B$7)</f>
        <v>0.494415570157606</v>
      </c>
      <c r="C518" s="53" t="n">
        <f aca="true">NORMINV(RAND(),0,C$7)</f>
        <v>-0.393567967318203</v>
      </c>
      <c r="D518" s="53" t="n">
        <f aca="true">NORMINV(RAND(),0,D$7)</f>
        <v>0.352732338616198</v>
      </c>
      <c r="E518" s="53" t="n">
        <f aca="true">NORMINV(RAND(),0,E$7)</f>
        <v>0.192474735096219</v>
      </c>
      <c r="F518" s="53" t="n">
        <f aca="true">NORMINV(RAND(),0,F$7)</f>
        <v>0.00458979120097225</v>
      </c>
      <c r="G518" s="53" t="n">
        <f aca="true">NORMINV(RAND(),0,G$7)</f>
        <v>-2.03516937533707</v>
      </c>
      <c r="H518" s="53" t="n">
        <f aca="true">NORMINV(RAND(),0,H$7)</f>
        <v>0.180968313197011</v>
      </c>
      <c r="I518" s="53" t="n">
        <f aca="false">SUM(B518:H518)</f>
        <v>-1.20355659438727</v>
      </c>
      <c r="J518" s="53" t="n">
        <f aca="true">NORMINV(RAND(),0,J$7)</f>
        <v>1.0679626630472</v>
      </c>
      <c r="K518" s="53" t="n">
        <f aca="true">NORMINV(RAND(),0,K$7)</f>
        <v>-0.637475997753745</v>
      </c>
      <c r="L518" s="53" t="n">
        <f aca="true">NORMINV(RAND(),0,L$7)</f>
        <v>-0.541056344559078</v>
      </c>
      <c r="M518" s="53" t="n">
        <f aca="true">NORMINV(RAND(),0,M$7)</f>
        <v>0.0150675033437234</v>
      </c>
      <c r="N518" s="53" t="n">
        <f aca="true">NORMINV(RAND(),0,N$7)</f>
        <v>0.34441329114554</v>
      </c>
      <c r="O518" s="53" t="n">
        <f aca="false">SUM(J518:N518)</f>
        <v>0.248911115223641</v>
      </c>
    </row>
    <row r="519" customFormat="false" ht="15" hidden="false" customHeight="false" outlineLevel="0" collapsed="false">
      <c r="A519" s="2" t="n">
        <v>511</v>
      </c>
      <c r="B519" s="53" t="n">
        <f aca="true">NORMINV(RAND(),0,B$7)</f>
        <v>0.784127928864852</v>
      </c>
      <c r="C519" s="53" t="n">
        <f aca="true">NORMINV(RAND(),0,C$7)</f>
        <v>-0.17825155512332</v>
      </c>
      <c r="D519" s="53" t="n">
        <f aca="true">NORMINV(RAND(),0,D$7)</f>
        <v>2.12126774518058</v>
      </c>
      <c r="E519" s="53" t="n">
        <f aca="true">NORMINV(RAND(),0,E$7)</f>
        <v>0.484512912195617</v>
      </c>
      <c r="F519" s="53" t="n">
        <f aca="true">NORMINV(RAND(),0,F$7)</f>
        <v>0.445646854377815</v>
      </c>
      <c r="G519" s="53" t="n">
        <f aca="true">NORMINV(RAND(),0,G$7)</f>
        <v>1.02344495443509</v>
      </c>
      <c r="H519" s="53" t="n">
        <f aca="true">NORMINV(RAND(),0,H$7)</f>
        <v>-0.38787524236155</v>
      </c>
      <c r="I519" s="53" t="n">
        <f aca="false">SUM(B519:H519)</f>
        <v>4.29287359756908</v>
      </c>
      <c r="J519" s="53" t="n">
        <f aca="true">NORMINV(RAND(),0,J$7)</f>
        <v>1.29723999173248</v>
      </c>
      <c r="K519" s="53" t="n">
        <f aca="true">NORMINV(RAND(),0,K$7)</f>
        <v>-0.62797639426903</v>
      </c>
      <c r="L519" s="53" t="n">
        <f aca="true">NORMINV(RAND(),0,L$7)</f>
        <v>0.209049920206831</v>
      </c>
      <c r="M519" s="53" t="n">
        <f aca="true">NORMINV(RAND(),0,M$7)</f>
        <v>0.202025537812081</v>
      </c>
      <c r="N519" s="53" t="n">
        <f aca="true">NORMINV(RAND(),0,N$7)</f>
        <v>0.0872499582212435</v>
      </c>
      <c r="O519" s="53" t="n">
        <f aca="false">SUM(J519:N519)</f>
        <v>1.1675890137036</v>
      </c>
    </row>
    <row r="520" customFormat="false" ht="15" hidden="false" customHeight="false" outlineLevel="0" collapsed="false">
      <c r="A520" s="2" t="n">
        <v>512</v>
      </c>
      <c r="B520" s="53" t="n">
        <f aca="true">NORMINV(RAND(),0,B$7)</f>
        <v>2.91605840203742</v>
      </c>
      <c r="C520" s="53" t="n">
        <f aca="true">NORMINV(RAND(),0,C$7)</f>
        <v>0.593218697115623</v>
      </c>
      <c r="D520" s="53" t="n">
        <f aca="true">NORMINV(RAND(),0,D$7)</f>
        <v>0.160549918126641</v>
      </c>
      <c r="E520" s="53" t="n">
        <f aca="true">NORMINV(RAND(),0,E$7)</f>
        <v>0.164996394028745</v>
      </c>
      <c r="F520" s="53" t="n">
        <f aca="true">NORMINV(RAND(),0,F$7)</f>
        <v>0.212339199123551</v>
      </c>
      <c r="G520" s="53" t="n">
        <f aca="true">NORMINV(RAND(),0,G$7)</f>
        <v>-0.250796753726264</v>
      </c>
      <c r="H520" s="53" t="n">
        <f aca="true">NORMINV(RAND(),0,H$7)</f>
        <v>-0.12413705847877</v>
      </c>
      <c r="I520" s="53" t="n">
        <f aca="false">SUM(B520:H520)</f>
        <v>3.67222879822694</v>
      </c>
      <c r="J520" s="53" t="n">
        <f aca="true">NORMINV(RAND(),0,J$7)</f>
        <v>0.311213069077788</v>
      </c>
      <c r="K520" s="53" t="n">
        <f aca="true">NORMINV(RAND(),0,K$7)</f>
        <v>0.568322896442468</v>
      </c>
      <c r="L520" s="53" t="n">
        <f aca="true">NORMINV(RAND(),0,L$7)</f>
        <v>-0.182759794156201</v>
      </c>
      <c r="M520" s="53" t="n">
        <f aca="true">NORMINV(RAND(),0,M$7)</f>
        <v>0.187360964163976</v>
      </c>
      <c r="N520" s="53" t="n">
        <f aca="true">NORMINV(RAND(),0,N$7)</f>
        <v>0.0541410825415756</v>
      </c>
      <c r="O520" s="53" t="n">
        <f aca="false">SUM(J520:N520)</f>
        <v>0.938278218069607</v>
      </c>
    </row>
    <row r="521" customFormat="false" ht="15" hidden="false" customHeight="false" outlineLevel="0" collapsed="false">
      <c r="A521" s="2" t="n">
        <v>513</v>
      </c>
      <c r="B521" s="53" t="n">
        <f aca="true">NORMINV(RAND(),0,B$7)</f>
        <v>3.1516677084325</v>
      </c>
      <c r="C521" s="53" t="n">
        <f aca="true">NORMINV(RAND(),0,C$7)</f>
        <v>2.1861162139782</v>
      </c>
      <c r="D521" s="53" t="n">
        <f aca="true">NORMINV(RAND(),0,D$7)</f>
        <v>1.5861833861127</v>
      </c>
      <c r="E521" s="53" t="n">
        <f aca="true">NORMINV(RAND(),0,E$7)</f>
        <v>-0.157450481176995</v>
      </c>
      <c r="F521" s="53" t="n">
        <f aca="true">NORMINV(RAND(),0,F$7)</f>
        <v>0.338333573368999</v>
      </c>
      <c r="G521" s="53" t="n">
        <f aca="true">NORMINV(RAND(),0,G$7)</f>
        <v>-1.54192577559094</v>
      </c>
      <c r="H521" s="53" t="n">
        <f aca="true">NORMINV(RAND(),0,H$7)</f>
        <v>0.211097028231195</v>
      </c>
      <c r="I521" s="53" t="n">
        <f aca="false">SUM(B521:H521)</f>
        <v>5.77402165335567</v>
      </c>
      <c r="J521" s="53" t="n">
        <f aca="true">NORMINV(RAND(),0,J$7)</f>
        <v>-0.412157180021545</v>
      </c>
      <c r="K521" s="53" t="n">
        <f aca="true">NORMINV(RAND(),0,K$7)</f>
        <v>0.541580925575781</v>
      </c>
      <c r="L521" s="53" t="n">
        <f aca="true">NORMINV(RAND(),0,L$7)</f>
        <v>0.449856632868901</v>
      </c>
      <c r="M521" s="53" t="n">
        <f aca="true">NORMINV(RAND(),0,M$7)</f>
        <v>-0.251037425441954</v>
      </c>
      <c r="N521" s="53" t="n">
        <f aca="true">NORMINV(RAND(),0,N$7)</f>
        <v>-0.11012613608516</v>
      </c>
      <c r="O521" s="53" t="n">
        <f aca="false">SUM(J521:N521)</f>
        <v>0.218116816896022</v>
      </c>
    </row>
    <row r="522" customFormat="false" ht="15" hidden="false" customHeight="false" outlineLevel="0" collapsed="false">
      <c r="A522" s="2" t="n">
        <v>514</v>
      </c>
      <c r="B522" s="53" t="n">
        <f aca="true">NORMINV(RAND(),0,B$7)</f>
        <v>-0.936597207243213</v>
      </c>
      <c r="C522" s="53" t="n">
        <f aca="true">NORMINV(RAND(),0,C$7)</f>
        <v>1.17475175705699</v>
      </c>
      <c r="D522" s="53" t="n">
        <f aca="true">NORMINV(RAND(),0,D$7)</f>
        <v>0.572972235777185</v>
      </c>
      <c r="E522" s="53" t="n">
        <f aca="true">NORMINV(RAND(),0,E$7)</f>
        <v>0.0307396089468087</v>
      </c>
      <c r="F522" s="53" t="n">
        <f aca="true">NORMINV(RAND(),0,F$7)</f>
        <v>-0.292176075888194</v>
      </c>
      <c r="G522" s="53" t="n">
        <f aca="true">NORMINV(RAND(),0,G$7)</f>
        <v>-1.56778673487069</v>
      </c>
      <c r="H522" s="53" t="n">
        <f aca="true">NORMINV(RAND(),0,H$7)</f>
        <v>0.147172763164941</v>
      </c>
      <c r="I522" s="53" t="n">
        <f aca="false">SUM(B522:H522)</f>
        <v>-0.870923653056169</v>
      </c>
      <c r="J522" s="53" t="n">
        <f aca="true">NORMINV(RAND(),0,J$7)</f>
        <v>0.946518427352665</v>
      </c>
      <c r="K522" s="53" t="n">
        <f aca="true">NORMINV(RAND(),0,K$7)</f>
        <v>0.07608964707173</v>
      </c>
      <c r="L522" s="53" t="n">
        <f aca="true">NORMINV(RAND(),0,L$7)</f>
        <v>0.312227882502374</v>
      </c>
      <c r="M522" s="53" t="n">
        <f aca="true">NORMINV(RAND(),0,M$7)</f>
        <v>-0.109220923355148</v>
      </c>
      <c r="N522" s="53" t="n">
        <f aca="true">NORMINV(RAND(),0,N$7)</f>
        <v>-0.452479665490587</v>
      </c>
      <c r="O522" s="53" t="n">
        <f aca="false">SUM(J522:N522)</f>
        <v>0.773135368081034</v>
      </c>
    </row>
    <row r="523" customFormat="false" ht="15" hidden="false" customHeight="false" outlineLevel="0" collapsed="false">
      <c r="A523" s="2" t="n">
        <v>515</v>
      </c>
      <c r="B523" s="53" t="n">
        <f aca="true">NORMINV(RAND(),0,B$7)</f>
        <v>2.57561641784129</v>
      </c>
      <c r="C523" s="53" t="n">
        <f aca="true">NORMINV(RAND(),0,C$7)</f>
        <v>-0.588737258590114</v>
      </c>
      <c r="D523" s="53" t="n">
        <f aca="true">NORMINV(RAND(),0,D$7)</f>
        <v>-2.7987536735248</v>
      </c>
      <c r="E523" s="53" t="n">
        <f aca="true">NORMINV(RAND(),0,E$7)</f>
        <v>-0.113030135908301</v>
      </c>
      <c r="F523" s="53" t="n">
        <f aca="true">NORMINV(RAND(),0,F$7)</f>
        <v>-0.33268786872693</v>
      </c>
      <c r="G523" s="53" t="n">
        <f aca="true">NORMINV(RAND(),0,G$7)</f>
        <v>-0.82703673041315</v>
      </c>
      <c r="H523" s="53" t="n">
        <f aca="true">NORMINV(RAND(),0,H$7)</f>
        <v>0.924566374377639</v>
      </c>
      <c r="I523" s="53" t="n">
        <f aca="false">SUM(B523:H523)</f>
        <v>-1.16006287494436</v>
      </c>
      <c r="J523" s="53" t="n">
        <f aca="true">NORMINV(RAND(),0,J$7)</f>
        <v>0.132659326580654</v>
      </c>
      <c r="K523" s="53" t="n">
        <f aca="true">NORMINV(RAND(),0,K$7)</f>
        <v>-0.980065756842552</v>
      </c>
      <c r="L523" s="53" t="n">
        <f aca="true">NORMINV(RAND(),0,L$7)</f>
        <v>-0.595559247963262</v>
      </c>
      <c r="M523" s="53" t="n">
        <f aca="true">NORMINV(RAND(),0,M$7)</f>
        <v>-0.164350235335869</v>
      </c>
      <c r="N523" s="53" t="n">
        <f aca="true">NORMINV(RAND(),0,N$7)</f>
        <v>-0.155497179946221</v>
      </c>
      <c r="O523" s="53" t="n">
        <f aca="false">SUM(J523:N523)</f>
        <v>-1.76281309350725</v>
      </c>
    </row>
    <row r="524" customFormat="false" ht="15" hidden="false" customHeight="false" outlineLevel="0" collapsed="false">
      <c r="A524" s="2" t="n">
        <v>516</v>
      </c>
      <c r="B524" s="53" t="n">
        <f aca="true">NORMINV(RAND(),0,B$7)</f>
        <v>2.56499412161444</v>
      </c>
      <c r="C524" s="53" t="n">
        <f aca="true">NORMINV(RAND(),0,C$7)</f>
        <v>-1.58888862895838</v>
      </c>
      <c r="D524" s="53" t="n">
        <f aca="true">NORMINV(RAND(),0,D$7)</f>
        <v>1.07551905903511</v>
      </c>
      <c r="E524" s="53" t="n">
        <f aca="true">NORMINV(RAND(),0,E$7)</f>
        <v>0.62134729397679</v>
      </c>
      <c r="F524" s="53" t="n">
        <f aca="true">NORMINV(RAND(),0,F$7)</f>
        <v>0.218042422941113</v>
      </c>
      <c r="G524" s="53" t="n">
        <f aca="true">NORMINV(RAND(),0,G$7)</f>
        <v>0.519889469998675</v>
      </c>
      <c r="H524" s="53" t="n">
        <f aca="true">NORMINV(RAND(),0,H$7)</f>
        <v>-0.323722521854165</v>
      </c>
      <c r="I524" s="53" t="n">
        <f aca="false">SUM(B524:H524)</f>
        <v>3.08718121675357</v>
      </c>
      <c r="J524" s="53" t="n">
        <f aca="true">NORMINV(RAND(),0,J$7)</f>
        <v>2.51222604187541</v>
      </c>
      <c r="K524" s="53" t="n">
        <f aca="true">NORMINV(RAND(),0,K$7)</f>
        <v>-0.1717740924209</v>
      </c>
      <c r="L524" s="53" t="n">
        <f aca="true">NORMINV(RAND(),0,L$7)</f>
        <v>-0.717529445999423</v>
      </c>
      <c r="M524" s="53" t="n">
        <f aca="true">NORMINV(RAND(),0,M$7)</f>
        <v>-0.0520703884197677</v>
      </c>
      <c r="N524" s="53" t="n">
        <f aca="true">NORMINV(RAND(),0,N$7)</f>
        <v>0.197299569585395</v>
      </c>
      <c r="O524" s="53" t="n">
        <f aca="false">SUM(J524:N524)</f>
        <v>1.76815168462071</v>
      </c>
    </row>
    <row r="525" customFormat="false" ht="15" hidden="false" customHeight="false" outlineLevel="0" collapsed="false">
      <c r="A525" s="2" t="n">
        <v>517</v>
      </c>
      <c r="B525" s="53" t="n">
        <f aca="true">NORMINV(RAND(),0,B$7)</f>
        <v>0.592412012754172</v>
      </c>
      <c r="C525" s="53" t="n">
        <f aca="true">NORMINV(RAND(),0,C$7)</f>
        <v>0.197033938004453</v>
      </c>
      <c r="D525" s="53" t="n">
        <f aca="true">NORMINV(RAND(),0,D$7)</f>
        <v>0.606418857750068</v>
      </c>
      <c r="E525" s="53" t="n">
        <f aca="true">NORMINV(RAND(),0,E$7)</f>
        <v>0.0265290287647667</v>
      </c>
      <c r="F525" s="53" t="n">
        <f aca="true">NORMINV(RAND(),0,F$7)</f>
        <v>-0.0840530867112477</v>
      </c>
      <c r="G525" s="53" t="n">
        <f aca="true">NORMINV(RAND(),0,G$7)</f>
        <v>1.24099187998314</v>
      </c>
      <c r="H525" s="53" t="n">
        <f aca="true">NORMINV(RAND(),0,H$7)</f>
        <v>-0.608278995271064</v>
      </c>
      <c r="I525" s="53" t="n">
        <f aca="false">SUM(B525:H525)</f>
        <v>1.97105363527429</v>
      </c>
      <c r="J525" s="53" t="n">
        <f aca="true">NORMINV(RAND(),0,J$7)</f>
        <v>1.79130727447202</v>
      </c>
      <c r="K525" s="53" t="n">
        <f aca="true">NORMINV(RAND(),0,K$7)</f>
        <v>0.0120917005377711</v>
      </c>
      <c r="L525" s="53" t="n">
        <f aca="true">NORMINV(RAND(),0,L$7)</f>
        <v>-0.180260753117841</v>
      </c>
      <c r="M525" s="53" t="n">
        <f aca="true">NORMINV(RAND(),0,M$7)</f>
        <v>0.0819741876612525</v>
      </c>
      <c r="N525" s="53" t="n">
        <f aca="true">NORMINV(RAND(),0,N$7)</f>
        <v>-0.309370775216445</v>
      </c>
      <c r="O525" s="53" t="n">
        <f aca="false">SUM(J525:N525)</f>
        <v>1.39574163433675</v>
      </c>
    </row>
    <row r="526" customFormat="false" ht="15" hidden="false" customHeight="false" outlineLevel="0" collapsed="false">
      <c r="A526" s="2" t="n">
        <v>518</v>
      </c>
      <c r="B526" s="53" t="n">
        <f aca="true">NORMINV(RAND(),0,B$7)</f>
        <v>-1.05808085506949</v>
      </c>
      <c r="C526" s="53" t="n">
        <f aca="true">NORMINV(RAND(),0,C$7)</f>
        <v>0.529934790211576</v>
      </c>
      <c r="D526" s="53" t="n">
        <f aca="true">NORMINV(RAND(),0,D$7)</f>
        <v>-3.23117902874165</v>
      </c>
      <c r="E526" s="53" t="n">
        <f aca="true">NORMINV(RAND(),0,E$7)</f>
        <v>-0.58545164500166</v>
      </c>
      <c r="F526" s="53" t="n">
        <f aca="true">NORMINV(RAND(),0,F$7)</f>
        <v>0.238981824183597</v>
      </c>
      <c r="G526" s="53" t="n">
        <f aca="true">NORMINV(RAND(),0,G$7)</f>
        <v>0.520290676005794</v>
      </c>
      <c r="H526" s="53" t="n">
        <f aca="true">NORMINV(RAND(),0,H$7)</f>
        <v>0.399460803156124</v>
      </c>
      <c r="I526" s="53" t="n">
        <f aca="false">SUM(B526:H526)</f>
        <v>-3.18604343525571</v>
      </c>
      <c r="J526" s="53" t="n">
        <f aca="true">NORMINV(RAND(),0,J$7)</f>
        <v>0.0506079133609968</v>
      </c>
      <c r="K526" s="53" t="n">
        <f aca="true">NORMINV(RAND(),0,K$7)</f>
        <v>-0.297654548764736</v>
      </c>
      <c r="L526" s="53" t="n">
        <f aca="true">NORMINV(RAND(),0,L$7)</f>
        <v>0.111112635511153</v>
      </c>
      <c r="M526" s="53" t="n">
        <f aca="true">NORMINV(RAND(),0,M$7)</f>
        <v>0.137236372638871</v>
      </c>
      <c r="N526" s="53" t="n">
        <f aca="true">NORMINV(RAND(),0,N$7)</f>
        <v>0.718893292555743</v>
      </c>
      <c r="O526" s="53" t="n">
        <f aca="false">SUM(J526:N526)</f>
        <v>0.720195665302029</v>
      </c>
    </row>
    <row r="527" customFormat="false" ht="15" hidden="false" customHeight="false" outlineLevel="0" collapsed="false">
      <c r="A527" s="2" t="n">
        <v>519</v>
      </c>
      <c r="B527" s="53" t="n">
        <f aca="true">NORMINV(RAND(),0,B$7)</f>
        <v>-0.474731993059252</v>
      </c>
      <c r="C527" s="53" t="n">
        <f aca="true">NORMINV(RAND(),0,C$7)</f>
        <v>-1.16556714668377</v>
      </c>
      <c r="D527" s="53" t="n">
        <f aca="true">NORMINV(RAND(),0,D$7)</f>
        <v>-0.574970731687134</v>
      </c>
      <c r="E527" s="53" t="n">
        <f aca="true">NORMINV(RAND(),0,E$7)</f>
        <v>-0.0388334006687137</v>
      </c>
      <c r="F527" s="53" t="n">
        <f aca="true">NORMINV(RAND(),0,F$7)</f>
        <v>0.151239853537248</v>
      </c>
      <c r="G527" s="53" t="n">
        <f aca="true">NORMINV(RAND(),0,G$7)</f>
        <v>-1.63764618478255</v>
      </c>
      <c r="H527" s="53" t="n">
        <f aca="true">NORMINV(RAND(),0,H$7)</f>
        <v>-0.0455010435941258</v>
      </c>
      <c r="I527" s="53" t="n">
        <f aca="false">SUM(B527:H527)</f>
        <v>-3.7860106469383</v>
      </c>
      <c r="J527" s="53" t="n">
        <f aca="true">NORMINV(RAND(),0,J$7)</f>
        <v>-0.191716277677012</v>
      </c>
      <c r="K527" s="53" t="n">
        <f aca="true">NORMINV(RAND(),0,K$7)</f>
        <v>0.567288716969601</v>
      </c>
      <c r="L527" s="53" t="n">
        <f aca="true">NORMINV(RAND(),0,L$7)</f>
        <v>-0.417937683470545</v>
      </c>
      <c r="M527" s="53" t="n">
        <f aca="true">NORMINV(RAND(),0,M$7)</f>
        <v>-0.107401232887996</v>
      </c>
      <c r="N527" s="53" t="n">
        <f aca="true">NORMINV(RAND(),0,N$7)</f>
        <v>0.0364538844131078</v>
      </c>
      <c r="O527" s="53" t="n">
        <f aca="false">SUM(J527:N527)</f>
        <v>-0.113312592652844</v>
      </c>
    </row>
    <row r="528" customFormat="false" ht="15" hidden="false" customHeight="false" outlineLevel="0" collapsed="false">
      <c r="A528" s="2" t="n">
        <v>520</v>
      </c>
      <c r="B528" s="53" t="n">
        <f aca="true">NORMINV(RAND(),0,B$7)</f>
        <v>-0.28066930179453</v>
      </c>
      <c r="C528" s="53" t="n">
        <f aca="true">NORMINV(RAND(),0,C$7)</f>
        <v>-1.32758681953852</v>
      </c>
      <c r="D528" s="53" t="n">
        <f aca="true">NORMINV(RAND(),0,D$7)</f>
        <v>-0.802537357586345</v>
      </c>
      <c r="E528" s="53" t="n">
        <f aca="true">NORMINV(RAND(),0,E$7)</f>
        <v>-0.229731951938489</v>
      </c>
      <c r="F528" s="53" t="n">
        <f aca="true">NORMINV(RAND(),0,F$7)</f>
        <v>-0.628903992133996</v>
      </c>
      <c r="G528" s="53" t="n">
        <f aca="true">NORMINV(RAND(),0,G$7)</f>
        <v>0.062520661097976</v>
      </c>
      <c r="H528" s="53" t="n">
        <f aca="true">NORMINV(RAND(),0,H$7)</f>
        <v>0.141096353361387</v>
      </c>
      <c r="I528" s="53" t="n">
        <f aca="false">SUM(B528:H528)</f>
        <v>-3.06581240853252</v>
      </c>
      <c r="J528" s="53" t="n">
        <f aca="true">NORMINV(RAND(),0,J$7)</f>
        <v>-0.46532279080511</v>
      </c>
      <c r="K528" s="53" t="n">
        <f aca="true">NORMINV(RAND(),0,K$7)</f>
        <v>0.490585089657402</v>
      </c>
      <c r="L528" s="53" t="n">
        <f aca="true">NORMINV(RAND(),0,L$7)</f>
        <v>-0.474600737820204</v>
      </c>
      <c r="M528" s="53" t="n">
        <f aca="true">NORMINV(RAND(),0,M$7)</f>
        <v>0.475109412270414</v>
      </c>
      <c r="N528" s="53" t="n">
        <f aca="true">NORMINV(RAND(),0,N$7)</f>
        <v>1.46875148510149</v>
      </c>
      <c r="O528" s="53" t="n">
        <f aca="false">SUM(J528:N528)</f>
        <v>1.49452245840399</v>
      </c>
    </row>
    <row r="529" customFormat="false" ht="15" hidden="false" customHeight="false" outlineLevel="0" collapsed="false">
      <c r="A529" s="2" t="n">
        <v>521</v>
      </c>
      <c r="B529" s="53" t="n">
        <f aca="true">NORMINV(RAND(),0,B$7)</f>
        <v>-1.21422621275593</v>
      </c>
      <c r="C529" s="53" t="n">
        <f aca="true">NORMINV(RAND(),0,C$7)</f>
        <v>0.195371176502196</v>
      </c>
      <c r="D529" s="53" t="n">
        <f aca="true">NORMINV(RAND(),0,D$7)</f>
        <v>-0.598938957197184</v>
      </c>
      <c r="E529" s="53" t="n">
        <f aca="true">NORMINV(RAND(),0,E$7)</f>
        <v>-0.0462692661200459</v>
      </c>
      <c r="F529" s="53" t="n">
        <f aca="true">NORMINV(RAND(),0,F$7)</f>
        <v>-0.0551555515673172</v>
      </c>
      <c r="G529" s="53" t="n">
        <f aca="true">NORMINV(RAND(),0,G$7)</f>
        <v>0.222542882321192</v>
      </c>
      <c r="H529" s="53" t="n">
        <f aca="true">NORMINV(RAND(),0,H$7)</f>
        <v>0.09743982841299</v>
      </c>
      <c r="I529" s="53" t="n">
        <f aca="false">SUM(B529:H529)</f>
        <v>-1.3992361004041</v>
      </c>
      <c r="J529" s="53" t="n">
        <f aca="true">NORMINV(RAND(),0,J$7)</f>
        <v>-2.06211895890344</v>
      </c>
      <c r="K529" s="53" t="n">
        <f aca="true">NORMINV(RAND(),0,K$7)</f>
        <v>0.545701928201501</v>
      </c>
      <c r="L529" s="53" t="n">
        <f aca="true">NORMINV(RAND(),0,L$7)</f>
        <v>-0.0510346294647779</v>
      </c>
      <c r="M529" s="53" t="n">
        <f aca="true">NORMINV(RAND(),0,M$7)</f>
        <v>-0.199886101130797</v>
      </c>
      <c r="N529" s="53" t="n">
        <f aca="true">NORMINV(RAND(),0,N$7)</f>
        <v>-0.161031357593955</v>
      </c>
      <c r="O529" s="53" t="n">
        <f aca="false">SUM(J529:N529)</f>
        <v>-1.92836911889147</v>
      </c>
    </row>
    <row r="530" customFormat="false" ht="15" hidden="false" customHeight="false" outlineLevel="0" collapsed="false">
      <c r="A530" s="2" t="n">
        <v>522</v>
      </c>
      <c r="B530" s="53" t="n">
        <f aca="true">NORMINV(RAND(),0,B$7)</f>
        <v>2.57157865864597</v>
      </c>
      <c r="C530" s="53" t="n">
        <f aca="true">NORMINV(RAND(),0,C$7)</f>
        <v>-1.89745201265227</v>
      </c>
      <c r="D530" s="53" t="n">
        <f aca="true">NORMINV(RAND(),0,D$7)</f>
        <v>1.76303702352779</v>
      </c>
      <c r="E530" s="53" t="n">
        <f aca="true">NORMINV(RAND(),0,E$7)</f>
        <v>0.646854849023655</v>
      </c>
      <c r="F530" s="53" t="n">
        <f aca="true">NORMINV(RAND(),0,F$7)</f>
        <v>-0.453445106279007</v>
      </c>
      <c r="G530" s="53" t="n">
        <f aca="true">NORMINV(RAND(),0,G$7)</f>
        <v>0.4595462696538</v>
      </c>
      <c r="H530" s="53" t="n">
        <f aca="true">NORMINV(RAND(),0,H$7)</f>
        <v>-0.0339475605863325</v>
      </c>
      <c r="I530" s="53" t="n">
        <f aca="false">SUM(B530:H530)</f>
        <v>3.05617212133361</v>
      </c>
      <c r="J530" s="53" t="n">
        <f aca="true">NORMINV(RAND(),0,J$7)</f>
        <v>1.22461302959983</v>
      </c>
      <c r="K530" s="53" t="n">
        <f aca="true">NORMINV(RAND(),0,K$7)</f>
        <v>0.262680319669784</v>
      </c>
      <c r="L530" s="53" t="n">
        <f aca="true">NORMINV(RAND(),0,L$7)</f>
        <v>-0.100588973329785</v>
      </c>
      <c r="M530" s="53" t="n">
        <f aca="true">NORMINV(RAND(),0,M$7)</f>
        <v>0.0201179278295957</v>
      </c>
      <c r="N530" s="53" t="n">
        <f aca="true">NORMINV(RAND(),0,N$7)</f>
        <v>0.158154036926672</v>
      </c>
      <c r="O530" s="53" t="n">
        <f aca="false">SUM(J530:N530)</f>
        <v>1.5649763406961</v>
      </c>
    </row>
    <row r="531" customFormat="false" ht="15" hidden="false" customHeight="false" outlineLevel="0" collapsed="false">
      <c r="A531" s="2" t="n">
        <v>523</v>
      </c>
      <c r="B531" s="53" t="n">
        <f aca="true">NORMINV(RAND(),0,B$7)</f>
        <v>-4.12030682959947</v>
      </c>
      <c r="C531" s="53" t="n">
        <f aca="true">NORMINV(RAND(),0,C$7)</f>
        <v>-3.86694546795641</v>
      </c>
      <c r="D531" s="53" t="n">
        <f aca="true">NORMINV(RAND(),0,D$7)</f>
        <v>0.162462175400263</v>
      </c>
      <c r="E531" s="53" t="n">
        <f aca="true">NORMINV(RAND(),0,E$7)</f>
        <v>-0.425859043112728</v>
      </c>
      <c r="F531" s="53" t="n">
        <f aca="true">NORMINV(RAND(),0,F$7)</f>
        <v>0.412568560974352</v>
      </c>
      <c r="G531" s="53" t="n">
        <f aca="true">NORMINV(RAND(),0,G$7)</f>
        <v>1.62047271411297</v>
      </c>
      <c r="H531" s="53" t="n">
        <f aca="true">NORMINV(RAND(),0,H$7)</f>
        <v>0.396103651138494</v>
      </c>
      <c r="I531" s="53" t="n">
        <f aca="false">SUM(B531:H531)</f>
        <v>-5.82150423904253</v>
      </c>
      <c r="J531" s="53" t="n">
        <f aca="true">NORMINV(RAND(),0,J$7)</f>
        <v>1.00841218454375</v>
      </c>
      <c r="K531" s="53" t="n">
        <f aca="true">NORMINV(RAND(),0,K$7)</f>
        <v>0.141602255333948</v>
      </c>
      <c r="L531" s="53" t="n">
        <f aca="true">NORMINV(RAND(),0,L$7)</f>
        <v>0.0174269232408608</v>
      </c>
      <c r="M531" s="53" t="n">
        <f aca="true">NORMINV(RAND(),0,M$7)</f>
        <v>0.0251844504163673</v>
      </c>
      <c r="N531" s="53" t="n">
        <f aca="true">NORMINV(RAND(),0,N$7)</f>
        <v>-0.386596235991045</v>
      </c>
      <c r="O531" s="53" t="n">
        <f aca="false">SUM(J531:N531)</f>
        <v>0.806029577543878</v>
      </c>
    </row>
    <row r="532" customFormat="false" ht="15" hidden="false" customHeight="false" outlineLevel="0" collapsed="false">
      <c r="A532" s="2" t="n">
        <v>524</v>
      </c>
      <c r="B532" s="53" t="n">
        <f aca="true">NORMINV(RAND(),0,B$7)</f>
        <v>0.89375819209021</v>
      </c>
      <c r="C532" s="53" t="n">
        <f aca="true">NORMINV(RAND(),0,C$7)</f>
        <v>-2.81922149869738</v>
      </c>
      <c r="D532" s="53" t="n">
        <f aca="true">NORMINV(RAND(),0,D$7)</f>
        <v>0.622981517148801</v>
      </c>
      <c r="E532" s="53" t="n">
        <f aca="true">NORMINV(RAND(),0,E$7)</f>
        <v>-0.368685284466537</v>
      </c>
      <c r="F532" s="53" t="n">
        <f aca="true">NORMINV(RAND(),0,F$7)</f>
        <v>-0.0210916929904596</v>
      </c>
      <c r="G532" s="53" t="n">
        <f aca="true">NORMINV(RAND(),0,G$7)</f>
        <v>-0.59407987819392</v>
      </c>
      <c r="H532" s="53" t="n">
        <f aca="true">NORMINV(RAND(),0,H$7)</f>
        <v>0.0158634325465556</v>
      </c>
      <c r="I532" s="53" t="n">
        <f aca="false">SUM(B532:H532)</f>
        <v>-2.27047521256273</v>
      </c>
      <c r="J532" s="53" t="n">
        <f aca="true">NORMINV(RAND(),0,J$7)</f>
        <v>-0.847032971637983</v>
      </c>
      <c r="K532" s="53" t="n">
        <f aca="true">NORMINV(RAND(),0,K$7)</f>
        <v>0.639060722676353</v>
      </c>
      <c r="L532" s="53" t="n">
        <f aca="true">NORMINV(RAND(),0,L$7)</f>
        <v>0.257735176894071</v>
      </c>
      <c r="M532" s="53" t="n">
        <f aca="true">NORMINV(RAND(),0,M$7)</f>
        <v>0.145559504859224</v>
      </c>
      <c r="N532" s="53" t="n">
        <f aca="true">NORMINV(RAND(),0,N$7)</f>
        <v>-0.541810838323836</v>
      </c>
      <c r="O532" s="53" t="n">
        <f aca="false">SUM(J532:N532)</f>
        <v>-0.346488405532171</v>
      </c>
    </row>
    <row r="533" customFormat="false" ht="15" hidden="false" customHeight="false" outlineLevel="0" collapsed="false">
      <c r="A533" s="2" t="n">
        <v>525</v>
      </c>
      <c r="B533" s="53" t="n">
        <f aca="true">NORMINV(RAND(),0,B$7)</f>
        <v>2.99952913366472</v>
      </c>
      <c r="C533" s="53" t="n">
        <f aca="true">NORMINV(RAND(),0,C$7)</f>
        <v>-1.45456159702392</v>
      </c>
      <c r="D533" s="53" t="n">
        <f aca="true">NORMINV(RAND(),0,D$7)</f>
        <v>-1.59410640952529</v>
      </c>
      <c r="E533" s="53" t="n">
        <f aca="true">NORMINV(RAND(),0,E$7)</f>
        <v>0.186356762161831</v>
      </c>
      <c r="F533" s="53" t="n">
        <f aca="true">NORMINV(RAND(),0,F$7)</f>
        <v>-0.126105965363887</v>
      </c>
      <c r="G533" s="53" t="n">
        <f aca="true">NORMINV(RAND(),0,G$7)</f>
        <v>1.57215946385271</v>
      </c>
      <c r="H533" s="53" t="n">
        <f aca="true">NORMINV(RAND(),0,H$7)</f>
        <v>0.225708420808524</v>
      </c>
      <c r="I533" s="53" t="n">
        <f aca="false">SUM(B533:H533)</f>
        <v>1.80897980857469</v>
      </c>
      <c r="J533" s="53" t="n">
        <f aca="true">NORMINV(RAND(),0,J$7)</f>
        <v>4.72831666253843</v>
      </c>
      <c r="K533" s="53" t="n">
        <f aca="true">NORMINV(RAND(),0,K$7)</f>
        <v>1.01603668151053</v>
      </c>
      <c r="L533" s="53" t="n">
        <f aca="true">NORMINV(RAND(),0,L$7)</f>
        <v>-0.569746868668436</v>
      </c>
      <c r="M533" s="53" t="n">
        <f aca="true">NORMINV(RAND(),0,M$7)</f>
        <v>-0.0999258416625925</v>
      </c>
      <c r="N533" s="53" t="n">
        <f aca="true">NORMINV(RAND(),0,N$7)</f>
        <v>0.567403885815755</v>
      </c>
      <c r="O533" s="53" t="n">
        <f aca="false">SUM(J533:N533)</f>
        <v>5.64208451953368</v>
      </c>
    </row>
    <row r="534" customFormat="false" ht="15" hidden="false" customHeight="false" outlineLevel="0" collapsed="false">
      <c r="A534" s="2" t="n">
        <v>526</v>
      </c>
      <c r="B534" s="53" t="n">
        <f aca="true">NORMINV(RAND(),0,B$7)</f>
        <v>1.03461298006007</v>
      </c>
      <c r="C534" s="53" t="n">
        <f aca="true">NORMINV(RAND(),0,C$7)</f>
        <v>-0.272083965013554</v>
      </c>
      <c r="D534" s="53" t="n">
        <f aca="true">NORMINV(RAND(),0,D$7)</f>
        <v>-2.63497587502056</v>
      </c>
      <c r="E534" s="53" t="n">
        <f aca="true">NORMINV(RAND(),0,E$7)</f>
        <v>-0.154785711056199</v>
      </c>
      <c r="F534" s="53" t="n">
        <f aca="true">NORMINV(RAND(),0,F$7)</f>
        <v>-0.22359602108733</v>
      </c>
      <c r="G534" s="53" t="n">
        <f aca="true">NORMINV(RAND(),0,G$7)</f>
        <v>0.0876637262545784</v>
      </c>
      <c r="H534" s="53" t="n">
        <f aca="true">NORMINV(RAND(),0,H$7)</f>
        <v>0.0911973866104373</v>
      </c>
      <c r="I534" s="53" t="n">
        <f aca="false">SUM(B534:H534)</f>
        <v>-2.07196747925256</v>
      </c>
      <c r="J534" s="53" t="n">
        <f aca="true">NORMINV(RAND(),0,J$7)</f>
        <v>-2.42928748180444</v>
      </c>
      <c r="K534" s="53" t="n">
        <f aca="true">NORMINV(RAND(),0,K$7)</f>
        <v>1.44875917247132</v>
      </c>
      <c r="L534" s="53" t="n">
        <f aca="true">NORMINV(RAND(),0,L$7)</f>
        <v>0.0055567967692788</v>
      </c>
      <c r="M534" s="53" t="n">
        <f aca="true">NORMINV(RAND(),0,M$7)</f>
        <v>-0.0130275548870053</v>
      </c>
      <c r="N534" s="53" t="n">
        <f aca="true">NORMINV(RAND(),0,N$7)</f>
        <v>0.136026812635563</v>
      </c>
      <c r="O534" s="53" t="n">
        <f aca="false">SUM(J534:N534)</f>
        <v>-0.851972254815283</v>
      </c>
    </row>
    <row r="535" customFormat="false" ht="15" hidden="false" customHeight="false" outlineLevel="0" collapsed="false">
      <c r="A535" s="2" t="n">
        <v>527</v>
      </c>
      <c r="B535" s="53" t="n">
        <f aca="true">NORMINV(RAND(),0,B$7)</f>
        <v>2.34384710974485</v>
      </c>
      <c r="C535" s="53" t="n">
        <f aca="true">NORMINV(RAND(),0,C$7)</f>
        <v>-1.51498234775684</v>
      </c>
      <c r="D535" s="53" t="n">
        <f aca="true">NORMINV(RAND(),0,D$7)</f>
        <v>-2.26229140803129</v>
      </c>
      <c r="E535" s="53" t="n">
        <f aca="true">NORMINV(RAND(),0,E$7)</f>
        <v>0.432617279423846</v>
      </c>
      <c r="F535" s="53" t="n">
        <f aca="true">NORMINV(RAND(),0,F$7)</f>
        <v>0.399846423521574</v>
      </c>
      <c r="G535" s="53" t="n">
        <f aca="true">NORMINV(RAND(),0,G$7)</f>
        <v>0.432406996235274</v>
      </c>
      <c r="H535" s="53" t="n">
        <f aca="true">NORMINV(RAND(),0,H$7)</f>
        <v>-0.157863846292647</v>
      </c>
      <c r="I535" s="53" t="n">
        <f aca="false">SUM(B535:H535)</f>
        <v>-0.326419793155223</v>
      </c>
      <c r="J535" s="53" t="n">
        <f aca="true">NORMINV(RAND(),0,J$7)</f>
        <v>0.863059019870748</v>
      </c>
      <c r="K535" s="53" t="n">
        <f aca="true">NORMINV(RAND(),0,K$7)</f>
        <v>-0.0951487733678208</v>
      </c>
      <c r="L535" s="53" t="n">
        <f aca="true">NORMINV(RAND(),0,L$7)</f>
        <v>-0.549702097613417</v>
      </c>
      <c r="M535" s="53" t="n">
        <f aca="true">NORMINV(RAND(),0,M$7)</f>
        <v>-0.167360718083552</v>
      </c>
      <c r="N535" s="53" t="n">
        <f aca="true">NORMINV(RAND(),0,N$7)</f>
        <v>-0.609600674322305</v>
      </c>
      <c r="O535" s="53" t="n">
        <f aca="false">SUM(J535:N535)</f>
        <v>-0.558753243516346</v>
      </c>
    </row>
    <row r="536" customFormat="false" ht="15" hidden="false" customHeight="false" outlineLevel="0" collapsed="false">
      <c r="A536" s="2" t="n">
        <v>528</v>
      </c>
      <c r="B536" s="53" t="n">
        <f aca="true">NORMINV(RAND(),0,B$7)</f>
        <v>-0.983439916069355</v>
      </c>
      <c r="C536" s="53" t="n">
        <f aca="true">NORMINV(RAND(),0,C$7)</f>
        <v>-0.370976219320433</v>
      </c>
      <c r="D536" s="53" t="n">
        <f aca="true">NORMINV(RAND(),0,D$7)</f>
        <v>3.37916019829519</v>
      </c>
      <c r="E536" s="53" t="n">
        <f aca="true">NORMINV(RAND(),0,E$7)</f>
        <v>-0.149403231176014</v>
      </c>
      <c r="F536" s="53" t="n">
        <f aca="true">NORMINV(RAND(),0,F$7)</f>
        <v>0.0601565443510893</v>
      </c>
      <c r="G536" s="53" t="n">
        <f aca="true">NORMINV(RAND(),0,G$7)</f>
        <v>1.85344220019488</v>
      </c>
      <c r="H536" s="53" t="n">
        <f aca="true">NORMINV(RAND(),0,H$7)</f>
        <v>0.0758146184065611</v>
      </c>
      <c r="I536" s="53" t="n">
        <f aca="false">SUM(B536:H536)</f>
        <v>3.86475419468191</v>
      </c>
      <c r="J536" s="53" t="n">
        <f aca="true">NORMINV(RAND(),0,J$7)</f>
        <v>2.62771890833004</v>
      </c>
      <c r="K536" s="53" t="n">
        <f aca="true">NORMINV(RAND(),0,K$7)</f>
        <v>-0.0629716074576477</v>
      </c>
      <c r="L536" s="53" t="n">
        <f aca="true">NORMINV(RAND(),0,L$7)</f>
        <v>-0.383780331770553</v>
      </c>
      <c r="M536" s="53" t="n">
        <f aca="true">NORMINV(RAND(),0,M$7)</f>
        <v>0.0051957652918402</v>
      </c>
      <c r="N536" s="53" t="n">
        <f aca="true">NORMINV(RAND(),0,N$7)</f>
        <v>0.480872285691896</v>
      </c>
      <c r="O536" s="53" t="n">
        <f aca="false">SUM(J536:N536)</f>
        <v>2.66703502008557</v>
      </c>
    </row>
    <row r="537" customFormat="false" ht="15" hidden="false" customHeight="false" outlineLevel="0" collapsed="false">
      <c r="A537" s="2" t="n">
        <v>529</v>
      </c>
      <c r="B537" s="53" t="n">
        <f aca="true">NORMINV(RAND(),0,B$7)</f>
        <v>2.60768094543083</v>
      </c>
      <c r="C537" s="53" t="n">
        <f aca="true">NORMINV(RAND(),0,C$7)</f>
        <v>-0.834035559347742</v>
      </c>
      <c r="D537" s="53" t="n">
        <f aca="true">NORMINV(RAND(),0,D$7)</f>
        <v>0.694931400125113</v>
      </c>
      <c r="E537" s="53" t="n">
        <f aca="true">NORMINV(RAND(),0,E$7)</f>
        <v>0.561143876607903</v>
      </c>
      <c r="F537" s="53" t="n">
        <f aca="true">NORMINV(RAND(),0,F$7)</f>
        <v>-0.0974587993834956</v>
      </c>
      <c r="G537" s="53" t="n">
        <f aca="true">NORMINV(RAND(),0,G$7)</f>
        <v>1.96554353589371</v>
      </c>
      <c r="H537" s="53" t="n">
        <f aca="true">NORMINV(RAND(),0,H$7)</f>
        <v>0.141862697702256</v>
      </c>
      <c r="I537" s="53" t="n">
        <f aca="false">SUM(B537:H537)</f>
        <v>5.03966809702857</v>
      </c>
      <c r="J537" s="53" t="n">
        <f aca="true">NORMINV(RAND(),0,J$7)</f>
        <v>0.905035275902328</v>
      </c>
      <c r="K537" s="53" t="n">
        <f aca="true">NORMINV(RAND(),0,K$7)</f>
        <v>0.259966389981467</v>
      </c>
      <c r="L537" s="53" t="n">
        <f aca="true">NORMINV(RAND(),0,L$7)</f>
        <v>0.0719989192902246</v>
      </c>
      <c r="M537" s="53" t="n">
        <f aca="true">NORMINV(RAND(),0,M$7)</f>
        <v>-0.300779906512645</v>
      </c>
      <c r="N537" s="53" t="n">
        <f aca="true">NORMINV(RAND(),0,N$7)</f>
        <v>0.151870874819091</v>
      </c>
      <c r="O537" s="53" t="n">
        <f aca="false">SUM(J537:N537)</f>
        <v>1.08809155348047</v>
      </c>
    </row>
    <row r="538" customFormat="false" ht="15" hidden="false" customHeight="false" outlineLevel="0" collapsed="false">
      <c r="A538" s="2" t="n">
        <v>530</v>
      </c>
      <c r="B538" s="53" t="n">
        <f aca="true">NORMINV(RAND(),0,B$7)</f>
        <v>-1.47569433064875</v>
      </c>
      <c r="C538" s="53" t="n">
        <f aca="true">NORMINV(RAND(),0,C$7)</f>
        <v>-1.25959913696662</v>
      </c>
      <c r="D538" s="53" t="n">
        <f aca="true">NORMINV(RAND(),0,D$7)</f>
        <v>2.89877909500613</v>
      </c>
      <c r="E538" s="53" t="n">
        <f aca="true">NORMINV(RAND(),0,E$7)</f>
        <v>-0.114590601570634</v>
      </c>
      <c r="F538" s="53" t="n">
        <f aca="true">NORMINV(RAND(),0,F$7)</f>
        <v>-0.199736426892064</v>
      </c>
      <c r="G538" s="53" t="n">
        <f aca="true">NORMINV(RAND(),0,G$7)</f>
        <v>-0.811660248648589</v>
      </c>
      <c r="H538" s="53" t="n">
        <f aca="true">NORMINV(RAND(),0,H$7)</f>
        <v>0.292196462047816</v>
      </c>
      <c r="I538" s="53" t="n">
        <f aca="false">SUM(B538:H538)</f>
        <v>-0.67030518767271</v>
      </c>
      <c r="J538" s="53" t="n">
        <f aca="true">NORMINV(RAND(),0,J$7)</f>
        <v>4.71095989475492</v>
      </c>
      <c r="K538" s="53" t="n">
        <f aca="true">NORMINV(RAND(),0,K$7)</f>
        <v>1.31775812389836</v>
      </c>
      <c r="L538" s="53" t="n">
        <f aca="true">NORMINV(RAND(),0,L$7)</f>
        <v>0.185742538546585</v>
      </c>
      <c r="M538" s="53" t="n">
        <f aca="true">NORMINV(RAND(),0,M$7)</f>
        <v>0.138993565187075</v>
      </c>
      <c r="N538" s="53" t="n">
        <f aca="true">NORMINV(RAND(),0,N$7)</f>
        <v>0.0390031043045577</v>
      </c>
      <c r="O538" s="53" t="n">
        <f aca="false">SUM(J538:N538)</f>
        <v>6.39245722669149</v>
      </c>
    </row>
    <row r="539" customFormat="false" ht="15" hidden="false" customHeight="false" outlineLevel="0" collapsed="false">
      <c r="A539" s="2" t="n">
        <v>531</v>
      </c>
      <c r="B539" s="53" t="n">
        <f aca="true">NORMINV(RAND(),0,B$7)</f>
        <v>-2.99638761552701</v>
      </c>
      <c r="C539" s="53" t="n">
        <f aca="true">NORMINV(RAND(),0,C$7)</f>
        <v>0.551364258089572</v>
      </c>
      <c r="D539" s="53" t="n">
        <f aca="true">NORMINV(RAND(),0,D$7)</f>
        <v>0.984862894537838</v>
      </c>
      <c r="E539" s="53" t="n">
        <f aca="true">NORMINV(RAND(),0,E$7)</f>
        <v>0.0832373700872224</v>
      </c>
      <c r="F539" s="53" t="n">
        <f aca="true">NORMINV(RAND(),0,F$7)</f>
        <v>0.249636692055249</v>
      </c>
      <c r="G539" s="53" t="n">
        <f aca="true">NORMINV(RAND(),0,G$7)</f>
        <v>-1.12461645228472</v>
      </c>
      <c r="H539" s="53" t="n">
        <f aca="true">NORMINV(RAND(),0,H$7)</f>
        <v>0.128241887711648</v>
      </c>
      <c r="I539" s="53" t="n">
        <f aca="false">SUM(B539:H539)</f>
        <v>-2.1236609653302</v>
      </c>
      <c r="J539" s="53" t="n">
        <f aca="true">NORMINV(RAND(),0,J$7)</f>
        <v>1.33362586333634</v>
      </c>
      <c r="K539" s="53" t="n">
        <f aca="true">NORMINV(RAND(),0,K$7)</f>
        <v>-1.53453283679335</v>
      </c>
      <c r="L539" s="53" t="n">
        <f aca="true">NORMINV(RAND(),0,L$7)</f>
        <v>-0.174143361290091</v>
      </c>
      <c r="M539" s="53" t="n">
        <f aca="true">NORMINV(RAND(),0,M$7)</f>
        <v>-0.329525854609862</v>
      </c>
      <c r="N539" s="53" t="n">
        <f aca="true">NORMINV(RAND(),0,N$7)</f>
        <v>-0.252936255611492</v>
      </c>
      <c r="O539" s="53" t="n">
        <f aca="false">SUM(J539:N539)</f>
        <v>-0.957512444968458</v>
      </c>
    </row>
    <row r="540" customFormat="false" ht="15" hidden="false" customHeight="false" outlineLevel="0" collapsed="false">
      <c r="A540" s="2" t="n">
        <v>532</v>
      </c>
      <c r="B540" s="53" t="n">
        <f aca="true">NORMINV(RAND(),0,B$7)</f>
        <v>1.36812846919245</v>
      </c>
      <c r="C540" s="53" t="n">
        <f aca="true">NORMINV(RAND(),0,C$7)</f>
        <v>0.196345825010347</v>
      </c>
      <c r="D540" s="53" t="n">
        <f aca="true">NORMINV(RAND(),0,D$7)</f>
        <v>1.32147155116061</v>
      </c>
      <c r="E540" s="53" t="n">
        <f aca="true">NORMINV(RAND(),0,E$7)</f>
        <v>0.180708353652761</v>
      </c>
      <c r="F540" s="53" t="n">
        <f aca="true">NORMINV(RAND(),0,F$7)</f>
        <v>0.352980984161048</v>
      </c>
      <c r="G540" s="53" t="n">
        <f aca="true">NORMINV(RAND(),0,G$7)</f>
        <v>1.87402547122974</v>
      </c>
      <c r="H540" s="53" t="n">
        <f aca="true">NORMINV(RAND(),0,H$7)</f>
        <v>-0.576885040120687</v>
      </c>
      <c r="I540" s="53" t="n">
        <f aca="false">SUM(B540:H540)</f>
        <v>4.71677561428627</v>
      </c>
      <c r="J540" s="53" t="n">
        <f aca="true">NORMINV(RAND(),0,J$7)</f>
        <v>2.53174495266294</v>
      </c>
      <c r="K540" s="53" t="n">
        <f aca="true">NORMINV(RAND(),0,K$7)</f>
        <v>-0.657469179716838</v>
      </c>
      <c r="L540" s="53" t="n">
        <f aca="true">NORMINV(RAND(),0,L$7)</f>
        <v>0.0301399912456881</v>
      </c>
      <c r="M540" s="53" t="n">
        <f aca="true">NORMINV(RAND(),0,M$7)</f>
        <v>0.225977710517584</v>
      </c>
      <c r="N540" s="53" t="n">
        <f aca="true">NORMINV(RAND(),0,N$7)</f>
        <v>0.301162941455225</v>
      </c>
      <c r="O540" s="53" t="n">
        <f aca="false">SUM(J540:N540)</f>
        <v>2.4315564161646</v>
      </c>
    </row>
    <row r="541" customFormat="false" ht="15" hidden="false" customHeight="false" outlineLevel="0" collapsed="false">
      <c r="A541" s="2" t="n">
        <v>533</v>
      </c>
      <c r="B541" s="53" t="n">
        <f aca="true">NORMINV(RAND(),0,B$7)</f>
        <v>-0.652747393604398</v>
      </c>
      <c r="C541" s="53" t="n">
        <f aca="true">NORMINV(RAND(),0,C$7)</f>
        <v>-1.0814024556801</v>
      </c>
      <c r="D541" s="53" t="n">
        <f aca="true">NORMINV(RAND(),0,D$7)</f>
        <v>-0.297829624523506</v>
      </c>
      <c r="E541" s="53" t="n">
        <f aca="true">NORMINV(RAND(),0,E$7)</f>
        <v>-0.179028352009497</v>
      </c>
      <c r="F541" s="53" t="n">
        <f aca="true">NORMINV(RAND(),0,F$7)</f>
        <v>-0.358813685776923</v>
      </c>
      <c r="G541" s="53" t="n">
        <f aca="true">NORMINV(RAND(),0,G$7)</f>
        <v>-1.10615759905476</v>
      </c>
      <c r="H541" s="53" t="n">
        <f aca="true">NORMINV(RAND(),0,H$7)</f>
        <v>-0.270492707986117</v>
      </c>
      <c r="I541" s="53" t="n">
        <f aca="false">SUM(B541:H541)</f>
        <v>-3.94647181863529</v>
      </c>
      <c r="J541" s="53" t="n">
        <f aca="true">NORMINV(RAND(),0,J$7)</f>
        <v>-0.96071754269839</v>
      </c>
      <c r="K541" s="53" t="n">
        <f aca="true">NORMINV(RAND(),0,K$7)</f>
        <v>-1.65961567884811</v>
      </c>
      <c r="L541" s="53" t="n">
        <f aca="true">NORMINV(RAND(),0,L$7)</f>
        <v>-0.1460872821064</v>
      </c>
      <c r="M541" s="53" t="n">
        <f aca="true">NORMINV(RAND(),0,M$7)</f>
        <v>-0.114653533254219</v>
      </c>
      <c r="N541" s="53" t="n">
        <f aca="true">NORMINV(RAND(),0,N$7)</f>
        <v>-0.565765713930637</v>
      </c>
      <c r="O541" s="53" t="n">
        <f aca="false">SUM(J541:N541)</f>
        <v>-3.44683975083776</v>
      </c>
    </row>
    <row r="542" customFormat="false" ht="15" hidden="false" customHeight="false" outlineLevel="0" collapsed="false">
      <c r="A542" s="2" t="n">
        <v>534</v>
      </c>
      <c r="B542" s="53" t="n">
        <f aca="true">NORMINV(RAND(),0,B$7)</f>
        <v>-1.70759036441369</v>
      </c>
      <c r="C542" s="53" t="n">
        <f aca="true">NORMINV(RAND(),0,C$7)</f>
        <v>1.07496701063079</v>
      </c>
      <c r="D542" s="53" t="n">
        <f aca="true">NORMINV(RAND(),0,D$7)</f>
        <v>3.69300679434117</v>
      </c>
      <c r="E542" s="53" t="n">
        <f aca="true">NORMINV(RAND(),0,E$7)</f>
        <v>-0.199355076550563</v>
      </c>
      <c r="F542" s="53" t="n">
        <f aca="true">NORMINV(RAND(),0,F$7)</f>
        <v>0.0881215527761479</v>
      </c>
      <c r="G542" s="53" t="n">
        <f aca="true">NORMINV(RAND(),0,G$7)</f>
        <v>0.773435993159001</v>
      </c>
      <c r="H542" s="53" t="n">
        <f aca="true">NORMINV(RAND(),0,H$7)</f>
        <v>-0.0850675088703878</v>
      </c>
      <c r="I542" s="53" t="n">
        <f aca="false">SUM(B542:H542)</f>
        <v>3.63751840107248</v>
      </c>
      <c r="J542" s="53" t="n">
        <f aca="true">NORMINV(RAND(),0,J$7)</f>
        <v>2.96050627165986</v>
      </c>
      <c r="K542" s="53" t="n">
        <f aca="true">NORMINV(RAND(),0,K$7)</f>
        <v>0.562330146012806</v>
      </c>
      <c r="L542" s="53" t="n">
        <f aca="true">NORMINV(RAND(),0,L$7)</f>
        <v>-0.415938766146895</v>
      </c>
      <c r="M542" s="53" t="n">
        <f aca="true">NORMINV(RAND(),0,M$7)</f>
        <v>0.158200247447083</v>
      </c>
      <c r="N542" s="53" t="n">
        <f aca="true">NORMINV(RAND(),0,N$7)</f>
        <v>-0.0687247444310656</v>
      </c>
      <c r="O542" s="53" t="n">
        <f aca="false">SUM(J542:N542)</f>
        <v>3.19637315454179</v>
      </c>
    </row>
    <row r="543" customFormat="false" ht="15" hidden="false" customHeight="false" outlineLevel="0" collapsed="false">
      <c r="A543" s="2" t="n">
        <v>535</v>
      </c>
      <c r="B543" s="53" t="n">
        <f aca="true">NORMINV(RAND(),0,B$7)</f>
        <v>2.70742080778135</v>
      </c>
      <c r="C543" s="53" t="n">
        <f aca="true">NORMINV(RAND(),0,C$7)</f>
        <v>3.33316057759652</v>
      </c>
      <c r="D543" s="53" t="n">
        <f aca="true">NORMINV(RAND(),0,D$7)</f>
        <v>0.197459023357259</v>
      </c>
      <c r="E543" s="53" t="n">
        <f aca="true">NORMINV(RAND(),0,E$7)</f>
        <v>0.286216076886694</v>
      </c>
      <c r="F543" s="53" t="n">
        <f aca="true">NORMINV(RAND(),0,F$7)</f>
        <v>0.333884699850648</v>
      </c>
      <c r="G543" s="53" t="n">
        <f aca="true">NORMINV(RAND(),0,G$7)</f>
        <v>-1.15185808625969</v>
      </c>
      <c r="H543" s="53" t="n">
        <f aca="true">NORMINV(RAND(),0,H$7)</f>
        <v>0.0234746481007486</v>
      </c>
      <c r="I543" s="53" t="n">
        <f aca="false">SUM(B543:H543)</f>
        <v>5.72975774731353</v>
      </c>
      <c r="J543" s="53" t="n">
        <f aca="true">NORMINV(RAND(),0,J$7)</f>
        <v>2.18668699138199</v>
      </c>
      <c r="K543" s="53" t="n">
        <f aca="true">NORMINV(RAND(),0,K$7)</f>
        <v>-0.107806900659691</v>
      </c>
      <c r="L543" s="53" t="n">
        <f aca="true">NORMINV(RAND(),0,L$7)</f>
        <v>0.498559343511396</v>
      </c>
      <c r="M543" s="53" t="n">
        <f aca="true">NORMINV(RAND(),0,M$7)</f>
        <v>-0.0456188414548888</v>
      </c>
      <c r="N543" s="53" t="n">
        <f aca="true">NORMINV(RAND(),0,N$7)</f>
        <v>0.566468741673238</v>
      </c>
      <c r="O543" s="53" t="n">
        <f aca="false">SUM(J543:N543)</f>
        <v>3.09828933445204</v>
      </c>
    </row>
    <row r="544" customFormat="false" ht="15" hidden="false" customHeight="false" outlineLevel="0" collapsed="false">
      <c r="A544" s="2" t="n">
        <v>536</v>
      </c>
      <c r="B544" s="53" t="n">
        <f aca="true">NORMINV(RAND(),0,B$7)</f>
        <v>0.649064470765039</v>
      </c>
      <c r="C544" s="53" t="n">
        <f aca="true">NORMINV(RAND(),0,C$7)</f>
        <v>-1.65931750910561</v>
      </c>
      <c r="D544" s="53" t="n">
        <f aca="true">NORMINV(RAND(),0,D$7)</f>
        <v>-2.54620152981776</v>
      </c>
      <c r="E544" s="53" t="n">
        <f aca="true">NORMINV(RAND(),0,E$7)</f>
        <v>-0.263442537823352</v>
      </c>
      <c r="F544" s="53" t="n">
        <f aca="true">NORMINV(RAND(),0,F$7)</f>
        <v>0.0887640165487389</v>
      </c>
      <c r="G544" s="53" t="n">
        <f aca="true">NORMINV(RAND(),0,G$7)</f>
        <v>0.84870325572281</v>
      </c>
      <c r="H544" s="53" t="n">
        <f aca="true">NORMINV(RAND(),0,H$7)</f>
        <v>-0.344772393096252</v>
      </c>
      <c r="I544" s="53" t="n">
        <f aca="false">SUM(B544:H544)</f>
        <v>-3.22720222680638</v>
      </c>
      <c r="J544" s="53" t="n">
        <f aca="true">NORMINV(RAND(),0,J$7)</f>
        <v>2.21741709390258</v>
      </c>
      <c r="K544" s="53" t="n">
        <f aca="true">NORMINV(RAND(),0,K$7)</f>
        <v>-0.48407693783744</v>
      </c>
      <c r="L544" s="53" t="n">
        <f aca="true">NORMINV(RAND(),0,L$7)</f>
        <v>0.172879866886451</v>
      </c>
      <c r="M544" s="53" t="n">
        <f aca="true">NORMINV(RAND(),0,M$7)</f>
        <v>0.127400658010716</v>
      </c>
      <c r="N544" s="53" t="n">
        <f aca="true">NORMINV(RAND(),0,N$7)</f>
        <v>0.371820304490179</v>
      </c>
      <c r="O544" s="53" t="n">
        <f aca="false">SUM(J544:N544)</f>
        <v>2.40544098545248</v>
      </c>
    </row>
    <row r="545" customFormat="false" ht="15" hidden="false" customHeight="false" outlineLevel="0" collapsed="false">
      <c r="A545" s="2" t="n">
        <v>537</v>
      </c>
      <c r="B545" s="53" t="n">
        <f aca="true">NORMINV(RAND(),0,B$7)</f>
        <v>2.49593335191191</v>
      </c>
      <c r="C545" s="53" t="n">
        <f aca="true">NORMINV(RAND(),0,C$7)</f>
        <v>-0.765173628268716</v>
      </c>
      <c r="D545" s="53" t="n">
        <f aca="true">NORMINV(RAND(),0,D$7)</f>
        <v>4.09308944421429</v>
      </c>
      <c r="E545" s="53" t="n">
        <f aca="true">NORMINV(RAND(),0,E$7)</f>
        <v>-0.548723697640614</v>
      </c>
      <c r="F545" s="53" t="n">
        <f aca="true">NORMINV(RAND(),0,F$7)</f>
        <v>0.443398924856787</v>
      </c>
      <c r="G545" s="53" t="n">
        <f aca="true">NORMINV(RAND(),0,G$7)</f>
        <v>0.294843685568592</v>
      </c>
      <c r="H545" s="53" t="n">
        <f aca="true">NORMINV(RAND(),0,H$7)</f>
        <v>-0.011370448140702</v>
      </c>
      <c r="I545" s="53" t="n">
        <f aca="false">SUM(B545:H545)</f>
        <v>6.00199763250155</v>
      </c>
      <c r="J545" s="53" t="n">
        <f aca="true">NORMINV(RAND(),0,J$7)</f>
        <v>0.188958558588056</v>
      </c>
      <c r="K545" s="53" t="n">
        <f aca="true">NORMINV(RAND(),0,K$7)</f>
        <v>0.805739957363147</v>
      </c>
      <c r="L545" s="53" t="n">
        <f aca="true">NORMINV(RAND(),0,L$7)</f>
        <v>-0.179180067789358</v>
      </c>
      <c r="M545" s="53" t="n">
        <f aca="true">NORMINV(RAND(),0,M$7)</f>
        <v>0.140047149588988</v>
      </c>
      <c r="N545" s="53" t="n">
        <f aca="true">NORMINV(RAND(),0,N$7)</f>
        <v>-0.0227178564358375</v>
      </c>
      <c r="O545" s="53" t="n">
        <f aca="false">SUM(J545:N545)</f>
        <v>0.932847741314995</v>
      </c>
    </row>
    <row r="546" customFormat="false" ht="15" hidden="false" customHeight="false" outlineLevel="0" collapsed="false">
      <c r="A546" s="2" t="n">
        <v>538</v>
      </c>
      <c r="B546" s="53" t="n">
        <f aca="true">NORMINV(RAND(),0,B$7)</f>
        <v>0.672463384530346</v>
      </c>
      <c r="C546" s="53" t="n">
        <f aca="true">NORMINV(RAND(),0,C$7)</f>
        <v>0.706246093586253</v>
      </c>
      <c r="D546" s="53" t="n">
        <f aca="true">NORMINV(RAND(),0,D$7)</f>
        <v>-0.0358455538567601</v>
      </c>
      <c r="E546" s="53" t="n">
        <f aca="true">NORMINV(RAND(),0,E$7)</f>
        <v>-1.08295534228137</v>
      </c>
      <c r="F546" s="53" t="n">
        <f aca="true">NORMINV(RAND(),0,F$7)</f>
        <v>0.36611723885524</v>
      </c>
      <c r="G546" s="53" t="n">
        <f aca="true">NORMINV(RAND(),0,G$7)</f>
        <v>-0.521066225117746</v>
      </c>
      <c r="H546" s="53" t="n">
        <f aca="true">NORMINV(RAND(),0,H$7)</f>
        <v>-0.348410621364584</v>
      </c>
      <c r="I546" s="53" t="n">
        <f aca="false">SUM(B546:H546)</f>
        <v>-0.243451025648619</v>
      </c>
      <c r="J546" s="53" t="n">
        <f aca="true">NORMINV(RAND(),0,J$7)</f>
        <v>-2.94413916052578</v>
      </c>
      <c r="K546" s="53" t="n">
        <f aca="true">NORMINV(RAND(),0,K$7)</f>
        <v>-1.18828474590118</v>
      </c>
      <c r="L546" s="53" t="n">
        <f aca="true">NORMINV(RAND(),0,L$7)</f>
        <v>0.442274127794687</v>
      </c>
      <c r="M546" s="53" t="n">
        <f aca="true">NORMINV(RAND(),0,M$7)</f>
        <v>-0.218440701497669</v>
      </c>
      <c r="N546" s="53" t="n">
        <f aca="true">NORMINV(RAND(),0,N$7)</f>
        <v>-0.36909704242863</v>
      </c>
      <c r="O546" s="53" t="n">
        <f aca="false">SUM(J546:N546)</f>
        <v>-4.27768752255857</v>
      </c>
    </row>
    <row r="547" customFormat="false" ht="15" hidden="false" customHeight="false" outlineLevel="0" collapsed="false">
      <c r="A547" s="2" t="n">
        <v>539</v>
      </c>
      <c r="B547" s="53" t="n">
        <f aca="true">NORMINV(RAND(),0,B$7)</f>
        <v>3.65580913799028</v>
      </c>
      <c r="C547" s="53" t="n">
        <f aca="true">NORMINV(RAND(),0,C$7)</f>
        <v>0.512978794976333</v>
      </c>
      <c r="D547" s="53" t="n">
        <f aca="true">NORMINV(RAND(),0,D$7)</f>
        <v>0.862378736099829</v>
      </c>
      <c r="E547" s="53" t="n">
        <f aca="true">NORMINV(RAND(),0,E$7)</f>
        <v>-0.464784063205308</v>
      </c>
      <c r="F547" s="53" t="n">
        <f aca="true">NORMINV(RAND(),0,F$7)</f>
        <v>0.135489121834378</v>
      </c>
      <c r="G547" s="53" t="n">
        <f aca="true">NORMINV(RAND(),0,G$7)</f>
        <v>1.17637979574764</v>
      </c>
      <c r="H547" s="53" t="n">
        <f aca="true">NORMINV(RAND(),0,H$7)</f>
        <v>0.281503112632599</v>
      </c>
      <c r="I547" s="53" t="n">
        <f aca="false">SUM(B547:H547)</f>
        <v>6.15975463607575</v>
      </c>
      <c r="J547" s="53" t="n">
        <f aca="true">NORMINV(RAND(),0,J$7)</f>
        <v>-1.34850301209404</v>
      </c>
      <c r="K547" s="53" t="n">
        <f aca="true">NORMINV(RAND(),0,K$7)</f>
        <v>0.226443198073897</v>
      </c>
      <c r="L547" s="53" t="n">
        <f aca="true">NORMINV(RAND(),0,L$7)</f>
        <v>-0.121701287569291</v>
      </c>
      <c r="M547" s="53" t="n">
        <f aca="true">NORMINV(RAND(),0,M$7)</f>
        <v>0.123717196414718</v>
      </c>
      <c r="N547" s="53" t="n">
        <f aca="true">NORMINV(RAND(),0,N$7)</f>
        <v>0.124020625286116</v>
      </c>
      <c r="O547" s="53" t="n">
        <f aca="false">SUM(J547:N547)</f>
        <v>-0.996023279888601</v>
      </c>
    </row>
    <row r="548" customFormat="false" ht="15" hidden="false" customHeight="false" outlineLevel="0" collapsed="false">
      <c r="A548" s="2" t="n">
        <v>540</v>
      </c>
      <c r="B548" s="53" t="n">
        <f aca="true">NORMINV(RAND(),0,B$7)</f>
        <v>2.13940740778926</v>
      </c>
      <c r="C548" s="53" t="n">
        <f aca="true">NORMINV(RAND(),0,C$7)</f>
        <v>-0.735137633494608</v>
      </c>
      <c r="D548" s="53" t="n">
        <f aca="true">NORMINV(RAND(),0,D$7)</f>
        <v>-1.63581478068979</v>
      </c>
      <c r="E548" s="53" t="n">
        <f aca="true">NORMINV(RAND(),0,E$7)</f>
        <v>0.733271794989489</v>
      </c>
      <c r="F548" s="53" t="n">
        <f aca="true">NORMINV(RAND(),0,F$7)</f>
        <v>0.378089252428849</v>
      </c>
      <c r="G548" s="53" t="n">
        <f aca="true">NORMINV(RAND(),0,G$7)</f>
        <v>0.553331872424331</v>
      </c>
      <c r="H548" s="53" t="n">
        <f aca="true">NORMINV(RAND(),0,H$7)</f>
        <v>0.00246672665688722</v>
      </c>
      <c r="I548" s="53" t="n">
        <f aca="false">SUM(B548:H548)</f>
        <v>1.43561464010442</v>
      </c>
      <c r="J548" s="53" t="n">
        <f aca="true">NORMINV(RAND(),0,J$7)</f>
        <v>-0.197944381739365</v>
      </c>
      <c r="K548" s="53" t="n">
        <f aca="true">NORMINV(RAND(),0,K$7)</f>
        <v>-0.615470933343861</v>
      </c>
      <c r="L548" s="53" t="n">
        <f aca="true">NORMINV(RAND(),0,L$7)</f>
        <v>0.109661490275099</v>
      </c>
      <c r="M548" s="53" t="n">
        <f aca="true">NORMINV(RAND(),0,M$7)</f>
        <v>0.260058795673753</v>
      </c>
      <c r="N548" s="53" t="n">
        <f aca="true">NORMINV(RAND(),0,N$7)</f>
        <v>-0.113374959594244</v>
      </c>
      <c r="O548" s="53" t="n">
        <f aca="false">SUM(J548:N548)</f>
        <v>-0.557069988728618</v>
      </c>
    </row>
    <row r="549" customFormat="false" ht="15" hidden="false" customHeight="false" outlineLevel="0" collapsed="false">
      <c r="A549" s="2" t="n">
        <v>541</v>
      </c>
      <c r="B549" s="53" t="n">
        <f aca="true">NORMINV(RAND(),0,B$7)</f>
        <v>-2.17665503581951</v>
      </c>
      <c r="C549" s="53" t="n">
        <f aca="true">NORMINV(RAND(),0,C$7)</f>
        <v>-1.3883668848017</v>
      </c>
      <c r="D549" s="53" t="n">
        <f aca="true">NORMINV(RAND(),0,D$7)</f>
        <v>0.919258325981292</v>
      </c>
      <c r="E549" s="53" t="n">
        <f aca="true">NORMINV(RAND(),0,E$7)</f>
        <v>0.536824252608734</v>
      </c>
      <c r="F549" s="53" t="n">
        <f aca="true">NORMINV(RAND(),0,F$7)</f>
        <v>0.254755290302828</v>
      </c>
      <c r="G549" s="53" t="n">
        <f aca="true">NORMINV(RAND(),0,G$7)</f>
        <v>1.46284918547743</v>
      </c>
      <c r="H549" s="53" t="n">
        <f aca="true">NORMINV(RAND(),0,H$7)</f>
        <v>-0.257106915328913</v>
      </c>
      <c r="I549" s="53" t="n">
        <f aca="false">SUM(B549:H549)</f>
        <v>-0.648441781579835</v>
      </c>
      <c r="J549" s="53" t="n">
        <f aca="true">NORMINV(RAND(),0,J$7)</f>
        <v>0.236134798739564</v>
      </c>
      <c r="K549" s="53" t="n">
        <f aca="true">NORMINV(RAND(),0,K$7)</f>
        <v>1.35214284749319</v>
      </c>
      <c r="L549" s="53" t="n">
        <f aca="true">NORMINV(RAND(),0,L$7)</f>
        <v>0.774792330751106</v>
      </c>
      <c r="M549" s="53" t="n">
        <f aca="true">NORMINV(RAND(),0,M$7)</f>
        <v>-0.111882512113959</v>
      </c>
      <c r="N549" s="53" t="n">
        <f aca="true">NORMINV(RAND(),0,N$7)</f>
        <v>-0.46582945269463</v>
      </c>
      <c r="O549" s="53" t="n">
        <f aca="false">SUM(J549:N549)</f>
        <v>1.78535801217527</v>
      </c>
    </row>
    <row r="550" customFormat="false" ht="15" hidden="false" customHeight="false" outlineLevel="0" collapsed="false">
      <c r="A550" s="2" t="n">
        <v>542</v>
      </c>
      <c r="B550" s="53" t="n">
        <f aca="true">NORMINV(RAND(),0,B$7)</f>
        <v>-2.04345805385254</v>
      </c>
      <c r="C550" s="53" t="n">
        <f aca="true">NORMINV(RAND(),0,C$7)</f>
        <v>-1.5882625832527</v>
      </c>
      <c r="D550" s="53" t="n">
        <f aca="true">NORMINV(RAND(),0,D$7)</f>
        <v>0.008115028489818</v>
      </c>
      <c r="E550" s="53" t="n">
        <f aca="true">NORMINV(RAND(),0,E$7)</f>
        <v>-0.210650822462607</v>
      </c>
      <c r="F550" s="53" t="n">
        <f aca="true">NORMINV(RAND(),0,F$7)</f>
        <v>0.297618139644821</v>
      </c>
      <c r="G550" s="53" t="n">
        <f aca="true">NORMINV(RAND(),0,G$7)</f>
        <v>-0.493155988567167</v>
      </c>
      <c r="H550" s="53" t="n">
        <f aca="true">NORMINV(RAND(),0,H$7)</f>
        <v>0.0886236412330925</v>
      </c>
      <c r="I550" s="53" t="n">
        <f aca="false">SUM(B550:H550)</f>
        <v>-3.94117063876728</v>
      </c>
      <c r="J550" s="53" t="n">
        <f aca="true">NORMINV(RAND(),0,J$7)</f>
        <v>-2.12337095975045</v>
      </c>
      <c r="K550" s="53" t="n">
        <f aca="true">NORMINV(RAND(),0,K$7)</f>
        <v>-0.191277260412044</v>
      </c>
      <c r="L550" s="53" t="n">
        <f aca="true">NORMINV(RAND(),0,L$7)</f>
        <v>0.0418632700169082</v>
      </c>
      <c r="M550" s="53" t="n">
        <f aca="true">NORMINV(RAND(),0,M$7)</f>
        <v>-0.00668986639650154</v>
      </c>
      <c r="N550" s="53" t="n">
        <f aca="true">NORMINV(RAND(),0,N$7)</f>
        <v>0.314338215754678</v>
      </c>
      <c r="O550" s="53" t="n">
        <f aca="false">SUM(J550:N550)</f>
        <v>-1.96513660078741</v>
      </c>
    </row>
    <row r="551" customFormat="false" ht="15" hidden="false" customHeight="false" outlineLevel="0" collapsed="false">
      <c r="A551" s="2" t="n">
        <v>543</v>
      </c>
      <c r="B551" s="53" t="n">
        <f aca="true">NORMINV(RAND(),0,B$7)</f>
        <v>2.61312450601015</v>
      </c>
      <c r="C551" s="53" t="n">
        <f aca="true">NORMINV(RAND(),0,C$7)</f>
        <v>1.44152893624079</v>
      </c>
      <c r="D551" s="53" t="n">
        <f aca="true">NORMINV(RAND(),0,D$7)</f>
        <v>-0.158324342012905</v>
      </c>
      <c r="E551" s="53" t="n">
        <f aca="true">NORMINV(RAND(),0,E$7)</f>
        <v>-0.1544855923746</v>
      </c>
      <c r="F551" s="53" t="n">
        <f aca="true">NORMINV(RAND(),0,F$7)</f>
        <v>0.183033863580762</v>
      </c>
      <c r="G551" s="53" t="n">
        <f aca="true">NORMINV(RAND(),0,G$7)</f>
        <v>0.150685742647782</v>
      </c>
      <c r="H551" s="53" t="n">
        <f aca="true">NORMINV(RAND(),0,H$7)</f>
        <v>0.710452805764725</v>
      </c>
      <c r="I551" s="53" t="n">
        <f aca="false">SUM(B551:H551)</f>
        <v>4.7860159198567</v>
      </c>
      <c r="J551" s="53" t="n">
        <f aca="true">NORMINV(RAND(),0,J$7)</f>
        <v>0.115061192013686</v>
      </c>
      <c r="K551" s="53" t="n">
        <f aca="true">NORMINV(RAND(),0,K$7)</f>
        <v>0.260961490212408</v>
      </c>
      <c r="L551" s="53" t="n">
        <f aca="true">NORMINV(RAND(),0,L$7)</f>
        <v>-0.139696155728638</v>
      </c>
      <c r="M551" s="53" t="n">
        <f aca="true">NORMINV(RAND(),0,M$7)</f>
        <v>0.053849441912744</v>
      </c>
      <c r="N551" s="53" t="n">
        <f aca="true">NORMINV(RAND(),0,N$7)</f>
        <v>-0.179623245494494</v>
      </c>
      <c r="O551" s="53" t="n">
        <f aca="false">SUM(J551:N551)</f>
        <v>0.110552722915705</v>
      </c>
    </row>
    <row r="552" customFormat="false" ht="15" hidden="false" customHeight="false" outlineLevel="0" collapsed="false">
      <c r="A552" s="2" t="n">
        <v>544</v>
      </c>
      <c r="B552" s="53" t="n">
        <f aca="true">NORMINV(RAND(),0,B$7)</f>
        <v>3.04705118958825</v>
      </c>
      <c r="C552" s="53" t="n">
        <f aca="true">NORMINV(RAND(),0,C$7)</f>
        <v>0.769667346332404</v>
      </c>
      <c r="D552" s="53" t="n">
        <f aca="true">NORMINV(RAND(),0,D$7)</f>
        <v>0.395709204604711</v>
      </c>
      <c r="E552" s="53" t="n">
        <f aca="true">NORMINV(RAND(),0,E$7)</f>
        <v>0.136118272314706</v>
      </c>
      <c r="F552" s="53" t="n">
        <f aca="true">NORMINV(RAND(),0,F$7)</f>
        <v>0.0474580191894645</v>
      </c>
      <c r="G552" s="53" t="n">
        <f aca="true">NORMINV(RAND(),0,G$7)</f>
        <v>0.554182411385707</v>
      </c>
      <c r="H552" s="53" t="n">
        <f aca="true">NORMINV(RAND(),0,H$7)</f>
        <v>-0.423876778758443</v>
      </c>
      <c r="I552" s="53" t="n">
        <f aca="false">SUM(B552:H552)</f>
        <v>4.5263096646568</v>
      </c>
      <c r="J552" s="53" t="n">
        <f aca="true">NORMINV(RAND(),0,J$7)</f>
        <v>-2.49401220002093</v>
      </c>
      <c r="K552" s="53" t="n">
        <f aca="true">NORMINV(RAND(),0,K$7)</f>
        <v>-0.890913926845748</v>
      </c>
      <c r="L552" s="53" t="n">
        <f aca="true">NORMINV(RAND(),0,L$7)</f>
        <v>0.0611933652914381</v>
      </c>
      <c r="M552" s="53" t="n">
        <f aca="true">NORMINV(RAND(),0,M$7)</f>
        <v>0.250821196708368</v>
      </c>
      <c r="N552" s="53" t="n">
        <f aca="true">NORMINV(RAND(),0,N$7)</f>
        <v>0.12843160102916</v>
      </c>
      <c r="O552" s="53" t="n">
        <f aca="false">SUM(J552:N552)</f>
        <v>-2.94447996383771</v>
      </c>
    </row>
    <row r="553" customFormat="false" ht="15" hidden="false" customHeight="false" outlineLevel="0" collapsed="false">
      <c r="A553" s="2" t="n">
        <v>545</v>
      </c>
      <c r="B553" s="53" t="n">
        <f aca="true">NORMINV(RAND(),0,B$7)</f>
        <v>1.6083451820807</v>
      </c>
      <c r="C553" s="53" t="n">
        <f aca="true">NORMINV(RAND(),0,C$7)</f>
        <v>0.523857264785117</v>
      </c>
      <c r="D553" s="53" t="n">
        <f aca="true">NORMINV(RAND(),0,D$7)</f>
        <v>2.93057584181014</v>
      </c>
      <c r="E553" s="53" t="n">
        <f aca="true">NORMINV(RAND(),0,E$7)</f>
        <v>-0.621709520488629</v>
      </c>
      <c r="F553" s="53" t="n">
        <f aca="true">NORMINV(RAND(),0,F$7)</f>
        <v>0.0647838457074659</v>
      </c>
      <c r="G553" s="53" t="n">
        <f aca="true">NORMINV(RAND(),0,G$7)</f>
        <v>-1.94984323530642</v>
      </c>
      <c r="H553" s="53" t="n">
        <f aca="true">NORMINV(RAND(),0,H$7)</f>
        <v>0.704754790421401</v>
      </c>
      <c r="I553" s="53" t="n">
        <f aca="false">SUM(B553:H553)</f>
        <v>3.26076416900977</v>
      </c>
      <c r="J553" s="53" t="n">
        <f aca="true">NORMINV(RAND(),0,J$7)</f>
        <v>0.0697674497375304</v>
      </c>
      <c r="K553" s="53" t="n">
        <f aca="true">NORMINV(RAND(),0,K$7)</f>
        <v>-0.337939737291718</v>
      </c>
      <c r="L553" s="53" t="n">
        <f aca="true">NORMINV(RAND(),0,L$7)</f>
        <v>-0.609009692110318</v>
      </c>
      <c r="M553" s="53" t="n">
        <f aca="true">NORMINV(RAND(),0,M$7)</f>
        <v>-0.0686243068148653</v>
      </c>
      <c r="N553" s="53" t="n">
        <f aca="true">NORMINV(RAND(),0,N$7)</f>
        <v>-0.243181054933212</v>
      </c>
      <c r="O553" s="53" t="n">
        <f aca="false">SUM(J553:N553)</f>
        <v>-1.18898734141258</v>
      </c>
    </row>
    <row r="554" customFormat="false" ht="15" hidden="false" customHeight="false" outlineLevel="0" collapsed="false">
      <c r="A554" s="2" t="n">
        <v>546</v>
      </c>
      <c r="B554" s="53" t="n">
        <f aca="true">NORMINV(RAND(),0,B$7)</f>
        <v>-0.915660720437607</v>
      </c>
      <c r="C554" s="53" t="n">
        <f aca="true">NORMINV(RAND(),0,C$7)</f>
        <v>-2.18724385914867</v>
      </c>
      <c r="D554" s="53" t="n">
        <f aca="true">NORMINV(RAND(),0,D$7)</f>
        <v>-1.70571135146781</v>
      </c>
      <c r="E554" s="53" t="n">
        <f aca="true">NORMINV(RAND(),0,E$7)</f>
        <v>0.141980398277357</v>
      </c>
      <c r="F554" s="53" t="n">
        <f aca="true">NORMINV(RAND(),0,F$7)</f>
        <v>0.35686859190151</v>
      </c>
      <c r="G554" s="53" t="n">
        <f aca="true">NORMINV(RAND(),0,G$7)</f>
        <v>0.506693469386221</v>
      </c>
      <c r="H554" s="53" t="n">
        <f aca="true">NORMINV(RAND(),0,H$7)</f>
        <v>-0.126324832362848</v>
      </c>
      <c r="I554" s="53" t="n">
        <f aca="false">SUM(B554:H554)</f>
        <v>-3.92939830385185</v>
      </c>
      <c r="J554" s="53" t="n">
        <f aca="true">NORMINV(RAND(),0,J$7)</f>
        <v>0.0127554881871491</v>
      </c>
      <c r="K554" s="53" t="n">
        <f aca="true">NORMINV(RAND(),0,K$7)</f>
        <v>0.803692416646984</v>
      </c>
      <c r="L554" s="53" t="n">
        <f aca="true">NORMINV(RAND(),0,L$7)</f>
        <v>-0.147503178022931</v>
      </c>
      <c r="M554" s="53" t="n">
        <f aca="true">NORMINV(RAND(),0,M$7)</f>
        <v>-0.0160803988935419</v>
      </c>
      <c r="N554" s="53" t="n">
        <f aca="true">NORMINV(RAND(),0,N$7)</f>
        <v>-0.376960844356707</v>
      </c>
      <c r="O554" s="53" t="n">
        <f aca="false">SUM(J554:N554)</f>
        <v>0.275903483560953</v>
      </c>
    </row>
    <row r="555" customFormat="false" ht="15" hidden="false" customHeight="false" outlineLevel="0" collapsed="false">
      <c r="A555" s="2" t="n">
        <v>547</v>
      </c>
      <c r="B555" s="53" t="n">
        <f aca="true">NORMINV(RAND(),0,B$7)</f>
        <v>-0.643366587120166</v>
      </c>
      <c r="C555" s="53" t="n">
        <f aca="true">NORMINV(RAND(),0,C$7)</f>
        <v>-2.15099345675714</v>
      </c>
      <c r="D555" s="53" t="n">
        <f aca="true">NORMINV(RAND(),0,D$7)</f>
        <v>-0.310974255266679</v>
      </c>
      <c r="E555" s="53" t="n">
        <f aca="true">NORMINV(RAND(),0,E$7)</f>
        <v>0.560324085254581</v>
      </c>
      <c r="F555" s="53" t="n">
        <f aca="true">NORMINV(RAND(),0,F$7)</f>
        <v>-0.0329669577448329</v>
      </c>
      <c r="G555" s="53" t="n">
        <f aca="true">NORMINV(RAND(),0,G$7)</f>
        <v>1.02310430761563</v>
      </c>
      <c r="H555" s="53" t="n">
        <f aca="true">NORMINV(RAND(),0,H$7)</f>
        <v>0.305557240812453</v>
      </c>
      <c r="I555" s="53" t="n">
        <f aca="false">SUM(B555:H555)</f>
        <v>-1.24931562320615</v>
      </c>
      <c r="J555" s="53" t="n">
        <f aca="true">NORMINV(RAND(),0,J$7)</f>
        <v>-1.75645057621359</v>
      </c>
      <c r="K555" s="53" t="n">
        <f aca="true">NORMINV(RAND(),0,K$7)</f>
        <v>0.0647322088091174</v>
      </c>
      <c r="L555" s="53" t="n">
        <f aca="true">NORMINV(RAND(),0,L$7)</f>
        <v>-0.211538281544215</v>
      </c>
      <c r="M555" s="53" t="n">
        <f aca="true">NORMINV(RAND(),0,M$7)</f>
        <v>-0.232638089413006</v>
      </c>
      <c r="N555" s="53" t="n">
        <f aca="true">NORMINV(RAND(),0,N$7)</f>
        <v>0.0666662988409793</v>
      </c>
      <c r="O555" s="53" t="n">
        <f aca="false">SUM(J555:N555)</f>
        <v>-2.06922843952071</v>
      </c>
    </row>
    <row r="556" customFormat="false" ht="15" hidden="false" customHeight="false" outlineLevel="0" collapsed="false">
      <c r="A556" s="2" t="n">
        <v>548</v>
      </c>
      <c r="B556" s="53" t="n">
        <f aca="true">NORMINV(RAND(),0,B$7)</f>
        <v>-0.537108861691511</v>
      </c>
      <c r="C556" s="53" t="n">
        <f aca="true">NORMINV(RAND(),0,C$7)</f>
        <v>-0.806790411257487</v>
      </c>
      <c r="D556" s="53" t="n">
        <f aca="true">NORMINV(RAND(),0,D$7)</f>
        <v>-3.41885026777062</v>
      </c>
      <c r="E556" s="53" t="n">
        <f aca="true">NORMINV(RAND(),0,E$7)</f>
        <v>-0.36538488865715</v>
      </c>
      <c r="F556" s="53" t="n">
        <f aca="true">NORMINV(RAND(),0,F$7)</f>
        <v>-0.193507425054005</v>
      </c>
      <c r="G556" s="53" t="n">
        <f aca="true">NORMINV(RAND(),0,G$7)</f>
        <v>0.712308033723818</v>
      </c>
      <c r="H556" s="53" t="n">
        <f aca="true">NORMINV(RAND(),0,H$7)</f>
        <v>-0.226468244780399</v>
      </c>
      <c r="I556" s="53" t="n">
        <f aca="false">SUM(B556:H556)</f>
        <v>-4.83580206548735</v>
      </c>
      <c r="J556" s="53" t="n">
        <f aca="true">NORMINV(RAND(),0,J$7)</f>
        <v>0.571343256719145</v>
      </c>
      <c r="K556" s="53" t="n">
        <f aca="true">NORMINV(RAND(),0,K$7)</f>
        <v>-0.612337456449591</v>
      </c>
      <c r="L556" s="53" t="n">
        <f aca="true">NORMINV(RAND(),0,L$7)</f>
        <v>0.00345424211870131</v>
      </c>
      <c r="M556" s="53" t="n">
        <f aca="true">NORMINV(RAND(),0,M$7)</f>
        <v>-0.277204935213354</v>
      </c>
      <c r="N556" s="53" t="n">
        <f aca="true">NORMINV(RAND(),0,N$7)</f>
        <v>0.134987144646778</v>
      </c>
      <c r="O556" s="53" t="n">
        <f aca="false">SUM(J556:N556)</f>
        <v>-0.179757748178321</v>
      </c>
    </row>
    <row r="557" customFormat="false" ht="15" hidden="false" customHeight="false" outlineLevel="0" collapsed="false">
      <c r="A557" s="2" t="n">
        <v>549</v>
      </c>
      <c r="B557" s="53" t="n">
        <f aca="true">NORMINV(RAND(),0,B$7)</f>
        <v>3.60147849204218</v>
      </c>
      <c r="C557" s="53" t="n">
        <f aca="true">NORMINV(RAND(),0,C$7)</f>
        <v>0.188004630730237</v>
      </c>
      <c r="D557" s="53" t="n">
        <f aca="true">NORMINV(RAND(),0,D$7)</f>
        <v>-1.42371054298098</v>
      </c>
      <c r="E557" s="53" t="n">
        <f aca="true">NORMINV(RAND(),0,E$7)</f>
        <v>0.594296402334794</v>
      </c>
      <c r="F557" s="53" t="n">
        <f aca="true">NORMINV(RAND(),0,F$7)</f>
        <v>-0.356151996356625</v>
      </c>
      <c r="G557" s="53" t="n">
        <f aca="true">NORMINV(RAND(),0,G$7)</f>
        <v>2.13778808185131</v>
      </c>
      <c r="H557" s="53" t="n">
        <f aca="true">NORMINV(RAND(),0,H$7)</f>
        <v>0.0656204163281281</v>
      </c>
      <c r="I557" s="53" t="n">
        <f aca="false">SUM(B557:H557)</f>
        <v>4.80732548394904</v>
      </c>
      <c r="J557" s="53" t="n">
        <f aca="true">NORMINV(RAND(),0,J$7)</f>
        <v>0.409238115825016</v>
      </c>
      <c r="K557" s="53" t="n">
        <f aca="true">NORMINV(RAND(),0,K$7)</f>
        <v>0.312377221257</v>
      </c>
      <c r="L557" s="53" t="n">
        <f aca="true">NORMINV(RAND(),0,L$7)</f>
        <v>-0.1830053943276</v>
      </c>
      <c r="M557" s="53" t="n">
        <f aca="true">NORMINV(RAND(),0,M$7)</f>
        <v>-0.0927173606283867</v>
      </c>
      <c r="N557" s="53" t="n">
        <f aca="true">NORMINV(RAND(),0,N$7)</f>
        <v>-0.831412035685463</v>
      </c>
      <c r="O557" s="53" t="n">
        <f aca="false">SUM(J557:N557)</f>
        <v>-0.385519453559434</v>
      </c>
    </row>
    <row r="558" customFormat="false" ht="15" hidden="false" customHeight="false" outlineLevel="0" collapsed="false">
      <c r="A558" s="2" t="n">
        <v>550</v>
      </c>
      <c r="B558" s="53" t="n">
        <f aca="true">NORMINV(RAND(),0,B$7)</f>
        <v>0.156765477190973</v>
      </c>
      <c r="C558" s="53" t="n">
        <f aca="true">NORMINV(RAND(),0,C$7)</f>
        <v>3.28073181732196</v>
      </c>
      <c r="D558" s="53" t="n">
        <f aca="true">NORMINV(RAND(),0,D$7)</f>
        <v>-0.233533279352401</v>
      </c>
      <c r="E558" s="53" t="n">
        <f aca="true">NORMINV(RAND(),0,E$7)</f>
        <v>-0.126530378639496</v>
      </c>
      <c r="F558" s="53" t="n">
        <f aca="true">NORMINV(RAND(),0,F$7)</f>
        <v>-0.567185254471214</v>
      </c>
      <c r="G558" s="53" t="n">
        <f aca="true">NORMINV(RAND(),0,G$7)</f>
        <v>1.19239436425703</v>
      </c>
      <c r="H558" s="53" t="n">
        <f aca="true">NORMINV(RAND(),0,H$7)</f>
        <v>0.317781539098183</v>
      </c>
      <c r="I558" s="53" t="n">
        <f aca="false">SUM(B558:H558)</f>
        <v>4.02042428540504</v>
      </c>
      <c r="J558" s="53" t="n">
        <f aca="true">NORMINV(RAND(),0,J$7)</f>
        <v>2.47468431342579</v>
      </c>
      <c r="K558" s="53" t="n">
        <f aca="true">NORMINV(RAND(),0,K$7)</f>
        <v>0.770470190639661</v>
      </c>
      <c r="L558" s="53" t="n">
        <f aca="true">NORMINV(RAND(),0,L$7)</f>
        <v>-0.527028290918591</v>
      </c>
      <c r="M558" s="53" t="n">
        <f aca="true">NORMINV(RAND(),0,M$7)</f>
        <v>0.358425540042251</v>
      </c>
      <c r="N558" s="53" t="n">
        <f aca="true">NORMINV(RAND(),0,N$7)</f>
        <v>0.270712300682925</v>
      </c>
      <c r="O558" s="53" t="n">
        <f aca="false">SUM(J558:N558)</f>
        <v>3.34726405387204</v>
      </c>
    </row>
    <row r="559" customFormat="false" ht="15" hidden="false" customHeight="false" outlineLevel="0" collapsed="false">
      <c r="A559" s="2" t="n">
        <v>551</v>
      </c>
      <c r="B559" s="53" t="n">
        <f aca="true">NORMINV(RAND(),0,B$7)</f>
        <v>0.237787939313209</v>
      </c>
      <c r="C559" s="53" t="n">
        <f aca="true">NORMINV(RAND(),0,C$7)</f>
        <v>1.86992049237122</v>
      </c>
      <c r="D559" s="53" t="n">
        <f aca="true">NORMINV(RAND(),0,D$7)</f>
        <v>0.156515149075456</v>
      </c>
      <c r="E559" s="53" t="n">
        <f aca="true">NORMINV(RAND(),0,E$7)</f>
        <v>-0.246714614122516</v>
      </c>
      <c r="F559" s="53" t="n">
        <f aca="true">NORMINV(RAND(),0,F$7)</f>
        <v>-0.343669771504947</v>
      </c>
      <c r="G559" s="53" t="n">
        <f aca="true">NORMINV(RAND(),0,G$7)</f>
        <v>-0.237700678984143</v>
      </c>
      <c r="H559" s="53" t="n">
        <f aca="true">NORMINV(RAND(),0,H$7)</f>
        <v>0.0566357901183839</v>
      </c>
      <c r="I559" s="53" t="n">
        <f aca="false">SUM(B559:H559)</f>
        <v>1.49277430626666</v>
      </c>
      <c r="J559" s="53" t="n">
        <f aca="true">NORMINV(RAND(),0,J$7)</f>
        <v>-0.397768934897122</v>
      </c>
      <c r="K559" s="53" t="n">
        <f aca="true">NORMINV(RAND(),0,K$7)</f>
        <v>0.241014024233638</v>
      </c>
      <c r="L559" s="53" t="n">
        <f aca="true">NORMINV(RAND(),0,L$7)</f>
        <v>0.101849616672028</v>
      </c>
      <c r="M559" s="53" t="n">
        <f aca="true">NORMINV(RAND(),0,M$7)</f>
        <v>0.00203038685899023</v>
      </c>
      <c r="N559" s="53" t="n">
        <f aca="true">NORMINV(RAND(),0,N$7)</f>
        <v>0.0326107240916734</v>
      </c>
      <c r="O559" s="53" t="n">
        <f aca="false">SUM(J559:N559)</f>
        <v>-0.0202641830407931</v>
      </c>
    </row>
    <row r="560" customFormat="false" ht="15" hidden="false" customHeight="false" outlineLevel="0" collapsed="false">
      <c r="A560" s="2" t="n">
        <v>552</v>
      </c>
      <c r="B560" s="53" t="n">
        <f aca="true">NORMINV(RAND(),0,B$7)</f>
        <v>1.10317358876433</v>
      </c>
      <c r="C560" s="53" t="n">
        <f aca="true">NORMINV(RAND(),0,C$7)</f>
        <v>-0.609641333671082</v>
      </c>
      <c r="D560" s="53" t="n">
        <f aca="true">NORMINV(RAND(),0,D$7)</f>
        <v>-0.753050421224569</v>
      </c>
      <c r="E560" s="53" t="n">
        <f aca="true">NORMINV(RAND(),0,E$7)</f>
        <v>0.537181341461898</v>
      </c>
      <c r="F560" s="53" t="n">
        <f aca="true">NORMINV(RAND(),0,F$7)</f>
        <v>-0.0868999521148227</v>
      </c>
      <c r="G560" s="53" t="n">
        <f aca="true">NORMINV(RAND(),0,G$7)</f>
        <v>-0.628381544562506</v>
      </c>
      <c r="H560" s="53" t="n">
        <f aca="true">NORMINV(RAND(),0,H$7)</f>
        <v>0.861053444260965</v>
      </c>
      <c r="I560" s="53" t="n">
        <f aca="false">SUM(B560:H560)</f>
        <v>0.423435122914213</v>
      </c>
      <c r="J560" s="53" t="n">
        <f aca="true">NORMINV(RAND(),0,J$7)</f>
        <v>0.165610416668964</v>
      </c>
      <c r="K560" s="53" t="n">
        <f aca="true">NORMINV(RAND(),0,K$7)</f>
        <v>0.0869551018327928</v>
      </c>
      <c r="L560" s="53" t="n">
        <f aca="true">NORMINV(RAND(),0,L$7)</f>
        <v>-0.527780194116612</v>
      </c>
      <c r="M560" s="53" t="n">
        <f aca="true">NORMINV(RAND(),0,M$7)</f>
        <v>0.27836294073627</v>
      </c>
      <c r="N560" s="53" t="n">
        <f aca="true">NORMINV(RAND(),0,N$7)</f>
        <v>0.173416300950031</v>
      </c>
      <c r="O560" s="53" t="n">
        <f aca="false">SUM(J560:N560)</f>
        <v>0.176564566071446</v>
      </c>
    </row>
    <row r="561" customFormat="false" ht="15" hidden="false" customHeight="false" outlineLevel="0" collapsed="false">
      <c r="A561" s="2" t="n">
        <v>553</v>
      </c>
      <c r="B561" s="53" t="n">
        <f aca="true">NORMINV(RAND(),0,B$7)</f>
        <v>-0.205265151954257</v>
      </c>
      <c r="C561" s="53" t="n">
        <f aca="true">NORMINV(RAND(),0,C$7)</f>
        <v>1.14206275558849</v>
      </c>
      <c r="D561" s="53" t="n">
        <f aca="true">NORMINV(RAND(),0,D$7)</f>
        <v>0.898626482714241</v>
      </c>
      <c r="E561" s="53" t="n">
        <f aca="true">NORMINV(RAND(),0,E$7)</f>
        <v>0.342958832304327</v>
      </c>
      <c r="F561" s="53" t="n">
        <f aca="true">NORMINV(RAND(),0,F$7)</f>
        <v>-0.116015046216106</v>
      </c>
      <c r="G561" s="53" t="n">
        <f aca="true">NORMINV(RAND(),0,G$7)</f>
        <v>1.46711119645173</v>
      </c>
      <c r="H561" s="53" t="n">
        <f aca="true">NORMINV(RAND(),0,H$7)</f>
        <v>-0.0183496279045615</v>
      </c>
      <c r="I561" s="53" t="n">
        <f aca="false">SUM(B561:H561)</f>
        <v>3.51112944098386</v>
      </c>
      <c r="J561" s="53" t="n">
        <f aca="true">NORMINV(RAND(),0,J$7)</f>
        <v>-0.508288698121417</v>
      </c>
      <c r="K561" s="53" t="n">
        <f aca="true">NORMINV(RAND(),0,K$7)</f>
        <v>0.194145761829938</v>
      </c>
      <c r="L561" s="53" t="n">
        <f aca="true">NORMINV(RAND(),0,L$7)</f>
        <v>-0.0607896293609538</v>
      </c>
      <c r="M561" s="53" t="n">
        <f aca="true">NORMINV(RAND(),0,M$7)</f>
        <v>-0.0208375401314973</v>
      </c>
      <c r="N561" s="53" t="n">
        <f aca="true">NORMINV(RAND(),0,N$7)</f>
        <v>0.13162699142532</v>
      </c>
      <c r="O561" s="53" t="n">
        <f aca="false">SUM(J561:N561)</f>
        <v>-0.26414311435861</v>
      </c>
    </row>
    <row r="562" customFormat="false" ht="15" hidden="false" customHeight="false" outlineLevel="0" collapsed="false">
      <c r="A562" s="2" t="n">
        <v>554</v>
      </c>
      <c r="B562" s="53" t="n">
        <f aca="true">NORMINV(RAND(),0,B$7)</f>
        <v>0.58507320699319</v>
      </c>
      <c r="C562" s="53" t="n">
        <f aca="true">NORMINV(RAND(),0,C$7)</f>
        <v>-1.14920397654469</v>
      </c>
      <c r="D562" s="53" t="n">
        <f aca="true">NORMINV(RAND(),0,D$7)</f>
        <v>0.0259345896881513</v>
      </c>
      <c r="E562" s="53" t="n">
        <f aca="true">NORMINV(RAND(),0,E$7)</f>
        <v>-0.129888583487935</v>
      </c>
      <c r="F562" s="53" t="n">
        <f aca="true">NORMINV(RAND(),0,F$7)</f>
        <v>-0.0778977513771636</v>
      </c>
      <c r="G562" s="53" t="n">
        <f aca="true">NORMINV(RAND(),0,G$7)</f>
        <v>1.88011015584854</v>
      </c>
      <c r="H562" s="53" t="n">
        <f aca="true">NORMINV(RAND(),0,H$7)</f>
        <v>0.204619382044142</v>
      </c>
      <c r="I562" s="53" t="n">
        <f aca="false">SUM(B562:H562)</f>
        <v>1.33874702316423</v>
      </c>
      <c r="J562" s="53" t="n">
        <f aca="true">NORMINV(RAND(),0,J$7)</f>
        <v>1.99420916498783</v>
      </c>
      <c r="K562" s="53" t="n">
        <f aca="true">NORMINV(RAND(),0,K$7)</f>
        <v>-0.501024567612811</v>
      </c>
      <c r="L562" s="53" t="n">
        <f aca="true">NORMINV(RAND(),0,L$7)</f>
        <v>-0.750738087306954</v>
      </c>
      <c r="M562" s="53" t="n">
        <f aca="true">NORMINV(RAND(),0,M$7)</f>
        <v>0.188070379215948</v>
      </c>
      <c r="N562" s="53" t="n">
        <f aca="true">NORMINV(RAND(),0,N$7)</f>
        <v>-0.393147216461796</v>
      </c>
      <c r="O562" s="53" t="n">
        <f aca="false">SUM(J562:N562)</f>
        <v>0.537369672822217</v>
      </c>
    </row>
    <row r="563" customFormat="false" ht="15" hidden="false" customHeight="false" outlineLevel="0" collapsed="false">
      <c r="A563" s="2" t="n">
        <v>555</v>
      </c>
      <c r="B563" s="53" t="n">
        <f aca="true">NORMINV(RAND(),0,B$7)</f>
        <v>-1.86967759631536</v>
      </c>
      <c r="C563" s="53" t="n">
        <f aca="true">NORMINV(RAND(),0,C$7)</f>
        <v>2.02156651227729</v>
      </c>
      <c r="D563" s="53" t="n">
        <f aca="true">NORMINV(RAND(),0,D$7)</f>
        <v>-0.982892394986393</v>
      </c>
      <c r="E563" s="53" t="n">
        <f aca="true">NORMINV(RAND(),0,E$7)</f>
        <v>-0.0778157007513451</v>
      </c>
      <c r="F563" s="53" t="n">
        <f aca="true">NORMINV(RAND(),0,F$7)</f>
        <v>0.47118279956433</v>
      </c>
      <c r="G563" s="53" t="n">
        <f aca="true">NORMINV(RAND(),0,G$7)</f>
        <v>-1.41552622593367</v>
      </c>
      <c r="H563" s="53" t="n">
        <f aca="true">NORMINV(RAND(),0,H$7)</f>
        <v>-0.00525658242651301</v>
      </c>
      <c r="I563" s="53" t="n">
        <f aca="false">SUM(B563:H563)</f>
        <v>-1.85841918857166</v>
      </c>
      <c r="J563" s="53" t="n">
        <f aca="true">NORMINV(RAND(),0,J$7)</f>
        <v>1.14393104775752</v>
      </c>
      <c r="K563" s="53" t="n">
        <f aca="true">NORMINV(RAND(),0,K$7)</f>
        <v>0.229362069287979</v>
      </c>
      <c r="L563" s="53" t="n">
        <f aca="true">NORMINV(RAND(),0,L$7)</f>
        <v>-0.0845160723083803</v>
      </c>
      <c r="M563" s="53" t="n">
        <f aca="true">NORMINV(RAND(),0,M$7)</f>
        <v>0.180198209723603</v>
      </c>
      <c r="N563" s="53" t="n">
        <f aca="true">NORMINV(RAND(),0,N$7)</f>
        <v>0.151190640022599</v>
      </c>
      <c r="O563" s="53" t="n">
        <f aca="false">SUM(J563:N563)</f>
        <v>1.62016589448332</v>
      </c>
    </row>
    <row r="564" customFormat="false" ht="15" hidden="false" customHeight="false" outlineLevel="0" collapsed="false">
      <c r="A564" s="2" t="n">
        <v>556</v>
      </c>
      <c r="B564" s="53" t="n">
        <f aca="true">NORMINV(RAND(),0,B$7)</f>
        <v>1.21907276956024</v>
      </c>
      <c r="C564" s="53" t="n">
        <f aca="true">NORMINV(RAND(),0,C$7)</f>
        <v>1.18111854036669</v>
      </c>
      <c r="D564" s="53" t="n">
        <f aca="true">NORMINV(RAND(),0,D$7)</f>
        <v>-0.0902497211876273</v>
      </c>
      <c r="E564" s="53" t="n">
        <f aca="true">NORMINV(RAND(),0,E$7)</f>
        <v>0.0555362508474458</v>
      </c>
      <c r="F564" s="53" t="n">
        <f aca="true">NORMINV(RAND(),0,F$7)</f>
        <v>1.10379979266051</v>
      </c>
      <c r="G564" s="53" t="n">
        <f aca="true">NORMINV(RAND(),0,G$7)</f>
        <v>-0.342825215366234</v>
      </c>
      <c r="H564" s="53" t="n">
        <f aca="true">NORMINV(RAND(),0,H$7)</f>
        <v>-0.231030981193619</v>
      </c>
      <c r="I564" s="53" t="n">
        <f aca="false">SUM(B564:H564)</f>
        <v>2.8954214356874</v>
      </c>
      <c r="J564" s="53" t="n">
        <f aca="true">NORMINV(RAND(),0,J$7)</f>
        <v>-0.0418084733010778</v>
      </c>
      <c r="K564" s="53" t="n">
        <f aca="true">NORMINV(RAND(),0,K$7)</f>
        <v>1.32787419251648</v>
      </c>
      <c r="L564" s="53" t="n">
        <f aca="true">NORMINV(RAND(),0,L$7)</f>
        <v>-0.167134284544314</v>
      </c>
      <c r="M564" s="53" t="n">
        <f aca="true">NORMINV(RAND(),0,M$7)</f>
        <v>-0.0245438617673918</v>
      </c>
      <c r="N564" s="53" t="n">
        <f aca="true">NORMINV(RAND(),0,N$7)</f>
        <v>0.23267523689749</v>
      </c>
      <c r="O564" s="53" t="n">
        <f aca="false">SUM(J564:N564)</f>
        <v>1.32706280980119</v>
      </c>
    </row>
    <row r="565" customFormat="false" ht="15" hidden="false" customHeight="false" outlineLevel="0" collapsed="false">
      <c r="A565" s="2" t="n">
        <v>557</v>
      </c>
      <c r="B565" s="53" t="n">
        <f aca="true">NORMINV(RAND(),0,B$7)</f>
        <v>-0.935981757974588</v>
      </c>
      <c r="C565" s="53" t="n">
        <f aca="true">NORMINV(RAND(),0,C$7)</f>
        <v>0.753773093181634</v>
      </c>
      <c r="D565" s="53" t="n">
        <f aca="true">NORMINV(RAND(),0,D$7)</f>
        <v>1.06626085174484</v>
      </c>
      <c r="E565" s="53" t="n">
        <f aca="true">NORMINV(RAND(),0,E$7)</f>
        <v>-0.146177976865701</v>
      </c>
      <c r="F565" s="53" t="n">
        <f aca="true">NORMINV(RAND(),0,F$7)</f>
        <v>0.39120659882092</v>
      </c>
      <c r="G565" s="53" t="n">
        <f aca="true">NORMINV(RAND(),0,G$7)</f>
        <v>-0.786948882338409</v>
      </c>
      <c r="H565" s="53" t="n">
        <f aca="true">NORMINV(RAND(),0,H$7)</f>
        <v>-0.498854693021716</v>
      </c>
      <c r="I565" s="53" t="n">
        <f aca="false">SUM(B565:H565)</f>
        <v>-0.156722766453026</v>
      </c>
      <c r="J565" s="53" t="n">
        <f aca="true">NORMINV(RAND(),0,J$7)</f>
        <v>2.58568394868308</v>
      </c>
      <c r="K565" s="53" t="n">
        <f aca="true">NORMINV(RAND(),0,K$7)</f>
        <v>0.999254207686757</v>
      </c>
      <c r="L565" s="53" t="n">
        <f aca="true">NORMINV(RAND(),0,L$7)</f>
        <v>0.223592491591987</v>
      </c>
      <c r="M565" s="53" t="n">
        <f aca="true">NORMINV(RAND(),0,M$7)</f>
        <v>-0.16933352726393</v>
      </c>
      <c r="N565" s="53" t="n">
        <f aca="true">NORMINV(RAND(),0,N$7)</f>
        <v>-0.0559390169209635</v>
      </c>
      <c r="O565" s="53" t="n">
        <f aca="false">SUM(J565:N565)</f>
        <v>3.58325810377693</v>
      </c>
    </row>
    <row r="566" customFormat="false" ht="15" hidden="false" customHeight="false" outlineLevel="0" collapsed="false">
      <c r="A566" s="2" t="n">
        <v>558</v>
      </c>
      <c r="B566" s="53" t="n">
        <f aca="true">NORMINV(RAND(),0,B$7)</f>
        <v>-1.02437907831367</v>
      </c>
      <c r="C566" s="53" t="n">
        <f aca="true">NORMINV(RAND(),0,C$7)</f>
        <v>0.469230736537017</v>
      </c>
      <c r="D566" s="53" t="n">
        <f aca="true">NORMINV(RAND(),0,D$7)</f>
        <v>-2.39393595978345</v>
      </c>
      <c r="E566" s="53" t="n">
        <f aca="true">NORMINV(RAND(),0,E$7)</f>
        <v>0.252354713030642</v>
      </c>
      <c r="F566" s="53" t="n">
        <f aca="true">NORMINV(RAND(),0,F$7)</f>
        <v>0.0695558746340604</v>
      </c>
      <c r="G566" s="53" t="n">
        <f aca="true">NORMINV(RAND(),0,G$7)</f>
        <v>0.653118438028281</v>
      </c>
      <c r="H566" s="53" t="n">
        <f aca="true">NORMINV(RAND(),0,H$7)</f>
        <v>0.0562837184142645</v>
      </c>
      <c r="I566" s="53" t="n">
        <f aca="false">SUM(B566:H566)</f>
        <v>-1.91777155745286</v>
      </c>
      <c r="J566" s="53" t="n">
        <f aca="true">NORMINV(RAND(),0,J$7)</f>
        <v>-0.200245037484037</v>
      </c>
      <c r="K566" s="53" t="n">
        <f aca="true">NORMINV(RAND(),0,K$7)</f>
        <v>0.399177490161678</v>
      </c>
      <c r="L566" s="53" t="n">
        <f aca="true">NORMINV(RAND(),0,L$7)</f>
        <v>-0.0712343192722982</v>
      </c>
      <c r="M566" s="53" t="n">
        <f aca="true">NORMINV(RAND(),0,M$7)</f>
        <v>-0.130746385514497</v>
      </c>
      <c r="N566" s="53" t="n">
        <f aca="true">NORMINV(RAND(),0,N$7)</f>
        <v>-0.306833814988903</v>
      </c>
      <c r="O566" s="53" t="n">
        <f aca="false">SUM(J566:N566)</f>
        <v>-0.309882067098058</v>
      </c>
    </row>
    <row r="567" customFormat="false" ht="15" hidden="false" customHeight="false" outlineLevel="0" collapsed="false">
      <c r="A567" s="2" t="n">
        <v>559</v>
      </c>
      <c r="B567" s="53" t="n">
        <f aca="true">NORMINV(RAND(),0,B$7)</f>
        <v>0.127495316227282</v>
      </c>
      <c r="C567" s="53" t="n">
        <f aca="true">NORMINV(RAND(),0,C$7)</f>
        <v>0.0111571408009366</v>
      </c>
      <c r="D567" s="53" t="n">
        <f aca="true">NORMINV(RAND(),0,D$7)</f>
        <v>-2.43637223216635</v>
      </c>
      <c r="E567" s="53" t="n">
        <f aca="true">NORMINV(RAND(),0,E$7)</f>
        <v>0.354853826325035</v>
      </c>
      <c r="F567" s="53" t="n">
        <f aca="true">NORMINV(RAND(),0,F$7)</f>
        <v>0.275557515466061</v>
      </c>
      <c r="G567" s="53" t="n">
        <f aca="true">NORMINV(RAND(),0,G$7)</f>
        <v>-0.11180854395426</v>
      </c>
      <c r="H567" s="53" t="n">
        <f aca="true">NORMINV(RAND(),0,H$7)</f>
        <v>-0.0626910378286226</v>
      </c>
      <c r="I567" s="53" t="n">
        <f aca="false">SUM(B567:H567)</f>
        <v>-1.84180801512992</v>
      </c>
      <c r="J567" s="53" t="n">
        <f aca="true">NORMINV(RAND(),0,J$7)</f>
        <v>3.26808057239158</v>
      </c>
      <c r="K567" s="53" t="n">
        <f aca="true">NORMINV(RAND(),0,K$7)</f>
        <v>0.289833562996207</v>
      </c>
      <c r="L567" s="53" t="n">
        <f aca="true">NORMINV(RAND(),0,L$7)</f>
        <v>0.532666134328431</v>
      </c>
      <c r="M567" s="53" t="n">
        <f aca="true">NORMINV(RAND(),0,M$7)</f>
        <v>-0.313874634409962</v>
      </c>
      <c r="N567" s="53" t="n">
        <f aca="true">NORMINV(RAND(),0,N$7)</f>
        <v>0.162167885269359</v>
      </c>
      <c r="O567" s="53" t="n">
        <f aca="false">SUM(J567:N567)</f>
        <v>3.93887352057561</v>
      </c>
    </row>
    <row r="568" customFormat="false" ht="15" hidden="false" customHeight="false" outlineLevel="0" collapsed="false">
      <c r="A568" s="2" t="n">
        <v>560</v>
      </c>
      <c r="B568" s="53" t="n">
        <f aca="true">NORMINV(RAND(),0,B$7)</f>
        <v>-2.22140635095576</v>
      </c>
      <c r="C568" s="53" t="n">
        <f aca="true">NORMINV(RAND(),0,C$7)</f>
        <v>-1.68710858093325</v>
      </c>
      <c r="D568" s="53" t="n">
        <f aca="true">NORMINV(RAND(),0,D$7)</f>
        <v>-0.274533616136262</v>
      </c>
      <c r="E568" s="53" t="n">
        <f aca="true">NORMINV(RAND(),0,E$7)</f>
        <v>0.0283397100108988</v>
      </c>
      <c r="F568" s="53" t="n">
        <f aca="true">NORMINV(RAND(),0,F$7)</f>
        <v>0.535947339989691</v>
      </c>
      <c r="G568" s="53" t="n">
        <f aca="true">NORMINV(RAND(),0,G$7)</f>
        <v>-0.218087387154464</v>
      </c>
      <c r="H568" s="53" t="n">
        <f aca="true">NORMINV(RAND(),0,H$7)</f>
        <v>0.406845769435694</v>
      </c>
      <c r="I568" s="53" t="n">
        <f aca="false">SUM(B568:H568)</f>
        <v>-3.43000311574345</v>
      </c>
      <c r="J568" s="53" t="n">
        <f aca="true">NORMINV(RAND(),0,J$7)</f>
        <v>2.39729088036938</v>
      </c>
      <c r="K568" s="53" t="n">
        <f aca="true">NORMINV(RAND(),0,K$7)</f>
        <v>-0.0797394452208692</v>
      </c>
      <c r="L568" s="53" t="n">
        <f aca="true">NORMINV(RAND(),0,L$7)</f>
        <v>0.21779953056989</v>
      </c>
      <c r="M568" s="53" t="n">
        <f aca="true">NORMINV(RAND(),0,M$7)</f>
        <v>-0.0860872700690792</v>
      </c>
      <c r="N568" s="53" t="n">
        <f aca="true">NORMINV(RAND(),0,N$7)</f>
        <v>-0.362176541894878</v>
      </c>
      <c r="O568" s="53" t="n">
        <f aca="false">SUM(J568:N568)</f>
        <v>2.08708715375444</v>
      </c>
    </row>
    <row r="569" customFormat="false" ht="15" hidden="false" customHeight="false" outlineLevel="0" collapsed="false">
      <c r="A569" s="2" t="n">
        <v>561</v>
      </c>
      <c r="B569" s="53" t="n">
        <f aca="true">NORMINV(RAND(),0,B$7)</f>
        <v>-1.77107272448998</v>
      </c>
      <c r="C569" s="53" t="n">
        <f aca="true">NORMINV(RAND(),0,C$7)</f>
        <v>1.99773521202702</v>
      </c>
      <c r="D569" s="53" t="n">
        <f aca="true">NORMINV(RAND(),0,D$7)</f>
        <v>0.712117129605334</v>
      </c>
      <c r="E569" s="53" t="n">
        <f aca="true">NORMINV(RAND(),0,E$7)</f>
        <v>-0.505477537566478</v>
      </c>
      <c r="F569" s="53" t="n">
        <f aca="true">NORMINV(RAND(),0,F$7)</f>
        <v>0.0282283145983024</v>
      </c>
      <c r="G569" s="53" t="n">
        <f aca="true">NORMINV(RAND(),0,G$7)</f>
        <v>1.86559732642191</v>
      </c>
      <c r="H569" s="53" t="n">
        <f aca="true">NORMINV(RAND(),0,H$7)</f>
        <v>-0.169014738902142</v>
      </c>
      <c r="I569" s="53" t="n">
        <f aca="false">SUM(B569:H569)</f>
        <v>2.15811298169396</v>
      </c>
      <c r="J569" s="53" t="n">
        <f aca="true">NORMINV(RAND(),0,J$7)</f>
        <v>0.622488845294505</v>
      </c>
      <c r="K569" s="53" t="n">
        <f aca="true">NORMINV(RAND(),0,K$7)</f>
        <v>-0.0559302327491282</v>
      </c>
      <c r="L569" s="53" t="n">
        <f aca="true">NORMINV(RAND(),0,L$7)</f>
        <v>-0.327073328631826</v>
      </c>
      <c r="M569" s="53" t="n">
        <f aca="true">NORMINV(RAND(),0,M$7)</f>
        <v>-0.0530870545696129</v>
      </c>
      <c r="N569" s="53" t="n">
        <f aca="true">NORMINV(RAND(),0,N$7)</f>
        <v>-0.424627709252554</v>
      </c>
      <c r="O569" s="53" t="n">
        <f aca="false">SUM(J569:N569)</f>
        <v>-0.238229479908616</v>
      </c>
    </row>
    <row r="570" customFormat="false" ht="15" hidden="false" customHeight="false" outlineLevel="0" collapsed="false">
      <c r="A570" s="2" t="n">
        <v>562</v>
      </c>
      <c r="B570" s="53" t="n">
        <f aca="true">NORMINV(RAND(),0,B$7)</f>
        <v>0.880608507240904</v>
      </c>
      <c r="C570" s="53" t="n">
        <f aca="true">NORMINV(RAND(),0,C$7)</f>
        <v>-0.728874503973519</v>
      </c>
      <c r="D570" s="53" t="n">
        <f aca="true">NORMINV(RAND(),0,D$7)</f>
        <v>-0.414771729071213</v>
      </c>
      <c r="E570" s="53" t="n">
        <f aca="true">NORMINV(RAND(),0,E$7)</f>
        <v>-0.30622791749265</v>
      </c>
      <c r="F570" s="53" t="n">
        <f aca="true">NORMINV(RAND(),0,F$7)</f>
        <v>0.328318110954176</v>
      </c>
      <c r="G570" s="53" t="n">
        <f aca="true">NORMINV(RAND(),0,G$7)</f>
        <v>-2.50160835582299</v>
      </c>
      <c r="H570" s="53" t="n">
        <f aca="true">NORMINV(RAND(),0,H$7)</f>
        <v>-0.257756441319617</v>
      </c>
      <c r="I570" s="53" t="n">
        <f aca="false">SUM(B570:H570)</f>
        <v>-3.00031232948491</v>
      </c>
      <c r="J570" s="53" t="n">
        <f aca="true">NORMINV(RAND(),0,J$7)</f>
        <v>-2.71525476228798</v>
      </c>
      <c r="K570" s="53" t="n">
        <f aca="true">NORMINV(RAND(),0,K$7)</f>
        <v>0.402747290738907</v>
      </c>
      <c r="L570" s="53" t="n">
        <f aca="true">NORMINV(RAND(),0,L$7)</f>
        <v>-0.274257153166178</v>
      </c>
      <c r="M570" s="53" t="n">
        <f aca="true">NORMINV(RAND(),0,M$7)</f>
        <v>-0.158336835859276</v>
      </c>
      <c r="N570" s="53" t="n">
        <f aca="true">NORMINV(RAND(),0,N$7)</f>
        <v>0.183923234032403</v>
      </c>
      <c r="O570" s="53" t="n">
        <f aca="false">SUM(J570:N570)</f>
        <v>-2.56117822654213</v>
      </c>
    </row>
    <row r="571" customFormat="false" ht="15" hidden="false" customHeight="false" outlineLevel="0" collapsed="false">
      <c r="A571" s="2" t="n">
        <v>563</v>
      </c>
      <c r="B571" s="53" t="n">
        <f aca="true">NORMINV(RAND(),0,B$7)</f>
        <v>2.2803698888351</v>
      </c>
      <c r="C571" s="53" t="n">
        <f aca="true">NORMINV(RAND(),0,C$7)</f>
        <v>2.89992726527571</v>
      </c>
      <c r="D571" s="53" t="n">
        <f aca="true">NORMINV(RAND(),0,D$7)</f>
        <v>1.94318065209156</v>
      </c>
      <c r="E571" s="53" t="n">
        <f aca="true">NORMINV(RAND(),0,E$7)</f>
        <v>-0.921010857584407</v>
      </c>
      <c r="F571" s="53" t="n">
        <f aca="true">NORMINV(RAND(),0,F$7)</f>
        <v>-0.297771490616703</v>
      </c>
      <c r="G571" s="53" t="n">
        <f aca="true">NORMINV(RAND(),0,G$7)</f>
        <v>0.585488668786247</v>
      </c>
      <c r="H571" s="53" t="n">
        <f aca="true">NORMINV(RAND(),0,H$7)</f>
        <v>0.295808350556313</v>
      </c>
      <c r="I571" s="53" t="n">
        <f aca="false">SUM(B571:H571)</f>
        <v>6.78599247734381</v>
      </c>
      <c r="J571" s="53" t="n">
        <f aca="true">NORMINV(RAND(),0,J$7)</f>
        <v>-4.81602476382278</v>
      </c>
      <c r="K571" s="53" t="n">
        <f aca="true">NORMINV(RAND(),0,K$7)</f>
        <v>-0.997321893324516</v>
      </c>
      <c r="L571" s="53" t="n">
        <f aca="true">NORMINV(RAND(),0,L$7)</f>
        <v>-0.0834306403867823</v>
      </c>
      <c r="M571" s="53" t="n">
        <f aca="true">NORMINV(RAND(),0,M$7)</f>
        <v>0.266383298594606</v>
      </c>
      <c r="N571" s="53" t="n">
        <f aca="true">NORMINV(RAND(),0,N$7)</f>
        <v>0.253457421919019</v>
      </c>
      <c r="O571" s="53" t="n">
        <f aca="false">SUM(J571:N571)</f>
        <v>-5.37693657702046</v>
      </c>
    </row>
    <row r="572" customFormat="false" ht="15" hidden="false" customHeight="false" outlineLevel="0" collapsed="false">
      <c r="A572" s="2" t="n">
        <v>564</v>
      </c>
      <c r="B572" s="53" t="n">
        <f aca="true">NORMINV(RAND(),0,B$7)</f>
        <v>-1.29706923446462</v>
      </c>
      <c r="C572" s="53" t="n">
        <f aca="true">NORMINV(RAND(),0,C$7)</f>
        <v>-2.52475961835195</v>
      </c>
      <c r="D572" s="53" t="n">
        <f aca="true">NORMINV(RAND(),0,D$7)</f>
        <v>-0.326117654388339</v>
      </c>
      <c r="E572" s="53" t="n">
        <f aca="true">NORMINV(RAND(),0,E$7)</f>
        <v>0.650165296132097</v>
      </c>
      <c r="F572" s="53" t="n">
        <f aca="true">NORMINV(RAND(),0,F$7)</f>
        <v>0.0795674353816325</v>
      </c>
      <c r="G572" s="53" t="n">
        <f aca="true">NORMINV(RAND(),0,G$7)</f>
        <v>0.767061476399161</v>
      </c>
      <c r="H572" s="53" t="n">
        <f aca="true">NORMINV(RAND(),0,H$7)</f>
        <v>-0.122015663672598</v>
      </c>
      <c r="I572" s="53" t="n">
        <f aca="false">SUM(B572:H572)</f>
        <v>-2.77316796296461</v>
      </c>
      <c r="J572" s="53" t="n">
        <f aca="true">NORMINV(RAND(),0,J$7)</f>
        <v>-2.63146257956367</v>
      </c>
      <c r="K572" s="53" t="n">
        <f aca="true">NORMINV(RAND(),0,K$7)</f>
        <v>1.39284300858273</v>
      </c>
      <c r="L572" s="53" t="n">
        <f aca="true">NORMINV(RAND(),0,L$7)</f>
        <v>0.261285499170987</v>
      </c>
      <c r="M572" s="53" t="n">
        <f aca="true">NORMINV(RAND(),0,M$7)</f>
        <v>0.191099226029254</v>
      </c>
      <c r="N572" s="53" t="n">
        <f aca="true">NORMINV(RAND(),0,N$7)</f>
        <v>0.358795012004168</v>
      </c>
      <c r="O572" s="53" t="n">
        <f aca="false">SUM(J572:N572)</f>
        <v>-0.427439833776524</v>
      </c>
    </row>
    <row r="573" customFormat="false" ht="15" hidden="false" customHeight="false" outlineLevel="0" collapsed="false">
      <c r="A573" s="2" t="n">
        <v>565</v>
      </c>
      <c r="B573" s="53" t="n">
        <f aca="true">NORMINV(RAND(),0,B$7)</f>
        <v>0.79809105552452</v>
      </c>
      <c r="C573" s="53" t="n">
        <f aca="true">NORMINV(RAND(),0,C$7)</f>
        <v>0.889047328493245</v>
      </c>
      <c r="D573" s="53" t="n">
        <f aca="true">NORMINV(RAND(),0,D$7)</f>
        <v>-0.0429182267801261</v>
      </c>
      <c r="E573" s="53" t="n">
        <f aca="true">NORMINV(RAND(),0,E$7)</f>
        <v>-0.152274858889826</v>
      </c>
      <c r="F573" s="53" t="n">
        <f aca="true">NORMINV(RAND(),0,F$7)</f>
        <v>-0.0368312716593401</v>
      </c>
      <c r="G573" s="53" t="n">
        <f aca="true">NORMINV(RAND(),0,G$7)</f>
        <v>1.72105332564189</v>
      </c>
      <c r="H573" s="53" t="n">
        <f aca="true">NORMINV(RAND(),0,H$7)</f>
        <v>-0.662373406821322</v>
      </c>
      <c r="I573" s="53" t="n">
        <f aca="false">SUM(B573:H573)</f>
        <v>2.51379394550904</v>
      </c>
      <c r="J573" s="53" t="n">
        <f aca="true">NORMINV(RAND(),0,J$7)</f>
        <v>2.05225569711165</v>
      </c>
      <c r="K573" s="53" t="n">
        <f aca="true">NORMINV(RAND(),0,K$7)</f>
        <v>0.629732210017857</v>
      </c>
      <c r="L573" s="53" t="n">
        <f aca="true">NORMINV(RAND(),0,L$7)</f>
        <v>0.0332180327008125</v>
      </c>
      <c r="M573" s="53" t="n">
        <f aca="true">NORMINV(RAND(),0,M$7)</f>
        <v>0.0335667912414799</v>
      </c>
      <c r="N573" s="53" t="n">
        <f aca="true">NORMINV(RAND(),0,N$7)</f>
        <v>-0.321839849095283</v>
      </c>
      <c r="O573" s="53" t="n">
        <f aca="false">SUM(J573:N573)</f>
        <v>2.42693288197652</v>
      </c>
    </row>
    <row r="574" customFormat="false" ht="15" hidden="false" customHeight="false" outlineLevel="0" collapsed="false">
      <c r="A574" s="2" t="n">
        <v>566</v>
      </c>
      <c r="B574" s="53" t="n">
        <f aca="true">NORMINV(RAND(),0,B$7)</f>
        <v>1.91076747398699</v>
      </c>
      <c r="C574" s="53" t="n">
        <f aca="true">NORMINV(RAND(),0,C$7)</f>
        <v>0.756850689561375</v>
      </c>
      <c r="D574" s="53" t="n">
        <f aca="true">NORMINV(RAND(),0,D$7)</f>
        <v>0.00398777401751843</v>
      </c>
      <c r="E574" s="53" t="n">
        <f aca="true">NORMINV(RAND(),0,E$7)</f>
        <v>0.0225423735781104</v>
      </c>
      <c r="F574" s="53" t="n">
        <f aca="true">NORMINV(RAND(),0,F$7)</f>
        <v>-0.204131997228157</v>
      </c>
      <c r="G574" s="53" t="n">
        <f aca="true">NORMINV(RAND(),0,G$7)</f>
        <v>0.284159001809043</v>
      </c>
      <c r="H574" s="53" t="n">
        <f aca="true">NORMINV(RAND(),0,H$7)</f>
        <v>-0.157631273660644</v>
      </c>
      <c r="I574" s="53" t="n">
        <f aca="false">SUM(B574:H574)</f>
        <v>2.61654404206424</v>
      </c>
      <c r="J574" s="53" t="n">
        <f aca="true">NORMINV(RAND(),0,J$7)</f>
        <v>-1.72153152769198</v>
      </c>
      <c r="K574" s="53" t="n">
        <f aca="true">NORMINV(RAND(),0,K$7)</f>
        <v>-0.0862503215665374</v>
      </c>
      <c r="L574" s="53" t="n">
        <f aca="true">NORMINV(RAND(),0,L$7)</f>
        <v>-0.0331877881291525</v>
      </c>
      <c r="M574" s="53" t="n">
        <f aca="true">NORMINV(RAND(),0,M$7)</f>
        <v>-0.129703796471669</v>
      </c>
      <c r="N574" s="53" t="n">
        <f aca="true">NORMINV(RAND(),0,N$7)</f>
        <v>0.364074247216092</v>
      </c>
      <c r="O574" s="53" t="n">
        <f aca="false">SUM(J574:N574)</f>
        <v>-1.60659918664325</v>
      </c>
    </row>
    <row r="575" customFormat="false" ht="15" hidden="false" customHeight="false" outlineLevel="0" collapsed="false">
      <c r="A575" s="2" t="n">
        <v>567</v>
      </c>
      <c r="B575" s="53" t="n">
        <f aca="true">NORMINV(RAND(),0,B$7)</f>
        <v>0.989947412418732</v>
      </c>
      <c r="C575" s="53" t="n">
        <f aca="true">NORMINV(RAND(),0,C$7)</f>
        <v>2.01912751600797</v>
      </c>
      <c r="D575" s="53" t="n">
        <f aca="true">NORMINV(RAND(),0,D$7)</f>
        <v>1.39018245074103</v>
      </c>
      <c r="E575" s="53" t="n">
        <f aca="true">NORMINV(RAND(),0,E$7)</f>
        <v>-0.45129119789211</v>
      </c>
      <c r="F575" s="53" t="n">
        <f aca="true">NORMINV(RAND(),0,F$7)</f>
        <v>0.0880992701767463</v>
      </c>
      <c r="G575" s="53" t="n">
        <f aca="true">NORMINV(RAND(),0,G$7)</f>
        <v>-0.484945733439722</v>
      </c>
      <c r="H575" s="53" t="n">
        <f aca="true">NORMINV(RAND(),0,H$7)</f>
        <v>0.36531780109704</v>
      </c>
      <c r="I575" s="53" t="n">
        <f aca="false">SUM(B575:H575)</f>
        <v>3.91643751910968</v>
      </c>
      <c r="J575" s="53" t="n">
        <f aca="true">NORMINV(RAND(),0,J$7)</f>
        <v>-0.748288594634731</v>
      </c>
      <c r="K575" s="53" t="n">
        <f aca="true">NORMINV(RAND(),0,K$7)</f>
        <v>-0.301184111584551</v>
      </c>
      <c r="L575" s="53" t="n">
        <f aca="true">NORMINV(RAND(),0,L$7)</f>
        <v>-0.638651992174244</v>
      </c>
      <c r="M575" s="53" t="n">
        <f aca="true">NORMINV(RAND(),0,M$7)</f>
        <v>0.179857627711406</v>
      </c>
      <c r="N575" s="53" t="n">
        <f aca="true">NORMINV(RAND(),0,N$7)</f>
        <v>0.715486471469548</v>
      </c>
      <c r="O575" s="53" t="n">
        <f aca="false">SUM(J575:N575)</f>
        <v>-0.792780599212573</v>
      </c>
    </row>
    <row r="576" customFormat="false" ht="15" hidden="false" customHeight="false" outlineLevel="0" collapsed="false">
      <c r="A576" s="2" t="n">
        <v>568</v>
      </c>
      <c r="B576" s="53" t="n">
        <f aca="true">NORMINV(RAND(),0,B$7)</f>
        <v>0.0763086540450376</v>
      </c>
      <c r="C576" s="53" t="n">
        <f aca="true">NORMINV(RAND(),0,C$7)</f>
        <v>0.249628005790962</v>
      </c>
      <c r="D576" s="53" t="n">
        <f aca="true">NORMINV(RAND(),0,D$7)</f>
        <v>-0.0464138288904359</v>
      </c>
      <c r="E576" s="53" t="n">
        <f aca="true">NORMINV(RAND(),0,E$7)</f>
        <v>0.0750429167460908</v>
      </c>
      <c r="F576" s="53" t="n">
        <f aca="true">NORMINV(RAND(),0,F$7)</f>
        <v>-0.303158606502004</v>
      </c>
      <c r="G576" s="53" t="n">
        <f aca="true">NORMINV(RAND(),0,G$7)</f>
        <v>-0.287495369354144</v>
      </c>
      <c r="H576" s="53" t="n">
        <f aca="true">NORMINV(RAND(),0,H$7)</f>
        <v>-0.40072136434875</v>
      </c>
      <c r="I576" s="53" t="n">
        <f aca="false">SUM(B576:H576)</f>
        <v>-0.636809592513244</v>
      </c>
      <c r="J576" s="53" t="n">
        <f aca="true">NORMINV(RAND(),0,J$7)</f>
        <v>-0.34965659406508</v>
      </c>
      <c r="K576" s="53" t="n">
        <f aca="true">NORMINV(RAND(),0,K$7)</f>
        <v>0.282821984000511</v>
      </c>
      <c r="L576" s="53" t="n">
        <f aca="true">NORMINV(RAND(),0,L$7)</f>
        <v>-0.480287405419581</v>
      </c>
      <c r="M576" s="53" t="n">
        <f aca="true">NORMINV(RAND(),0,M$7)</f>
        <v>0.161260552662776</v>
      </c>
      <c r="N576" s="53" t="n">
        <f aca="true">NORMINV(RAND(),0,N$7)</f>
        <v>0.401755734345243</v>
      </c>
      <c r="O576" s="53" t="n">
        <f aca="false">SUM(J576:N576)</f>
        <v>0.0158942715238685</v>
      </c>
    </row>
    <row r="577" customFormat="false" ht="15" hidden="false" customHeight="false" outlineLevel="0" collapsed="false">
      <c r="A577" s="2" t="n">
        <v>569</v>
      </c>
      <c r="B577" s="53" t="n">
        <f aca="true">NORMINV(RAND(),0,B$7)</f>
        <v>2.80457391639493</v>
      </c>
      <c r="C577" s="53" t="n">
        <f aca="true">NORMINV(RAND(),0,C$7)</f>
        <v>2.29160683838208</v>
      </c>
      <c r="D577" s="53" t="n">
        <f aca="true">NORMINV(RAND(),0,D$7)</f>
        <v>0.0701934121259689</v>
      </c>
      <c r="E577" s="53" t="n">
        <f aca="true">NORMINV(RAND(),0,E$7)</f>
        <v>0.117940939521366</v>
      </c>
      <c r="F577" s="53" t="n">
        <f aca="true">NORMINV(RAND(),0,F$7)</f>
        <v>-0.316035079392514</v>
      </c>
      <c r="G577" s="53" t="n">
        <f aca="true">NORMINV(RAND(),0,G$7)</f>
        <v>-0.0252426949892793</v>
      </c>
      <c r="H577" s="53" t="n">
        <f aca="true">NORMINV(RAND(),0,H$7)</f>
        <v>-0.0984664721848026</v>
      </c>
      <c r="I577" s="53" t="n">
        <f aca="false">SUM(B577:H577)</f>
        <v>4.84457085985775</v>
      </c>
      <c r="J577" s="53" t="n">
        <f aca="true">NORMINV(RAND(),0,J$7)</f>
        <v>2.13622021140409</v>
      </c>
      <c r="K577" s="53" t="n">
        <f aca="true">NORMINV(RAND(),0,K$7)</f>
        <v>0.203919572227169</v>
      </c>
      <c r="L577" s="53" t="n">
        <f aca="true">NORMINV(RAND(),0,L$7)</f>
        <v>0.107326768706305</v>
      </c>
      <c r="M577" s="53" t="n">
        <f aca="true">NORMINV(RAND(),0,M$7)</f>
        <v>0.00682067484657499</v>
      </c>
      <c r="N577" s="53" t="n">
        <f aca="true">NORMINV(RAND(),0,N$7)</f>
        <v>-0.119218271913921</v>
      </c>
      <c r="O577" s="53" t="n">
        <f aca="false">SUM(J577:N577)</f>
        <v>2.33506895527022</v>
      </c>
    </row>
    <row r="578" customFormat="false" ht="15" hidden="false" customHeight="false" outlineLevel="0" collapsed="false">
      <c r="A578" s="2" t="n">
        <v>570</v>
      </c>
      <c r="B578" s="53" t="n">
        <f aca="true">NORMINV(RAND(),0,B$7)</f>
        <v>0.981146063991675</v>
      </c>
      <c r="C578" s="53" t="n">
        <f aca="true">NORMINV(RAND(),0,C$7)</f>
        <v>-1.01799326286738</v>
      </c>
      <c r="D578" s="53" t="n">
        <f aca="true">NORMINV(RAND(),0,D$7)</f>
        <v>0.304869191926071</v>
      </c>
      <c r="E578" s="53" t="n">
        <f aca="true">NORMINV(RAND(),0,E$7)</f>
        <v>-0.310977707447154</v>
      </c>
      <c r="F578" s="53" t="n">
        <f aca="true">NORMINV(RAND(),0,F$7)</f>
        <v>-0.0953135161897102</v>
      </c>
      <c r="G578" s="53" t="n">
        <f aca="true">NORMINV(RAND(),0,G$7)</f>
        <v>-0.542382284619832</v>
      </c>
      <c r="H578" s="53" t="n">
        <f aca="true">NORMINV(RAND(),0,H$7)</f>
        <v>-0.458671052474981</v>
      </c>
      <c r="I578" s="53" t="n">
        <f aca="false">SUM(B578:H578)</f>
        <v>-1.13932256768131</v>
      </c>
      <c r="J578" s="53" t="n">
        <f aca="true">NORMINV(RAND(),0,J$7)</f>
        <v>-1.3901605934432</v>
      </c>
      <c r="K578" s="53" t="n">
        <f aca="true">NORMINV(RAND(),0,K$7)</f>
        <v>-0.584452310669079</v>
      </c>
      <c r="L578" s="53" t="n">
        <f aca="true">NORMINV(RAND(),0,L$7)</f>
        <v>0.00472187346687908</v>
      </c>
      <c r="M578" s="53" t="n">
        <f aca="true">NORMINV(RAND(),0,M$7)</f>
        <v>-0.10008328482351</v>
      </c>
      <c r="N578" s="53" t="n">
        <f aca="true">NORMINV(RAND(),0,N$7)</f>
        <v>-0.309762516270501</v>
      </c>
      <c r="O578" s="53" t="n">
        <f aca="false">SUM(J578:N578)</f>
        <v>-2.37973683173941</v>
      </c>
    </row>
    <row r="579" customFormat="false" ht="15" hidden="false" customHeight="false" outlineLevel="0" collapsed="false">
      <c r="A579" s="2" t="n">
        <v>571</v>
      </c>
      <c r="B579" s="53" t="n">
        <f aca="true">NORMINV(RAND(),0,B$7)</f>
        <v>1.44755854280782</v>
      </c>
      <c r="C579" s="53" t="n">
        <f aca="true">NORMINV(RAND(),0,C$7)</f>
        <v>0.694159592741411</v>
      </c>
      <c r="D579" s="53" t="n">
        <f aca="true">NORMINV(RAND(),0,D$7)</f>
        <v>-1.70204904967184</v>
      </c>
      <c r="E579" s="53" t="n">
        <f aca="true">NORMINV(RAND(),0,E$7)</f>
        <v>0.2705510226229</v>
      </c>
      <c r="F579" s="53" t="n">
        <f aca="true">NORMINV(RAND(),0,F$7)</f>
        <v>-0.124328055901432</v>
      </c>
      <c r="G579" s="53" t="n">
        <f aca="true">NORMINV(RAND(),0,G$7)</f>
        <v>1.40284693153402</v>
      </c>
      <c r="H579" s="53" t="n">
        <f aca="true">NORMINV(RAND(),0,H$7)</f>
        <v>-0.0563204569454277</v>
      </c>
      <c r="I579" s="53" t="n">
        <f aca="false">SUM(B579:H579)</f>
        <v>1.93241852718745</v>
      </c>
      <c r="J579" s="53" t="n">
        <f aca="true">NORMINV(RAND(),0,J$7)</f>
        <v>-1.03991457738177</v>
      </c>
      <c r="K579" s="53" t="n">
        <f aca="true">NORMINV(RAND(),0,K$7)</f>
        <v>-0.755719064611405</v>
      </c>
      <c r="L579" s="53" t="n">
        <f aca="true">NORMINV(RAND(),0,L$7)</f>
        <v>0.149315861686511</v>
      </c>
      <c r="M579" s="53" t="n">
        <f aca="true">NORMINV(RAND(),0,M$7)</f>
        <v>0.0394009409725203</v>
      </c>
      <c r="N579" s="53" t="n">
        <f aca="true">NORMINV(RAND(),0,N$7)</f>
        <v>-0.632275572654508</v>
      </c>
      <c r="O579" s="53" t="n">
        <f aca="false">SUM(J579:N579)</f>
        <v>-2.23919241198865</v>
      </c>
    </row>
    <row r="580" customFormat="false" ht="15" hidden="false" customHeight="false" outlineLevel="0" collapsed="false">
      <c r="A580" s="2" t="n">
        <v>572</v>
      </c>
      <c r="B580" s="53" t="n">
        <f aca="true">NORMINV(RAND(),0,B$7)</f>
        <v>1.10837161727007</v>
      </c>
      <c r="C580" s="53" t="n">
        <f aca="true">NORMINV(RAND(),0,C$7)</f>
        <v>0.404030120104233</v>
      </c>
      <c r="D580" s="53" t="n">
        <f aca="true">NORMINV(RAND(),0,D$7)</f>
        <v>0.526296489930129</v>
      </c>
      <c r="E580" s="53" t="n">
        <f aca="true">NORMINV(RAND(),0,E$7)</f>
        <v>0.104472171895797</v>
      </c>
      <c r="F580" s="53" t="n">
        <f aca="true">NORMINV(RAND(),0,F$7)</f>
        <v>0.219000590185898</v>
      </c>
      <c r="G580" s="53" t="n">
        <f aca="true">NORMINV(RAND(),0,G$7)</f>
        <v>0.626708334064618</v>
      </c>
      <c r="H580" s="53" t="n">
        <f aca="true">NORMINV(RAND(),0,H$7)</f>
        <v>-0.423294872805575</v>
      </c>
      <c r="I580" s="53" t="n">
        <f aca="false">SUM(B580:H580)</f>
        <v>2.56558445064517</v>
      </c>
      <c r="J580" s="53" t="n">
        <f aca="true">NORMINV(RAND(),0,J$7)</f>
        <v>-0.52479882575029</v>
      </c>
      <c r="K580" s="53" t="n">
        <f aca="true">NORMINV(RAND(),0,K$7)</f>
        <v>0.170778627759847</v>
      </c>
      <c r="L580" s="53" t="n">
        <f aca="true">NORMINV(RAND(),0,L$7)</f>
        <v>0.190368412563638</v>
      </c>
      <c r="M580" s="53" t="n">
        <f aca="true">NORMINV(RAND(),0,M$7)</f>
        <v>0.381328250398708</v>
      </c>
      <c r="N580" s="53" t="n">
        <f aca="true">NORMINV(RAND(),0,N$7)</f>
        <v>0.118958177820553</v>
      </c>
      <c r="O580" s="53" t="n">
        <f aca="false">SUM(J580:N580)</f>
        <v>0.336634642792456</v>
      </c>
    </row>
    <row r="581" customFormat="false" ht="15" hidden="false" customHeight="false" outlineLevel="0" collapsed="false">
      <c r="A581" s="2" t="n">
        <v>573</v>
      </c>
      <c r="B581" s="53" t="n">
        <f aca="true">NORMINV(RAND(),0,B$7)</f>
        <v>-2.0951748337579</v>
      </c>
      <c r="C581" s="53" t="n">
        <f aca="true">NORMINV(RAND(),0,C$7)</f>
        <v>-0.964742609016499</v>
      </c>
      <c r="D581" s="53" t="n">
        <f aca="true">NORMINV(RAND(),0,D$7)</f>
        <v>-2.87059861490379</v>
      </c>
      <c r="E581" s="53" t="n">
        <f aca="true">NORMINV(RAND(),0,E$7)</f>
        <v>-0.411818073433851</v>
      </c>
      <c r="F581" s="53" t="n">
        <f aca="true">NORMINV(RAND(),0,F$7)</f>
        <v>0.324065565975554</v>
      </c>
      <c r="G581" s="53" t="n">
        <f aca="true">NORMINV(RAND(),0,G$7)</f>
        <v>1.07847427278687</v>
      </c>
      <c r="H581" s="53" t="n">
        <f aca="true">NORMINV(RAND(),0,H$7)</f>
        <v>-0.842731824725164</v>
      </c>
      <c r="I581" s="53" t="n">
        <f aca="false">SUM(B581:H581)</f>
        <v>-5.78252611707478</v>
      </c>
      <c r="J581" s="53" t="n">
        <f aca="true">NORMINV(RAND(),0,J$7)</f>
        <v>1.04470847411867</v>
      </c>
      <c r="K581" s="53" t="n">
        <f aca="true">NORMINV(RAND(),0,K$7)</f>
        <v>0.603263079465454</v>
      </c>
      <c r="L581" s="53" t="n">
        <f aca="true">NORMINV(RAND(),0,L$7)</f>
        <v>-0.150880019297448</v>
      </c>
      <c r="M581" s="53" t="n">
        <f aca="true">NORMINV(RAND(),0,M$7)</f>
        <v>0.240521880450137</v>
      </c>
      <c r="N581" s="53" t="n">
        <f aca="true">NORMINV(RAND(),0,N$7)</f>
        <v>0.0811263885022405</v>
      </c>
      <c r="O581" s="53" t="n">
        <f aca="false">SUM(J581:N581)</f>
        <v>1.81873980323905</v>
      </c>
    </row>
    <row r="582" customFormat="false" ht="15" hidden="false" customHeight="false" outlineLevel="0" collapsed="false">
      <c r="A582" s="2" t="n">
        <v>574</v>
      </c>
      <c r="B582" s="53" t="n">
        <f aca="true">NORMINV(RAND(),0,B$7)</f>
        <v>-2.48700255648582</v>
      </c>
      <c r="C582" s="53" t="n">
        <f aca="true">NORMINV(RAND(),0,C$7)</f>
        <v>-0.704460569747685</v>
      </c>
      <c r="D582" s="53" t="n">
        <f aca="true">NORMINV(RAND(),0,D$7)</f>
        <v>-1.57982640177008</v>
      </c>
      <c r="E582" s="53" t="n">
        <f aca="true">NORMINV(RAND(),0,E$7)</f>
        <v>0.438560832270193</v>
      </c>
      <c r="F582" s="53" t="n">
        <f aca="true">NORMINV(RAND(),0,F$7)</f>
        <v>0.0293979127344666</v>
      </c>
      <c r="G582" s="53" t="n">
        <f aca="true">NORMINV(RAND(),0,G$7)</f>
        <v>1.07646620677423</v>
      </c>
      <c r="H582" s="53" t="n">
        <f aca="true">NORMINV(RAND(),0,H$7)</f>
        <v>-0.171707810327662</v>
      </c>
      <c r="I582" s="53" t="n">
        <f aca="false">SUM(B582:H582)</f>
        <v>-3.39857238655236</v>
      </c>
      <c r="J582" s="53" t="n">
        <f aca="true">NORMINV(RAND(),0,J$7)</f>
        <v>-0.613781590334145</v>
      </c>
      <c r="K582" s="53" t="n">
        <f aca="true">NORMINV(RAND(),0,K$7)</f>
        <v>0.402276574658609</v>
      </c>
      <c r="L582" s="53" t="n">
        <f aca="true">NORMINV(RAND(),0,L$7)</f>
        <v>-0.118465103492801</v>
      </c>
      <c r="M582" s="53" t="n">
        <f aca="true">NORMINV(RAND(),0,M$7)</f>
        <v>-0.241509357917785</v>
      </c>
      <c r="N582" s="53" t="n">
        <f aca="true">NORMINV(RAND(),0,N$7)</f>
        <v>-0.416785422825366</v>
      </c>
      <c r="O582" s="53" t="n">
        <f aca="false">SUM(J582:N582)</f>
        <v>-0.988264899911487</v>
      </c>
    </row>
    <row r="583" customFormat="false" ht="15" hidden="false" customHeight="false" outlineLevel="0" collapsed="false">
      <c r="A583" s="2" t="n">
        <v>575</v>
      </c>
      <c r="B583" s="53" t="n">
        <f aca="true">NORMINV(RAND(),0,B$7)</f>
        <v>2.28500190863962</v>
      </c>
      <c r="C583" s="53" t="n">
        <f aca="true">NORMINV(RAND(),0,C$7)</f>
        <v>0.968513698390798</v>
      </c>
      <c r="D583" s="53" t="n">
        <f aca="true">NORMINV(RAND(),0,D$7)</f>
        <v>-0.891148860261556</v>
      </c>
      <c r="E583" s="53" t="n">
        <f aca="true">NORMINV(RAND(),0,E$7)</f>
        <v>0.204709911296459</v>
      </c>
      <c r="F583" s="53" t="n">
        <f aca="true">NORMINV(RAND(),0,F$7)</f>
        <v>0.19448169414973</v>
      </c>
      <c r="G583" s="53" t="n">
        <f aca="true">NORMINV(RAND(),0,G$7)</f>
        <v>-1.64939426260999</v>
      </c>
      <c r="H583" s="53" t="n">
        <f aca="true">NORMINV(RAND(),0,H$7)</f>
        <v>-0.452197143156392</v>
      </c>
      <c r="I583" s="53" t="n">
        <f aca="false">SUM(B583:H583)</f>
        <v>0.659966946448667</v>
      </c>
      <c r="J583" s="53" t="n">
        <f aca="true">NORMINV(RAND(),0,J$7)</f>
        <v>-0.25580817312226</v>
      </c>
      <c r="K583" s="53" t="n">
        <f aca="true">NORMINV(RAND(),0,K$7)</f>
        <v>0.483928141903607</v>
      </c>
      <c r="L583" s="53" t="n">
        <f aca="true">NORMINV(RAND(),0,L$7)</f>
        <v>0.0361167563678595</v>
      </c>
      <c r="M583" s="53" t="n">
        <f aca="true">NORMINV(RAND(),0,M$7)</f>
        <v>0.0456503457915684</v>
      </c>
      <c r="N583" s="53" t="n">
        <f aca="true">NORMINV(RAND(),0,N$7)</f>
        <v>-0.225586327867542</v>
      </c>
      <c r="O583" s="53" t="n">
        <f aca="false">SUM(J583:N583)</f>
        <v>0.0843007430732337</v>
      </c>
    </row>
    <row r="584" customFormat="false" ht="15" hidden="false" customHeight="false" outlineLevel="0" collapsed="false">
      <c r="A584" s="2" t="n">
        <v>576</v>
      </c>
      <c r="B584" s="53" t="n">
        <f aca="true">NORMINV(RAND(),0,B$7)</f>
        <v>0.781040557738677</v>
      </c>
      <c r="C584" s="53" t="n">
        <f aca="true">NORMINV(RAND(),0,C$7)</f>
        <v>-1.14832453766938</v>
      </c>
      <c r="D584" s="53" t="n">
        <f aca="true">NORMINV(RAND(),0,D$7)</f>
        <v>0.435168434765589</v>
      </c>
      <c r="E584" s="53" t="n">
        <f aca="true">NORMINV(RAND(),0,E$7)</f>
        <v>-0.440183096003037</v>
      </c>
      <c r="F584" s="53" t="n">
        <f aca="true">NORMINV(RAND(),0,F$7)</f>
        <v>-0.197161394835314</v>
      </c>
      <c r="G584" s="53" t="n">
        <f aca="true">NORMINV(RAND(),0,G$7)</f>
        <v>1.03426555566285</v>
      </c>
      <c r="H584" s="53" t="n">
        <f aca="true">NORMINV(RAND(),0,H$7)</f>
        <v>0.934943871799577</v>
      </c>
      <c r="I584" s="53" t="n">
        <f aca="false">SUM(B584:H584)</f>
        <v>1.39974939145897</v>
      </c>
      <c r="J584" s="53" t="n">
        <f aca="true">NORMINV(RAND(),0,J$7)</f>
        <v>0.645951059269626</v>
      </c>
      <c r="K584" s="53" t="n">
        <f aca="true">NORMINV(RAND(),0,K$7)</f>
        <v>1.79157245889117</v>
      </c>
      <c r="L584" s="53" t="n">
        <f aca="true">NORMINV(RAND(),0,L$7)</f>
        <v>-0.400051758190567</v>
      </c>
      <c r="M584" s="53" t="n">
        <f aca="true">NORMINV(RAND(),0,M$7)</f>
        <v>-0.0439642413844475</v>
      </c>
      <c r="N584" s="53" t="n">
        <f aca="true">NORMINV(RAND(),0,N$7)</f>
        <v>0.101875420447478</v>
      </c>
      <c r="O584" s="53" t="n">
        <f aca="false">SUM(J584:N584)</f>
        <v>2.09538293903326</v>
      </c>
    </row>
    <row r="585" customFormat="false" ht="15" hidden="false" customHeight="false" outlineLevel="0" collapsed="false">
      <c r="A585" s="2" t="n">
        <v>577</v>
      </c>
      <c r="B585" s="53" t="n">
        <f aca="true">NORMINV(RAND(),0,B$7)</f>
        <v>0.426911088410164</v>
      </c>
      <c r="C585" s="53" t="n">
        <f aca="true">NORMINV(RAND(),0,C$7)</f>
        <v>-0.964999055869721</v>
      </c>
      <c r="D585" s="53" t="n">
        <f aca="true">NORMINV(RAND(),0,D$7)</f>
        <v>2.6027518110052</v>
      </c>
      <c r="E585" s="53" t="n">
        <f aca="true">NORMINV(RAND(),0,E$7)</f>
        <v>-0.229979850879329</v>
      </c>
      <c r="F585" s="53" t="n">
        <f aca="true">NORMINV(RAND(),0,F$7)</f>
        <v>-0.325032499825614</v>
      </c>
      <c r="G585" s="53" t="n">
        <f aca="true">NORMINV(RAND(),0,G$7)</f>
        <v>-0.189613745460122</v>
      </c>
      <c r="H585" s="53" t="n">
        <f aca="true">NORMINV(RAND(),0,H$7)</f>
        <v>0.0606537343917282</v>
      </c>
      <c r="I585" s="53" t="n">
        <f aca="false">SUM(B585:H585)</f>
        <v>1.38069148177231</v>
      </c>
      <c r="J585" s="53" t="n">
        <f aca="true">NORMINV(RAND(),0,J$7)</f>
        <v>-0.749314340653342</v>
      </c>
      <c r="K585" s="53" t="n">
        <f aca="true">NORMINV(RAND(),0,K$7)</f>
        <v>-0.741313317107432</v>
      </c>
      <c r="L585" s="53" t="n">
        <f aca="true">NORMINV(RAND(),0,L$7)</f>
        <v>-0.27412156601335</v>
      </c>
      <c r="M585" s="53" t="n">
        <f aca="true">NORMINV(RAND(),0,M$7)</f>
        <v>-0.122055439885283</v>
      </c>
      <c r="N585" s="53" t="n">
        <f aca="true">NORMINV(RAND(),0,N$7)</f>
        <v>-0.0329807935322375</v>
      </c>
      <c r="O585" s="53" t="n">
        <f aca="false">SUM(J585:N585)</f>
        <v>-1.91978545719164</v>
      </c>
    </row>
    <row r="586" customFormat="false" ht="15" hidden="false" customHeight="false" outlineLevel="0" collapsed="false">
      <c r="A586" s="2" t="n">
        <v>578</v>
      </c>
      <c r="B586" s="53" t="n">
        <f aca="true">NORMINV(RAND(),0,B$7)</f>
        <v>-1.59672355046543</v>
      </c>
      <c r="C586" s="53" t="n">
        <f aca="true">NORMINV(RAND(),0,C$7)</f>
        <v>0.786858832593505</v>
      </c>
      <c r="D586" s="53" t="n">
        <f aca="true">NORMINV(RAND(),0,D$7)</f>
        <v>-1.69683336145258</v>
      </c>
      <c r="E586" s="53" t="n">
        <f aca="true">NORMINV(RAND(),0,E$7)</f>
        <v>-0.0535902365102047</v>
      </c>
      <c r="F586" s="53" t="n">
        <f aca="true">NORMINV(RAND(),0,F$7)</f>
        <v>-0.233321368261651</v>
      </c>
      <c r="G586" s="53" t="n">
        <f aca="true">NORMINV(RAND(),0,G$7)</f>
        <v>-1.06903382087738</v>
      </c>
      <c r="H586" s="53" t="n">
        <f aca="true">NORMINV(RAND(),0,H$7)</f>
        <v>0.0886087251658109</v>
      </c>
      <c r="I586" s="53" t="n">
        <f aca="false">SUM(B586:H586)</f>
        <v>-3.77403477980793</v>
      </c>
      <c r="J586" s="53" t="n">
        <f aca="true">NORMINV(RAND(),0,J$7)</f>
        <v>-3.12522367595946</v>
      </c>
      <c r="K586" s="53" t="n">
        <f aca="true">NORMINV(RAND(),0,K$7)</f>
        <v>0.163512033660487</v>
      </c>
      <c r="L586" s="53" t="n">
        <f aca="true">NORMINV(RAND(),0,L$7)</f>
        <v>0.389599526011379</v>
      </c>
      <c r="M586" s="53" t="n">
        <f aca="true">NORMINV(RAND(),0,M$7)</f>
        <v>-0.0477286337714847</v>
      </c>
      <c r="N586" s="53" t="n">
        <f aca="true">NORMINV(RAND(),0,N$7)</f>
        <v>0.419732832863291</v>
      </c>
      <c r="O586" s="53" t="n">
        <f aca="false">SUM(J586:N586)</f>
        <v>-2.20010791719579</v>
      </c>
    </row>
    <row r="587" customFormat="false" ht="15" hidden="false" customHeight="false" outlineLevel="0" collapsed="false">
      <c r="A587" s="2" t="n">
        <v>579</v>
      </c>
      <c r="B587" s="53" t="n">
        <f aca="true">NORMINV(RAND(),0,B$7)</f>
        <v>0.887161822671265</v>
      </c>
      <c r="C587" s="53" t="n">
        <f aca="true">NORMINV(RAND(),0,C$7)</f>
        <v>0.106946815356555</v>
      </c>
      <c r="D587" s="53" t="n">
        <f aca="true">NORMINV(RAND(),0,D$7)</f>
        <v>1.74528757487409</v>
      </c>
      <c r="E587" s="53" t="n">
        <f aca="true">NORMINV(RAND(),0,E$7)</f>
        <v>-0.00165357892985584</v>
      </c>
      <c r="F587" s="53" t="n">
        <f aca="true">NORMINV(RAND(),0,F$7)</f>
        <v>-0.419026971167871</v>
      </c>
      <c r="G587" s="53" t="n">
        <f aca="true">NORMINV(RAND(),0,G$7)</f>
        <v>0.452790503647168</v>
      </c>
      <c r="H587" s="53" t="n">
        <f aca="true">NORMINV(RAND(),0,H$7)</f>
        <v>-0.0949756631016587</v>
      </c>
      <c r="I587" s="53" t="n">
        <f aca="false">SUM(B587:H587)</f>
        <v>2.6765305033497</v>
      </c>
      <c r="J587" s="53" t="n">
        <f aca="true">NORMINV(RAND(),0,J$7)</f>
        <v>1.00002045516813</v>
      </c>
      <c r="K587" s="53" t="n">
        <f aca="true">NORMINV(RAND(),0,K$7)</f>
        <v>0.291988722153241</v>
      </c>
      <c r="L587" s="53" t="n">
        <f aca="true">NORMINV(RAND(),0,L$7)</f>
        <v>-0.373112281725908</v>
      </c>
      <c r="M587" s="53" t="n">
        <f aca="true">NORMINV(RAND(),0,M$7)</f>
        <v>-0.083890964823752</v>
      </c>
      <c r="N587" s="53" t="n">
        <f aca="true">NORMINV(RAND(),0,N$7)</f>
        <v>-0.311482063391044</v>
      </c>
      <c r="O587" s="53" t="n">
        <f aca="false">SUM(J587:N587)</f>
        <v>0.523523867380662</v>
      </c>
    </row>
    <row r="588" customFormat="false" ht="15" hidden="false" customHeight="false" outlineLevel="0" collapsed="false">
      <c r="A588" s="2" t="n">
        <v>580</v>
      </c>
      <c r="B588" s="53" t="n">
        <f aca="true">NORMINV(RAND(),0,B$7)</f>
        <v>-0.358954698683165</v>
      </c>
      <c r="C588" s="53" t="n">
        <f aca="true">NORMINV(RAND(),0,C$7)</f>
        <v>-0.178346638224686</v>
      </c>
      <c r="D588" s="53" t="n">
        <f aca="true">NORMINV(RAND(),0,D$7)</f>
        <v>-1.45532121991456</v>
      </c>
      <c r="E588" s="53" t="n">
        <f aca="true">NORMINV(RAND(),0,E$7)</f>
        <v>-0.16926581432781</v>
      </c>
      <c r="F588" s="53" t="n">
        <f aca="true">NORMINV(RAND(),0,F$7)</f>
        <v>-0.0281710214950659</v>
      </c>
      <c r="G588" s="53" t="n">
        <f aca="true">NORMINV(RAND(),0,G$7)</f>
        <v>1.19398356587229</v>
      </c>
      <c r="H588" s="53" t="n">
        <f aca="true">NORMINV(RAND(),0,H$7)</f>
        <v>0.139372779603769</v>
      </c>
      <c r="I588" s="53" t="n">
        <f aca="false">SUM(B588:H588)</f>
        <v>-0.856703047169232</v>
      </c>
      <c r="J588" s="53" t="n">
        <f aca="true">NORMINV(RAND(),0,J$7)</f>
        <v>1.85722227075876</v>
      </c>
      <c r="K588" s="53" t="n">
        <f aca="true">NORMINV(RAND(),0,K$7)</f>
        <v>0.793893092821071</v>
      </c>
      <c r="L588" s="53" t="n">
        <f aca="true">NORMINV(RAND(),0,L$7)</f>
        <v>-0.0251387210578786</v>
      </c>
      <c r="M588" s="53" t="n">
        <f aca="true">NORMINV(RAND(),0,M$7)</f>
        <v>-0.151950406605161</v>
      </c>
      <c r="N588" s="53" t="n">
        <f aca="true">NORMINV(RAND(),0,N$7)</f>
        <v>0.277948408446189</v>
      </c>
      <c r="O588" s="53" t="n">
        <f aca="false">SUM(J588:N588)</f>
        <v>2.75197464436298</v>
      </c>
    </row>
    <row r="589" customFormat="false" ht="15" hidden="false" customHeight="false" outlineLevel="0" collapsed="false">
      <c r="A589" s="2" t="n">
        <v>581</v>
      </c>
      <c r="B589" s="53" t="n">
        <f aca="true">NORMINV(RAND(),0,B$7)</f>
        <v>-1.39829444863154</v>
      </c>
      <c r="C589" s="53" t="n">
        <f aca="true">NORMINV(RAND(),0,C$7)</f>
        <v>-0.206432208422676</v>
      </c>
      <c r="D589" s="53" t="n">
        <f aca="true">NORMINV(RAND(),0,D$7)</f>
        <v>1.98326637483198</v>
      </c>
      <c r="E589" s="53" t="n">
        <f aca="true">NORMINV(RAND(),0,E$7)</f>
        <v>-0.134167291269309</v>
      </c>
      <c r="F589" s="53" t="n">
        <f aca="true">NORMINV(RAND(),0,F$7)</f>
        <v>0.128089734185494</v>
      </c>
      <c r="G589" s="53" t="n">
        <f aca="true">NORMINV(RAND(),0,G$7)</f>
        <v>-1.577029095842</v>
      </c>
      <c r="H589" s="53" t="n">
        <f aca="true">NORMINV(RAND(),0,H$7)</f>
        <v>-0.0621277656089104</v>
      </c>
      <c r="I589" s="53" t="n">
        <f aca="false">SUM(B589:H589)</f>
        <v>-1.26669470075696</v>
      </c>
      <c r="J589" s="53" t="n">
        <f aca="true">NORMINV(RAND(),0,J$7)</f>
        <v>0.968962891028732</v>
      </c>
      <c r="K589" s="53" t="n">
        <f aca="true">NORMINV(RAND(),0,K$7)</f>
        <v>0.59743870933723</v>
      </c>
      <c r="L589" s="53" t="n">
        <f aca="true">NORMINV(RAND(),0,L$7)</f>
        <v>-0.0632668746572689</v>
      </c>
      <c r="M589" s="53" t="n">
        <f aca="true">NORMINV(RAND(),0,M$7)</f>
        <v>-0.26786888181233</v>
      </c>
      <c r="N589" s="53" t="n">
        <f aca="true">NORMINV(RAND(),0,N$7)</f>
        <v>-0.0920220401304587</v>
      </c>
      <c r="O589" s="53" t="n">
        <f aca="false">SUM(J589:N589)</f>
        <v>1.1432438037659</v>
      </c>
    </row>
    <row r="590" customFormat="false" ht="15" hidden="false" customHeight="false" outlineLevel="0" collapsed="false">
      <c r="A590" s="2" t="n">
        <v>582</v>
      </c>
      <c r="B590" s="53" t="n">
        <f aca="true">NORMINV(RAND(),0,B$7)</f>
        <v>-3.07760402273442</v>
      </c>
      <c r="C590" s="53" t="n">
        <f aca="true">NORMINV(RAND(),0,C$7)</f>
        <v>-0.168028538050369</v>
      </c>
      <c r="D590" s="53" t="n">
        <f aca="true">NORMINV(RAND(),0,D$7)</f>
        <v>1.21097507869106</v>
      </c>
      <c r="E590" s="53" t="n">
        <f aca="true">NORMINV(RAND(),0,E$7)</f>
        <v>-0.475280531818283</v>
      </c>
      <c r="F590" s="53" t="n">
        <f aca="true">NORMINV(RAND(),0,F$7)</f>
        <v>-0.093445658301839</v>
      </c>
      <c r="G590" s="53" t="n">
        <f aca="true">NORMINV(RAND(),0,G$7)</f>
        <v>-0.954866676807996</v>
      </c>
      <c r="H590" s="53" t="n">
        <f aca="true">NORMINV(RAND(),0,H$7)</f>
        <v>0.0902050477104199</v>
      </c>
      <c r="I590" s="53" t="n">
        <f aca="false">SUM(B590:H590)</f>
        <v>-3.46804530131143</v>
      </c>
      <c r="J590" s="53" t="n">
        <f aca="true">NORMINV(RAND(),0,J$7)</f>
        <v>-0.375024528167584</v>
      </c>
      <c r="K590" s="53" t="n">
        <f aca="true">NORMINV(RAND(),0,K$7)</f>
        <v>-0.106465619816012</v>
      </c>
      <c r="L590" s="53" t="n">
        <f aca="true">NORMINV(RAND(),0,L$7)</f>
        <v>0.291895694579719</v>
      </c>
      <c r="M590" s="53" t="n">
        <f aca="true">NORMINV(RAND(),0,M$7)</f>
        <v>0.147183009343187</v>
      </c>
      <c r="N590" s="53" t="n">
        <f aca="true">NORMINV(RAND(),0,N$7)</f>
        <v>0.148455337099827</v>
      </c>
      <c r="O590" s="53" t="n">
        <f aca="false">SUM(J590:N590)</f>
        <v>0.106043893039135</v>
      </c>
    </row>
    <row r="591" customFormat="false" ht="15" hidden="false" customHeight="false" outlineLevel="0" collapsed="false">
      <c r="A591" s="2" t="n">
        <v>583</v>
      </c>
      <c r="B591" s="53" t="n">
        <f aca="true">NORMINV(RAND(),0,B$7)</f>
        <v>-1.14602955644442</v>
      </c>
      <c r="C591" s="53" t="n">
        <f aca="true">NORMINV(RAND(),0,C$7)</f>
        <v>-0.0784245379383411</v>
      </c>
      <c r="D591" s="53" t="n">
        <f aca="true">NORMINV(RAND(),0,D$7)</f>
        <v>-1.50035531644707</v>
      </c>
      <c r="E591" s="53" t="n">
        <f aca="true">NORMINV(RAND(),0,E$7)</f>
        <v>0.430965945083814</v>
      </c>
      <c r="F591" s="53" t="n">
        <f aca="true">NORMINV(RAND(),0,F$7)</f>
        <v>-0.251197232232549</v>
      </c>
      <c r="G591" s="53" t="n">
        <f aca="true">NORMINV(RAND(),0,G$7)</f>
        <v>-4.00494637489481</v>
      </c>
      <c r="H591" s="53" t="n">
        <f aca="true">NORMINV(RAND(),0,H$7)</f>
        <v>-0.247780892279083</v>
      </c>
      <c r="I591" s="53" t="n">
        <f aca="false">SUM(B591:H591)</f>
        <v>-6.79776796515246</v>
      </c>
      <c r="J591" s="53" t="n">
        <f aca="true">NORMINV(RAND(),0,J$7)</f>
        <v>-0.282359437897341</v>
      </c>
      <c r="K591" s="53" t="n">
        <f aca="true">NORMINV(RAND(),0,K$7)</f>
        <v>0.659167121594693</v>
      </c>
      <c r="L591" s="53" t="n">
        <f aca="true">NORMINV(RAND(),0,L$7)</f>
        <v>-0.00998481133756511</v>
      </c>
      <c r="M591" s="53" t="n">
        <f aca="true">NORMINV(RAND(),0,M$7)</f>
        <v>-0.426647425960238</v>
      </c>
      <c r="N591" s="53" t="n">
        <f aca="true">NORMINV(RAND(),0,N$7)</f>
        <v>0.408754897761048</v>
      </c>
      <c r="O591" s="53" t="n">
        <f aca="false">SUM(J591:N591)</f>
        <v>0.348930344160597</v>
      </c>
    </row>
    <row r="592" customFormat="false" ht="15" hidden="false" customHeight="false" outlineLevel="0" collapsed="false">
      <c r="A592" s="2" t="n">
        <v>584</v>
      </c>
      <c r="B592" s="53" t="n">
        <f aca="true">NORMINV(RAND(),0,B$7)</f>
        <v>0.588365956813805</v>
      </c>
      <c r="C592" s="53" t="n">
        <f aca="true">NORMINV(RAND(),0,C$7)</f>
        <v>1.76018624519648</v>
      </c>
      <c r="D592" s="53" t="n">
        <f aca="true">NORMINV(RAND(),0,D$7)</f>
        <v>-3.9203129313463</v>
      </c>
      <c r="E592" s="53" t="n">
        <f aca="true">NORMINV(RAND(),0,E$7)</f>
        <v>0.165881496301934</v>
      </c>
      <c r="F592" s="53" t="n">
        <f aca="true">NORMINV(RAND(),0,F$7)</f>
        <v>0.191659799026589</v>
      </c>
      <c r="G592" s="53" t="n">
        <f aca="true">NORMINV(RAND(),0,G$7)</f>
        <v>-2.2629145133758</v>
      </c>
      <c r="H592" s="53" t="n">
        <f aca="true">NORMINV(RAND(),0,H$7)</f>
        <v>-0.73378449048577</v>
      </c>
      <c r="I592" s="53" t="n">
        <f aca="false">SUM(B592:H592)</f>
        <v>-4.21091843786907</v>
      </c>
      <c r="J592" s="53" t="n">
        <f aca="true">NORMINV(RAND(),0,J$7)</f>
        <v>-0.0794100143649449</v>
      </c>
      <c r="K592" s="53" t="n">
        <f aca="true">NORMINV(RAND(),0,K$7)</f>
        <v>0.735716277689571</v>
      </c>
      <c r="L592" s="53" t="n">
        <f aca="true">NORMINV(RAND(),0,L$7)</f>
        <v>0.0148475785931709</v>
      </c>
      <c r="M592" s="53" t="n">
        <f aca="true">NORMINV(RAND(),0,M$7)</f>
        <v>0.381818020176637</v>
      </c>
      <c r="N592" s="53" t="n">
        <f aca="true">NORMINV(RAND(),0,N$7)</f>
        <v>0.49813874840356</v>
      </c>
      <c r="O592" s="53" t="n">
        <f aca="false">SUM(J592:N592)</f>
        <v>1.55111061049799</v>
      </c>
    </row>
    <row r="593" customFormat="false" ht="15" hidden="false" customHeight="false" outlineLevel="0" collapsed="false">
      <c r="A593" s="2" t="n">
        <v>585</v>
      </c>
      <c r="B593" s="53" t="n">
        <f aca="true">NORMINV(RAND(),0,B$7)</f>
        <v>0.149949360678127</v>
      </c>
      <c r="C593" s="53" t="n">
        <f aca="true">NORMINV(RAND(),0,C$7)</f>
        <v>0.807268698485301</v>
      </c>
      <c r="D593" s="53" t="n">
        <f aca="true">NORMINV(RAND(),0,D$7)</f>
        <v>-0.919985581330735</v>
      </c>
      <c r="E593" s="53" t="n">
        <f aca="true">NORMINV(RAND(),0,E$7)</f>
        <v>0.0839555768207101</v>
      </c>
      <c r="F593" s="53" t="n">
        <f aca="true">NORMINV(RAND(),0,F$7)</f>
        <v>-0.241871688748584</v>
      </c>
      <c r="G593" s="53" t="n">
        <f aca="true">NORMINV(RAND(),0,G$7)</f>
        <v>-0.673949779929286</v>
      </c>
      <c r="H593" s="53" t="n">
        <f aca="true">NORMINV(RAND(),0,H$7)</f>
        <v>-0.294624178298031</v>
      </c>
      <c r="I593" s="53" t="n">
        <f aca="false">SUM(B593:H593)</f>
        <v>-1.0892575923225</v>
      </c>
      <c r="J593" s="53" t="n">
        <f aca="true">NORMINV(RAND(),0,J$7)</f>
        <v>0.236232609853321</v>
      </c>
      <c r="K593" s="53" t="n">
        <f aca="true">NORMINV(RAND(),0,K$7)</f>
        <v>-0.356829466983385</v>
      </c>
      <c r="L593" s="53" t="n">
        <f aca="true">NORMINV(RAND(),0,L$7)</f>
        <v>-0.165642829586127</v>
      </c>
      <c r="M593" s="53" t="n">
        <f aca="true">NORMINV(RAND(),0,M$7)</f>
        <v>0.341964232807421</v>
      </c>
      <c r="N593" s="53" t="n">
        <f aca="true">NORMINV(RAND(),0,N$7)</f>
        <v>0.222432265532375</v>
      </c>
      <c r="O593" s="53" t="n">
        <f aca="false">SUM(J593:N593)</f>
        <v>0.278156811623606</v>
      </c>
    </row>
    <row r="594" customFormat="false" ht="15" hidden="false" customHeight="false" outlineLevel="0" collapsed="false">
      <c r="A594" s="2" t="n">
        <v>586</v>
      </c>
      <c r="B594" s="53" t="n">
        <f aca="true">NORMINV(RAND(),0,B$7)</f>
        <v>-0.130026928408787</v>
      </c>
      <c r="C594" s="53" t="n">
        <f aca="true">NORMINV(RAND(),0,C$7)</f>
        <v>-0.28365774567776</v>
      </c>
      <c r="D594" s="53" t="n">
        <f aca="true">NORMINV(RAND(),0,D$7)</f>
        <v>-3.92968292952959</v>
      </c>
      <c r="E594" s="53" t="n">
        <f aca="true">NORMINV(RAND(),0,E$7)</f>
        <v>0.132366165240014</v>
      </c>
      <c r="F594" s="53" t="n">
        <f aca="true">NORMINV(RAND(),0,F$7)</f>
        <v>-0.0850558642356182</v>
      </c>
      <c r="G594" s="53" t="n">
        <f aca="true">NORMINV(RAND(),0,G$7)</f>
        <v>0.560745745866394</v>
      </c>
      <c r="H594" s="53" t="n">
        <f aca="true">NORMINV(RAND(),0,H$7)</f>
        <v>0.26673202679192</v>
      </c>
      <c r="I594" s="53" t="n">
        <f aca="false">SUM(B594:H594)</f>
        <v>-3.46857952995343</v>
      </c>
      <c r="J594" s="53" t="n">
        <f aca="true">NORMINV(RAND(),0,J$7)</f>
        <v>-0.889871783721386</v>
      </c>
      <c r="K594" s="53" t="n">
        <f aca="true">NORMINV(RAND(),0,K$7)</f>
        <v>-1.5728752233934</v>
      </c>
      <c r="L594" s="53" t="n">
        <f aca="true">NORMINV(RAND(),0,L$7)</f>
        <v>-0.173938561652081</v>
      </c>
      <c r="M594" s="53" t="n">
        <f aca="true">NORMINV(RAND(),0,M$7)</f>
        <v>-0.0651983353600463</v>
      </c>
      <c r="N594" s="53" t="n">
        <f aca="true">NORMINV(RAND(),0,N$7)</f>
        <v>0.258031852793657</v>
      </c>
      <c r="O594" s="53" t="n">
        <f aca="false">SUM(J594:N594)</f>
        <v>-2.44385205133325</v>
      </c>
    </row>
    <row r="595" customFormat="false" ht="15" hidden="false" customHeight="false" outlineLevel="0" collapsed="false">
      <c r="A595" s="2" t="n">
        <v>587</v>
      </c>
      <c r="B595" s="53" t="n">
        <f aca="true">NORMINV(RAND(),0,B$7)</f>
        <v>-0.712644776872962</v>
      </c>
      <c r="C595" s="53" t="n">
        <f aca="true">NORMINV(RAND(),0,C$7)</f>
        <v>1.14242915772671</v>
      </c>
      <c r="D595" s="53" t="n">
        <f aca="true">NORMINV(RAND(),0,D$7)</f>
        <v>0.247381473149108</v>
      </c>
      <c r="E595" s="53" t="n">
        <f aca="true">NORMINV(RAND(),0,E$7)</f>
        <v>0.0085081943873006</v>
      </c>
      <c r="F595" s="53" t="n">
        <f aca="true">NORMINV(RAND(),0,F$7)</f>
        <v>0.163019108148695</v>
      </c>
      <c r="G595" s="53" t="n">
        <f aca="true">NORMINV(RAND(),0,G$7)</f>
        <v>0.90335342051842</v>
      </c>
      <c r="H595" s="53" t="n">
        <f aca="true">NORMINV(RAND(),0,H$7)</f>
        <v>0.152969089176687</v>
      </c>
      <c r="I595" s="53" t="n">
        <f aca="false">SUM(B595:H595)</f>
        <v>1.90501566623396</v>
      </c>
      <c r="J595" s="53" t="n">
        <f aca="true">NORMINV(RAND(),0,J$7)</f>
        <v>-2.52536673802968</v>
      </c>
      <c r="K595" s="53" t="n">
        <f aca="true">NORMINV(RAND(),0,K$7)</f>
        <v>0.47506012536696</v>
      </c>
      <c r="L595" s="53" t="n">
        <f aca="true">NORMINV(RAND(),0,L$7)</f>
        <v>0.016909532193792</v>
      </c>
      <c r="M595" s="53" t="n">
        <f aca="true">NORMINV(RAND(),0,M$7)</f>
        <v>0.383865870895344</v>
      </c>
      <c r="N595" s="53" t="n">
        <f aca="true">NORMINV(RAND(),0,N$7)</f>
        <v>0.707540959561413</v>
      </c>
      <c r="O595" s="53" t="n">
        <f aca="false">SUM(J595:N595)</f>
        <v>-0.941990250012173</v>
      </c>
    </row>
    <row r="596" customFormat="false" ht="15" hidden="false" customHeight="false" outlineLevel="0" collapsed="false">
      <c r="A596" s="2" t="n">
        <v>588</v>
      </c>
      <c r="B596" s="53" t="n">
        <f aca="true">NORMINV(RAND(),0,B$7)</f>
        <v>2.03178933596292</v>
      </c>
      <c r="C596" s="53" t="n">
        <f aca="true">NORMINV(RAND(),0,C$7)</f>
        <v>-1.69080289057387</v>
      </c>
      <c r="D596" s="53" t="n">
        <f aca="true">NORMINV(RAND(),0,D$7)</f>
        <v>1.59383390064302</v>
      </c>
      <c r="E596" s="53" t="n">
        <f aca="true">NORMINV(RAND(),0,E$7)</f>
        <v>0.260422793966935</v>
      </c>
      <c r="F596" s="53" t="n">
        <f aca="true">NORMINV(RAND(),0,F$7)</f>
        <v>-0.277451675291632</v>
      </c>
      <c r="G596" s="53" t="n">
        <f aca="true">NORMINV(RAND(),0,G$7)</f>
        <v>0.482633374872372</v>
      </c>
      <c r="H596" s="53" t="n">
        <f aca="true">NORMINV(RAND(),0,H$7)</f>
        <v>0.0542023135485813</v>
      </c>
      <c r="I596" s="53" t="n">
        <f aca="false">SUM(B596:H596)</f>
        <v>2.45462715312833</v>
      </c>
      <c r="J596" s="53" t="n">
        <f aca="true">NORMINV(RAND(),0,J$7)</f>
        <v>0.422821248163176</v>
      </c>
      <c r="K596" s="53" t="n">
        <f aca="true">NORMINV(RAND(),0,K$7)</f>
        <v>-0.704596021800036</v>
      </c>
      <c r="L596" s="53" t="n">
        <f aca="true">NORMINV(RAND(),0,L$7)</f>
        <v>0.437507213692789</v>
      </c>
      <c r="M596" s="53" t="n">
        <f aca="true">NORMINV(RAND(),0,M$7)</f>
        <v>-0.00836020845522838</v>
      </c>
      <c r="N596" s="53" t="n">
        <f aca="true">NORMINV(RAND(),0,N$7)</f>
        <v>0.655026047455974</v>
      </c>
      <c r="O596" s="53" t="n">
        <f aca="false">SUM(J596:N596)</f>
        <v>0.802398279056675</v>
      </c>
    </row>
    <row r="597" customFormat="false" ht="15" hidden="false" customHeight="false" outlineLevel="0" collapsed="false">
      <c r="A597" s="2" t="n">
        <v>589</v>
      </c>
      <c r="B597" s="53" t="n">
        <f aca="true">NORMINV(RAND(),0,B$7)</f>
        <v>-0.14379035950307</v>
      </c>
      <c r="C597" s="53" t="n">
        <f aca="true">NORMINV(RAND(),0,C$7)</f>
        <v>-0.0888620903721155</v>
      </c>
      <c r="D597" s="53" t="n">
        <f aca="true">NORMINV(RAND(),0,D$7)</f>
        <v>2.9709874638263</v>
      </c>
      <c r="E597" s="53" t="n">
        <f aca="true">NORMINV(RAND(),0,E$7)</f>
        <v>0.178246595915451</v>
      </c>
      <c r="F597" s="53" t="n">
        <f aca="true">NORMINV(RAND(),0,F$7)</f>
        <v>-0.42467581993293</v>
      </c>
      <c r="G597" s="53" t="n">
        <f aca="true">NORMINV(RAND(),0,G$7)</f>
        <v>0.465021671040318</v>
      </c>
      <c r="H597" s="53" t="n">
        <f aca="true">NORMINV(RAND(),0,H$7)</f>
        <v>0.26374889585</v>
      </c>
      <c r="I597" s="53" t="n">
        <f aca="false">SUM(B597:H597)</f>
        <v>3.22067635682396</v>
      </c>
      <c r="J597" s="53" t="n">
        <f aca="true">NORMINV(RAND(),0,J$7)</f>
        <v>2.47195652385706</v>
      </c>
      <c r="K597" s="53" t="n">
        <f aca="true">NORMINV(RAND(),0,K$7)</f>
        <v>-0.148875395409725</v>
      </c>
      <c r="L597" s="53" t="n">
        <f aca="true">NORMINV(RAND(),0,L$7)</f>
        <v>0.464937628485508</v>
      </c>
      <c r="M597" s="53" t="n">
        <f aca="true">NORMINV(RAND(),0,M$7)</f>
        <v>0.241834869655448</v>
      </c>
      <c r="N597" s="53" t="n">
        <f aca="true">NORMINV(RAND(),0,N$7)</f>
        <v>0.0328202561367546</v>
      </c>
      <c r="O597" s="53" t="n">
        <f aca="false">SUM(J597:N597)</f>
        <v>3.06267388272504</v>
      </c>
    </row>
    <row r="598" customFormat="false" ht="15" hidden="false" customHeight="false" outlineLevel="0" collapsed="false">
      <c r="A598" s="2" t="n">
        <v>590</v>
      </c>
      <c r="B598" s="53" t="n">
        <f aca="true">NORMINV(RAND(),0,B$7)</f>
        <v>2.16830736654632</v>
      </c>
      <c r="C598" s="53" t="n">
        <f aca="true">NORMINV(RAND(),0,C$7)</f>
        <v>-0.311875145769051</v>
      </c>
      <c r="D598" s="53" t="n">
        <f aca="true">NORMINV(RAND(),0,D$7)</f>
        <v>-1.75812076710282</v>
      </c>
      <c r="E598" s="53" t="n">
        <f aca="true">NORMINV(RAND(),0,E$7)</f>
        <v>-0.431195570239053</v>
      </c>
      <c r="F598" s="53" t="n">
        <f aca="true">NORMINV(RAND(),0,F$7)</f>
        <v>-0.123133288978602</v>
      </c>
      <c r="G598" s="53" t="n">
        <f aca="true">NORMINV(RAND(),0,G$7)</f>
        <v>1.24298735651284</v>
      </c>
      <c r="H598" s="53" t="n">
        <f aca="true">NORMINV(RAND(),0,H$7)</f>
        <v>0.514384044108657</v>
      </c>
      <c r="I598" s="53" t="n">
        <f aca="false">SUM(B598:H598)</f>
        <v>1.30135399507829</v>
      </c>
      <c r="J598" s="53" t="n">
        <f aca="true">NORMINV(RAND(),0,J$7)</f>
        <v>-0.589757428438635</v>
      </c>
      <c r="K598" s="53" t="n">
        <f aca="true">NORMINV(RAND(),0,K$7)</f>
        <v>-0.677431155064244</v>
      </c>
      <c r="L598" s="53" t="n">
        <f aca="true">NORMINV(RAND(),0,L$7)</f>
        <v>0.102570779441024</v>
      </c>
      <c r="M598" s="53" t="n">
        <f aca="true">NORMINV(RAND(),0,M$7)</f>
        <v>0.380571541699776</v>
      </c>
      <c r="N598" s="53" t="n">
        <f aca="true">NORMINV(RAND(),0,N$7)</f>
        <v>-0.43780717405603</v>
      </c>
      <c r="O598" s="53" t="n">
        <f aca="false">SUM(J598:N598)</f>
        <v>-1.22185343641811</v>
      </c>
    </row>
    <row r="599" customFormat="false" ht="15" hidden="false" customHeight="false" outlineLevel="0" collapsed="false">
      <c r="A599" s="2" t="n">
        <v>591</v>
      </c>
      <c r="B599" s="53" t="n">
        <f aca="true">NORMINV(RAND(),0,B$7)</f>
        <v>0.675947489151714</v>
      </c>
      <c r="C599" s="53" t="n">
        <f aca="true">NORMINV(RAND(),0,C$7)</f>
        <v>2.19844428499502</v>
      </c>
      <c r="D599" s="53" t="n">
        <f aca="true">NORMINV(RAND(),0,D$7)</f>
        <v>-1.12160864589475</v>
      </c>
      <c r="E599" s="53" t="n">
        <f aca="true">NORMINV(RAND(),0,E$7)</f>
        <v>0.392005752130158</v>
      </c>
      <c r="F599" s="53" t="n">
        <f aca="true">NORMINV(RAND(),0,F$7)</f>
        <v>0.287388448845838</v>
      </c>
      <c r="G599" s="53" t="n">
        <f aca="true">NORMINV(RAND(),0,G$7)</f>
        <v>-1.00547397280979</v>
      </c>
      <c r="H599" s="53" t="n">
        <f aca="true">NORMINV(RAND(),0,H$7)</f>
        <v>-0.193442559145593</v>
      </c>
      <c r="I599" s="53" t="n">
        <f aca="false">SUM(B599:H599)</f>
        <v>1.2332607972726</v>
      </c>
      <c r="J599" s="53" t="n">
        <f aca="true">NORMINV(RAND(),0,J$7)</f>
        <v>0.921580591753739</v>
      </c>
      <c r="K599" s="53" t="n">
        <f aca="true">NORMINV(RAND(),0,K$7)</f>
        <v>-0.578037498114722</v>
      </c>
      <c r="L599" s="53" t="n">
        <f aca="true">NORMINV(RAND(),0,L$7)</f>
        <v>0.568297806181799</v>
      </c>
      <c r="M599" s="53" t="n">
        <f aca="true">NORMINV(RAND(),0,M$7)</f>
        <v>0.0258469632552651</v>
      </c>
      <c r="N599" s="53" t="n">
        <f aca="true">NORMINV(RAND(),0,N$7)</f>
        <v>0.0145821495338424</v>
      </c>
      <c r="O599" s="53" t="n">
        <f aca="false">SUM(J599:N599)</f>
        <v>0.952270012609923</v>
      </c>
    </row>
    <row r="600" customFormat="false" ht="15" hidden="false" customHeight="false" outlineLevel="0" collapsed="false">
      <c r="A600" s="2" t="n">
        <v>592</v>
      </c>
      <c r="B600" s="53" t="n">
        <f aca="true">NORMINV(RAND(),0,B$7)</f>
        <v>0.765232967209873</v>
      </c>
      <c r="C600" s="53" t="n">
        <f aca="true">NORMINV(RAND(),0,C$7)</f>
        <v>-0.431945777139356</v>
      </c>
      <c r="D600" s="53" t="n">
        <f aca="true">NORMINV(RAND(),0,D$7)</f>
        <v>0.0452099257125931</v>
      </c>
      <c r="E600" s="53" t="n">
        <f aca="true">NORMINV(RAND(),0,E$7)</f>
        <v>-0.21639792629429</v>
      </c>
      <c r="F600" s="53" t="n">
        <f aca="true">NORMINV(RAND(),0,F$7)</f>
        <v>0.546192842742173</v>
      </c>
      <c r="G600" s="53" t="n">
        <f aca="true">NORMINV(RAND(),0,G$7)</f>
        <v>-1.23458127235365</v>
      </c>
      <c r="H600" s="53" t="n">
        <f aca="true">NORMINV(RAND(),0,H$7)</f>
        <v>0.349029518851947</v>
      </c>
      <c r="I600" s="53" t="n">
        <f aca="false">SUM(B600:H600)</f>
        <v>-0.177259721270713</v>
      </c>
      <c r="J600" s="53" t="n">
        <f aca="true">NORMINV(RAND(),0,J$7)</f>
        <v>-4.38562743861576</v>
      </c>
      <c r="K600" s="53" t="n">
        <f aca="true">NORMINV(RAND(),0,K$7)</f>
        <v>-1.21449698607747</v>
      </c>
      <c r="L600" s="53" t="n">
        <f aca="true">NORMINV(RAND(),0,L$7)</f>
        <v>-0.304720245373589</v>
      </c>
      <c r="M600" s="53" t="n">
        <f aca="true">NORMINV(RAND(),0,M$7)</f>
        <v>0.265350258156373</v>
      </c>
      <c r="N600" s="53" t="n">
        <f aca="true">NORMINV(RAND(),0,N$7)</f>
        <v>-0.0813379126091423</v>
      </c>
      <c r="O600" s="53" t="n">
        <f aca="false">SUM(J600:N600)</f>
        <v>-5.72083232451959</v>
      </c>
    </row>
    <row r="601" customFormat="false" ht="15" hidden="false" customHeight="false" outlineLevel="0" collapsed="false">
      <c r="A601" s="2" t="n">
        <v>593</v>
      </c>
      <c r="B601" s="53" t="n">
        <f aca="true">NORMINV(RAND(),0,B$7)</f>
        <v>1.55577917229836</v>
      </c>
      <c r="C601" s="53" t="n">
        <f aca="true">NORMINV(RAND(),0,C$7)</f>
        <v>-0.135113938014699</v>
      </c>
      <c r="D601" s="53" t="n">
        <f aca="true">NORMINV(RAND(),0,D$7)</f>
        <v>-2.60418823435162</v>
      </c>
      <c r="E601" s="53" t="n">
        <f aca="true">NORMINV(RAND(),0,E$7)</f>
        <v>0.00606801066726721</v>
      </c>
      <c r="F601" s="53" t="n">
        <f aca="true">NORMINV(RAND(),0,F$7)</f>
        <v>0.0754578614151683</v>
      </c>
      <c r="G601" s="53" t="n">
        <f aca="true">NORMINV(RAND(),0,G$7)</f>
        <v>-1.21293856000269</v>
      </c>
      <c r="H601" s="53" t="n">
        <f aca="true">NORMINV(RAND(),0,H$7)</f>
        <v>-0.105365237050768</v>
      </c>
      <c r="I601" s="53" t="n">
        <f aca="false">SUM(B601:H601)</f>
        <v>-2.42030092503898</v>
      </c>
      <c r="J601" s="53" t="n">
        <f aca="true">NORMINV(RAND(),0,J$7)</f>
        <v>-0.876415204921634</v>
      </c>
      <c r="K601" s="53" t="n">
        <f aca="true">NORMINV(RAND(),0,K$7)</f>
        <v>-0.339633536387109</v>
      </c>
      <c r="L601" s="53" t="n">
        <f aca="true">NORMINV(RAND(),0,L$7)</f>
        <v>-0.0521682648307497</v>
      </c>
      <c r="M601" s="53" t="n">
        <f aca="true">NORMINV(RAND(),0,M$7)</f>
        <v>-0.221990964441231</v>
      </c>
      <c r="N601" s="53" t="n">
        <f aca="true">NORMINV(RAND(),0,N$7)</f>
        <v>-0.121426456253264</v>
      </c>
      <c r="O601" s="53" t="n">
        <f aca="false">SUM(J601:N601)</f>
        <v>-1.61163442683399</v>
      </c>
    </row>
    <row r="602" customFormat="false" ht="15" hidden="false" customHeight="false" outlineLevel="0" collapsed="false">
      <c r="A602" s="2" t="n">
        <v>594</v>
      </c>
      <c r="B602" s="53" t="n">
        <f aca="true">NORMINV(RAND(),0,B$7)</f>
        <v>-0.341337205378293</v>
      </c>
      <c r="C602" s="53" t="n">
        <f aca="true">NORMINV(RAND(),0,C$7)</f>
        <v>0.183642701942953</v>
      </c>
      <c r="D602" s="53" t="n">
        <f aca="true">NORMINV(RAND(),0,D$7)</f>
        <v>3.14892101790651</v>
      </c>
      <c r="E602" s="53" t="n">
        <f aca="true">NORMINV(RAND(),0,E$7)</f>
        <v>0.633832781074494</v>
      </c>
      <c r="F602" s="53" t="n">
        <f aca="true">NORMINV(RAND(),0,F$7)</f>
        <v>0.0405072988957291</v>
      </c>
      <c r="G602" s="53" t="n">
        <f aca="true">NORMINV(RAND(),0,G$7)</f>
        <v>-0.912916249202086</v>
      </c>
      <c r="H602" s="53" t="n">
        <f aca="true">NORMINV(RAND(),0,H$7)</f>
        <v>-0.592720463101563</v>
      </c>
      <c r="I602" s="53" t="n">
        <f aca="false">SUM(B602:H602)</f>
        <v>2.15992988213774</v>
      </c>
      <c r="J602" s="53" t="n">
        <f aca="true">NORMINV(RAND(),0,J$7)</f>
        <v>-1.03669674671234</v>
      </c>
      <c r="K602" s="53" t="n">
        <f aca="true">NORMINV(RAND(),0,K$7)</f>
        <v>0.27725533586934</v>
      </c>
      <c r="L602" s="53" t="n">
        <f aca="true">NORMINV(RAND(),0,L$7)</f>
        <v>-0.000946374434232835</v>
      </c>
      <c r="M602" s="53" t="n">
        <f aca="true">NORMINV(RAND(),0,M$7)</f>
        <v>-0.379481043092221</v>
      </c>
      <c r="N602" s="53" t="n">
        <f aca="true">NORMINV(RAND(),0,N$7)</f>
        <v>0.330445117591913</v>
      </c>
      <c r="O602" s="53" t="n">
        <f aca="false">SUM(J602:N602)</f>
        <v>-0.809423710777544</v>
      </c>
    </row>
    <row r="603" customFormat="false" ht="15" hidden="false" customHeight="false" outlineLevel="0" collapsed="false">
      <c r="A603" s="2" t="n">
        <v>595</v>
      </c>
      <c r="B603" s="53" t="n">
        <f aca="true">NORMINV(RAND(),0,B$7)</f>
        <v>-0.219309091174333</v>
      </c>
      <c r="C603" s="53" t="n">
        <f aca="true">NORMINV(RAND(),0,C$7)</f>
        <v>-0.362849352853925</v>
      </c>
      <c r="D603" s="53" t="n">
        <f aca="true">NORMINV(RAND(),0,D$7)</f>
        <v>1.5321955290396</v>
      </c>
      <c r="E603" s="53" t="n">
        <f aca="true">NORMINV(RAND(),0,E$7)</f>
        <v>-0.133286425403297</v>
      </c>
      <c r="F603" s="53" t="n">
        <f aca="true">NORMINV(RAND(),0,F$7)</f>
        <v>0.000203527490433798</v>
      </c>
      <c r="G603" s="53" t="n">
        <f aca="true">NORMINV(RAND(),0,G$7)</f>
        <v>1.24453418451713</v>
      </c>
      <c r="H603" s="53" t="n">
        <f aca="true">NORMINV(RAND(),0,H$7)</f>
        <v>-0.119677647415367</v>
      </c>
      <c r="I603" s="53" t="n">
        <f aca="false">SUM(B603:H603)</f>
        <v>1.94181072420023</v>
      </c>
      <c r="J603" s="53" t="n">
        <f aca="true">NORMINV(RAND(),0,J$7)</f>
        <v>-0.759391402236929</v>
      </c>
      <c r="K603" s="53" t="n">
        <f aca="true">NORMINV(RAND(),0,K$7)</f>
        <v>0.281733495113228</v>
      </c>
      <c r="L603" s="53" t="n">
        <f aca="true">NORMINV(RAND(),0,L$7)</f>
        <v>0.11037544931793</v>
      </c>
      <c r="M603" s="53" t="n">
        <f aca="true">NORMINV(RAND(),0,M$7)</f>
        <v>-0.175575518486606</v>
      </c>
      <c r="N603" s="53" t="n">
        <f aca="true">NORMINV(RAND(),0,N$7)</f>
        <v>-0.766971500775816</v>
      </c>
      <c r="O603" s="53" t="n">
        <f aca="false">SUM(J603:N603)</f>
        <v>-1.30982947706819</v>
      </c>
    </row>
    <row r="604" customFormat="false" ht="15" hidden="false" customHeight="false" outlineLevel="0" collapsed="false">
      <c r="A604" s="2" t="n">
        <v>596</v>
      </c>
      <c r="B604" s="53" t="n">
        <f aca="true">NORMINV(RAND(),0,B$7)</f>
        <v>1.02940330173733</v>
      </c>
      <c r="C604" s="53" t="n">
        <f aca="true">NORMINV(RAND(),0,C$7)</f>
        <v>0.269848469440734</v>
      </c>
      <c r="D604" s="53" t="n">
        <f aca="true">NORMINV(RAND(),0,D$7)</f>
        <v>1.71740650429432</v>
      </c>
      <c r="E604" s="53" t="n">
        <f aca="true">NORMINV(RAND(),0,E$7)</f>
        <v>0.185079353268577</v>
      </c>
      <c r="F604" s="53" t="n">
        <f aca="true">NORMINV(RAND(),0,F$7)</f>
        <v>-0.108020651219894</v>
      </c>
      <c r="G604" s="53" t="n">
        <f aca="true">NORMINV(RAND(),0,G$7)</f>
        <v>0.137486508331003</v>
      </c>
      <c r="H604" s="53" t="n">
        <f aca="true">NORMINV(RAND(),0,H$7)</f>
        <v>-0.169319401081646</v>
      </c>
      <c r="I604" s="53" t="n">
        <f aca="false">SUM(B604:H604)</f>
        <v>3.06188408477042</v>
      </c>
      <c r="J604" s="53" t="n">
        <f aca="true">NORMINV(RAND(),0,J$7)</f>
        <v>-1.76469015478814</v>
      </c>
      <c r="K604" s="53" t="n">
        <f aca="true">NORMINV(RAND(),0,K$7)</f>
        <v>0.160932281435306</v>
      </c>
      <c r="L604" s="53" t="n">
        <f aca="true">NORMINV(RAND(),0,L$7)</f>
        <v>-0.294202937737852</v>
      </c>
      <c r="M604" s="53" t="n">
        <f aca="true">NORMINV(RAND(),0,M$7)</f>
        <v>0.0840284117248023</v>
      </c>
      <c r="N604" s="53" t="n">
        <f aca="true">NORMINV(RAND(),0,N$7)</f>
        <v>0.0865366736837318</v>
      </c>
      <c r="O604" s="53" t="n">
        <f aca="false">SUM(J604:N604)</f>
        <v>-1.72739572568215</v>
      </c>
    </row>
    <row r="605" customFormat="false" ht="15" hidden="false" customHeight="false" outlineLevel="0" collapsed="false">
      <c r="A605" s="2" t="n">
        <v>597</v>
      </c>
      <c r="B605" s="53" t="n">
        <f aca="true">NORMINV(RAND(),0,B$7)</f>
        <v>0.831921385797958</v>
      </c>
      <c r="C605" s="53" t="n">
        <f aca="true">NORMINV(RAND(),0,C$7)</f>
        <v>1.61092589269173</v>
      </c>
      <c r="D605" s="53" t="n">
        <f aca="true">NORMINV(RAND(),0,D$7)</f>
        <v>1.45412778581029</v>
      </c>
      <c r="E605" s="53" t="n">
        <f aca="true">NORMINV(RAND(),0,E$7)</f>
        <v>0.119885411828718</v>
      </c>
      <c r="F605" s="53" t="n">
        <f aca="true">NORMINV(RAND(),0,F$7)</f>
        <v>0.0739882364923015</v>
      </c>
      <c r="G605" s="53" t="n">
        <f aca="true">NORMINV(RAND(),0,G$7)</f>
        <v>-2.68355638586541</v>
      </c>
      <c r="H605" s="53" t="n">
        <f aca="true">NORMINV(RAND(),0,H$7)</f>
        <v>0.450018587009443</v>
      </c>
      <c r="I605" s="53" t="n">
        <f aca="false">SUM(B605:H605)</f>
        <v>1.85731091376504</v>
      </c>
      <c r="J605" s="53" t="n">
        <f aca="true">NORMINV(RAND(),0,J$7)</f>
        <v>-0.231354336173786</v>
      </c>
      <c r="K605" s="53" t="n">
        <f aca="true">NORMINV(RAND(),0,K$7)</f>
        <v>-0.111040144101672</v>
      </c>
      <c r="L605" s="53" t="n">
        <f aca="true">NORMINV(RAND(),0,L$7)</f>
        <v>0.925977830649499</v>
      </c>
      <c r="M605" s="53" t="n">
        <f aca="true">NORMINV(RAND(),0,M$7)</f>
        <v>-0.109498330160738</v>
      </c>
      <c r="N605" s="53" t="n">
        <f aca="true">NORMINV(RAND(),0,N$7)</f>
        <v>0.099518928826583</v>
      </c>
      <c r="O605" s="53" t="n">
        <f aca="false">SUM(J605:N605)</f>
        <v>0.573603949039886</v>
      </c>
    </row>
    <row r="606" customFormat="false" ht="15" hidden="false" customHeight="false" outlineLevel="0" collapsed="false">
      <c r="A606" s="2" t="n">
        <v>598</v>
      </c>
      <c r="B606" s="53" t="n">
        <f aca="true">NORMINV(RAND(),0,B$7)</f>
        <v>-0.850631847157352</v>
      </c>
      <c r="C606" s="53" t="n">
        <f aca="true">NORMINV(RAND(),0,C$7)</f>
        <v>-0.174111442873648</v>
      </c>
      <c r="D606" s="53" t="n">
        <f aca="true">NORMINV(RAND(),0,D$7)</f>
        <v>0.0748513895605752</v>
      </c>
      <c r="E606" s="53" t="n">
        <f aca="true">NORMINV(RAND(),0,E$7)</f>
        <v>0.142026363048319</v>
      </c>
      <c r="F606" s="53" t="n">
        <f aca="true">NORMINV(RAND(),0,F$7)</f>
        <v>-0.332831381215036</v>
      </c>
      <c r="G606" s="53" t="n">
        <f aca="true">NORMINV(RAND(),0,G$7)</f>
        <v>-0.170617932548956</v>
      </c>
      <c r="H606" s="53" t="n">
        <f aca="true">NORMINV(RAND(),0,H$7)</f>
        <v>-0.149408761953658</v>
      </c>
      <c r="I606" s="53" t="n">
        <f aca="false">SUM(B606:H606)</f>
        <v>-1.46072361313976</v>
      </c>
      <c r="J606" s="53" t="n">
        <f aca="true">NORMINV(RAND(),0,J$7)</f>
        <v>0.894471773528018</v>
      </c>
      <c r="K606" s="53" t="n">
        <f aca="true">NORMINV(RAND(),0,K$7)</f>
        <v>0.273570331531779</v>
      </c>
      <c r="L606" s="53" t="n">
        <f aca="true">NORMINV(RAND(),0,L$7)</f>
        <v>0.469845166796221</v>
      </c>
      <c r="M606" s="53" t="n">
        <f aca="true">NORMINV(RAND(),0,M$7)</f>
        <v>0.460846843819113</v>
      </c>
      <c r="N606" s="53" t="n">
        <f aca="true">NORMINV(RAND(),0,N$7)</f>
        <v>-0.560586792921214</v>
      </c>
      <c r="O606" s="53" t="n">
        <f aca="false">SUM(J606:N606)</f>
        <v>1.53814732275392</v>
      </c>
    </row>
    <row r="607" customFormat="false" ht="15" hidden="false" customHeight="false" outlineLevel="0" collapsed="false">
      <c r="A607" s="2" t="n">
        <v>599</v>
      </c>
      <c r="B607" s="53" t="n">
        <f aca="true">NORMINV(RAND(),0,B$7)</f>
        <v>-0.436130057108423</v>
      </c>
      <c r="C607" s="53" t="n">
        <f aca="true">NORMINV(RAND(),0,C$7)</f>
        <v>1.90316327902941</v>
      </c>
      <c r="D607" s="53" t="n">
        <f aca="true">NORMINV(RAND(),0,D$7)</f>
        <v>0.0760136237701254</v>
      </c>
      <c r="E607" s="53" t="n">
        <f aca="true">NORMINV(RAND(),0,E$7)</f>
        <v>0.16260068330039</v>
      </c>
      <c r="F607" s="53" t="n">
        <f aca="true">NORMINV(RAND(),0,F$7)</f>
        <v>0.217502539979938</v>
      </c>
      <c r="G607" s="53" t="n">
        <f aca="true">NORMINV(RAND(),0,G$7)</f>
        <v>-0.235597666454575</v>
      </c>
      <c r="H607" s="53" t="n">
        <f aca="true">NORMINV(RAND(),0,H$7)</f>
        <v>0.427574681556028</v>
      </c>
      <c r="I607" s="53" t="n">
        <f aca="false">SUM(B607:H607)</f>
        <v>2.1151270840729</v>
      </c>
      <c r="J607" s="53" t="n">
        <f aca="true">NORMINV(RAND(),0,J$7)</f>
        <v>-0.784745336967226</v>
      </c>
      <c r="K607" s="53" t="n">
        <f aca="true">NORMINV(RAND(),0,K$7)</f>
        <v>-0.865699173118491</v>
      </c>
      <c r="L607" s="53" t="n">
        <f aca="true">NORMINV(RAND(),0,L$7)</f>
        <v>-0.314975698426498</v>
      </c>
      <c r="M607" s="53" t="n">
        <f aca="true">NORMINV(RAND(),0,M$7)</f>
        <v>-0.0495921386343479</v>
      </c>
      <c r="N607" s="53" t="n">
        <f aca="true">NORMINV(RAND(),0,N$7)</f>
        <v>0.808717227385249</v>
      </c>
      <c r="O607" s="53" t="n">
        <f aca="false">SUM(J607:N607)</f>
        <v>-1.20629511976131</v>
      </c>
    </row>
    <row r="608" customFormat="false" ht="15" hidden="false" customHeight="false" outlineLevel="0" collapsed="false">
      <c r="A608" s="2" t="n">
        <v>600</v>
      </c>
      <c r="B608" s="53" t="n">
        <f aca="true">NORMINV(RAND(),0,B$7)</f>
        <v>1.01382321162132</v>
      </c>
      <c r="C608" s="53" t="n">
        <f aca="true">NORMINV(RAND(),0,C$7)</f>
        <v>0.777067114646721</v>
      </c>
      <c r="D608" s="53" t="n">
        <f aca="true">NORMINV(RAND(),0,D$7)</f>
        <v>0.430765033732968</v>
      </c>
      <c r="E608" s="53" t="n">
        <f aca="true">NORMINV(RAND(),0,E$7)</f>
        <v>-0.07382208144143</v>
      </c>
      <c r="F608" s="53" t="n">
        <f aca="true">NORMINV(RAND(),0,F$7)</f>
        <v>0.407115206303312</v>
      </c>
      <c r="G608" s="53" t="n">
        <f aca="true">NORMINV(RAND(),0,G$7)</f>
        <v>1.39390170454885</v>
      </c>
      <c r="H608" s="53" t="n">
        <f aca="true">NORMINV(RAND(),0,H$7)</f>
        <v>-0.683104011313513</v>
      </c>
      <c r="I608" s="53" t="n">
        <f aca="false">SUM(B608:H608)</f>
        <v>3.26574617809822</v>
      </c>
      <c r="J608" s="53" t="n">
        <f aca="true">NORMINV(RAND(),0,J$7)</f>
        <v>0.691813152707708</v>
      </c>
      <c r="K608" s="53" t="n">
        <f aca="true">NORMINV(RAND(),0,K$7)</f>
        <v>-1.75436699068182</v>
      </c>
      <c r="L608" s="53" t="n">
        <f aca="true">NORMINV(RAND(),0,L$7)</f>
        <v>0.178629521574924</v>
      </c>
      <c r="M608" s="53" t="n">
        <f aca="true">NORMINV(RAND(),0,M$7)</f>
        <v>0.0888952983120992</v>
      </c>
      <c r="N608" s="53" t="n">
        <f aca="true">NORMINV(RAND(),0,N$7)</f>
        <v>0.193484938835898</v>
      </c>
      <c r="O608" s="53" t="n">
        <f aca="false">SUM(J608:N608)</f>
        <v>-0.601544079251196</v>
      </c>
    </row>
    <row r="609" customFormat="false" ht="15" hidden="false" customHeight="false" outlineLevel="0" collapsed="false">
      <c r="A609" s="2" t="n">
        <v>601</v>
      </c>
      <c r="B609" s="53" t="n">
        <f aca="true">NORMINV(RAND(),0,B$7)</f>
        <v>2.79705013419668</v>
      </c>
      <c r="C609" s="53" t="n">
        <f aca="true">NORMINV(RAND(),0,C$7)</f>
        <v>1.14000363020959</v>
      </c>
      <c r="D609" s="53" t="n">
        <f aca="true">NORMINV(RAND(),0,D$7)</f>
        <v>-1.32788363972783</v>
      </c>
      <c r="E609" s="53" t="n">
        <f aca="true">NORMINV(RAND(),0,E$7)</f>
        <v>0.288195112020127</v>
      </c>
      <c r="F609" s="53" t="n">
        <f aca="true">NORMINV(RAND(),0,F$7)</f>
        <v>0.102415407826167</v>
      </c>
      <c r="G609" s="53" t="n">
        <f aca="true">NORMINV(RAND(),0,G$7)</f>
        <v>0.379228793164346</v>
      </c>
      <c r="H609" s="53" t="n">
        <f aca="true">NORMINV(RAND(),0,H$7)</f>
        <v>-0.650553271425281</v>
      </c>
      <c r="I609" s="53" t="n">
        <f aca="false">SUM(B609:H609)</f>
        <v>2.72845616626381</v>
      </c>
      <c r="J609" s="53" t="n">
        <f aca="true">NORMINV(RAND(),0,J$7)</f>
        <v>0.485338558511851</v>
      </c>
      <c r="K609" s="53" t="n">
        <f aca="true">NORMINV(RAND(),0,K$7)</f>
        <v>0.327727670883443</v>
      </c>
      <c r="L609" s="53" t="n">
        <f aca="true">NORMINV(RAND(),0,L$7)</f>
        <v>-0.337980086936697</v>
      </c>
      <c r="M609" s="53" t="n">
        <f aca="true">NORMINV(RAND(),0,M$7)</f>
        <v>0.0840145312712937</v>
      </c>
      <c r="N609" s="53" t="n">
        <f aca="true">NORMINV(RAND(),0,N$7)</f>
        <v>0.285012499387957</v>
      </c>
      <c r="O609" s="53" t="n">
        <f aca="false">SUM(J609:N609)</f>
        <v>0.844113173117846</v>
      </c>
    </row>
    <row r="610" customFormat="false" ht="15" hidden="false" customHeight="false" outlineLevel="0" collapsed="false">
      <c r="A610" s="2" t="n">
        <v>602</v>
      </c>
      <c r="B610" s="53" t="n">
        <f aca="true">NORMINV(RAND(),0,B$7)</f>
        <v>0.341939781683264</v>
      </c>
      <c r="C610" s="53" t="n">
        <f aca="true">NORMINV(RAND(),0,C$7)</f>
        <v>2.10164975672022</v>
      </c>
      <c r="D610" s="53" t="n">
        <f aca="true">NORMINV(RAND(),0,D$7)</f>
        <v>-1.57361664285459</v>
      </c>
      <c r="E610" s="53" t="n">
        <f aca="true">NORMINV(RAND(),0,E$7)</f>
        <v>0.284722518964011</v>
      </c>
      <c r="F610" s="53" t="n">
        <f aca="true">NORMINV(RAND(),0,F$7)</f>
        <v>0.159026577304238</v>
      </c>
      <c r="G610" s="53" t="n">
        <f aca="true">NORMINV(RAND(),0,G$7)</f>
        <v>0.57824875037255</v>
      </c>
      <c r="H610" s="53" t="n">
        <f aca="true">NORMINV(RAND(),0,H$7)</f>
        <v>0.385481777472283</v>
      </c>
      <c r="I610" s="53" t="n">
        <f aca="false">SUM(B610:H610)</f>
        <v>2.27745251966197</v>
      </c>
      <c r="J610" s="53" t="n">
        <f aca="true">NORMINV(RAND(),0,J$7)</f>
        <v>-1.78409812159911</v>
      </c>
      <c r="K610" s="53" t="n">
        <f aca="true">NORMINV(RAND(),0,K$7)</f>
        <v>-0.827444597300653</v>
      </c>
      <c r="L610" s="53" t="n">
        <f aca="true">NORMINV(RAND(),0,L$7)</f>
        <v>0.108272507791365</v>
      </c>
      <c r="M610" s="53" t="n">
        <f aca="true">NORMINV(RAND(),0,M$7)</f>
        <v>-0.189557981351042</v>
      </c>
      <c r="N610" s="53" t="n">
        <f aca="true">NORMINV(RAND(),0,N$7)</f>
        <v>0.289871491691763</v>
      </c>
      <c r="O610" s="53" t="n">
        <f aca="false">SUM(J610:N610)</f>
        <v>-2.40295670076768</v>
      </c>
    </row>
    <row r="611" customFormat="false" ht="15" hidden="false" customHeight="false" outlineLevel="0" collapsed="false">
      <c r="A611" s="2" t="n">
        <v>603</v>
      </c>
      <c r="B611" s="53" t="n">
        <f aca="true">NORMINV(RAND(),0,B$7)</f>
        <v>-2.31912382128761</v>
      </c>
      <c r="C611" s="53" t="n">
        <f aca="true">NORMINV(RAND(),0,C$7)</f>
        <v>4.40718667276684</v>
      </c>
      <c r="D611" s="53" t="n">
        <f aca="true">NORMINV(RAND(),0,D$7)</f>
        <v>-1.64490270278356</v>
      </c>
      <c r="E611" s="53" t="n">
        <f aca="true">NORMINV(RAND(),0,E$7)</f>
        <v>0.0956290277135431</v>
      </c>
      <c r="F611" s="53" t="n">
        <f aca="true">NORMINV(RAND(),0,F$7)</f>
        <v>-0.0824748860233258</v>
      </c>
      <c r="G611" s="53" t="n">
        <f aca="true">NORMINV(RAND(),0,G$7)</f>
        <v>-2.27466066247236</v>
      </c>
      <c r="H611" s="53" t="n">
        <f aca="true">NORMINV(RAND(),0,H$7)</f>
        <v>0.644432059898255</v>
      </c>
      <c r="I611" s="53" t="n">
        <f aca="false">SUM(B611:H611)</f>
        <v>-1.17391431218822</v>
      </c>
      <c r="J611" s="53" t="n">
        <f aca="true">NORMINV(RAND(),0,J$7)</f>
        <v>-1.03915356266672</v>
      </c>
      <c r="K611" s="53" t="n">
        <f aca="true">NORMINV(RAND(),0,K$7)</f>
        <v>0.564285115167288</v>
      </c>
      <c r="L611" s="53" t="n">
        <f aca="true">NORMINV(RAND(),0,L$7)</f>
        <v>-0.527329782917339</v>
      </c>
      <c r="M611" s="53" t="n">
        <f aca="true">NORMINV(RAND(),0,M$7)</f>
        <v>-0.0288871986372953</v>
      </c>
      <c r="N611" s="53" t="n">
        <f aca="true">NORMINV(RAND(),0,N$7)</f>
        <v>-0.0868312809690347</v>
      </c>
      <c r="O611" s="53" t="n">
        <f aca="false">SUM(J611:N611)</f>
        <v>-1.1179167100231</v>
      </c>
    </row>
    <row r="612" customFormat="false" ht="15" hidden="false" customHeight="false" outlineLevel="0" collapsed="false">
      <c r="A612" s="2" t="n">
        <v>604</v>
      </c>
      <c r="B612" s="53" t="n">
        <f aca="true">NORMINV(RAND(),0,B$7)</f>
        <v>-0.541736240168397</v>
      </c>
      <c r="C612" s="53" t="n">
        <f aca="true">NORMINV(RAND(),0,C$7)</f>
        <v>-0.54525399819673</v>
      </c>
      <c r="D612" s="53" t="n">
        <f aca="true">NORMINV(RAND(),0,D$7)</f>
        <v>-2.73893700532107</v>
      </c>
      <c r="E612" s="53" t="n">
        <f aca="true">NORMINV(RAND(),0,E$7)</f>
        <v>0.319593538620631</v>
      </c>
      <c r="F612" s="53" t="n">
        <f aca="true">NORMINV(RAND(),0,F$7)</f>
        <v>-0.832149309382661</v>
      </c>
      <c r="G612" s="53" t="n">
        <f aca="true">NORMINV(RAND(),0,G$7)</f>
        <v>1.11030007731221</v>
      </c>
      <c r="H612" s="53" t="n">
        <f aca="true">NORMINV(RAND(),0,H$7)</f>
        <v>0.00866078452114637</v>
      </c>
      <c r="I612" s="53" t="n">
        <f aca="false">SUM(B612:H612)</f>
        <v>-3.21952215261487</v>
      </c>
      <c r="J612" s="53" t="n">
        <f aca="true">NORMINV(RAND(),0,J$7)</f>
        <v>0.371139164345739</v>
      </c>
      <c r="K612" s="53" t="n">
        <f aca="true">NORMINV(RAND(),0,K$7)</f>
        <v>-0.6081671141882</v>
      </c>
      <c r="L612" s="53" t="n">
        <f aca="true">NORMINV(RAND(),0,L$7)</f>
        <v>-0.13621109469307</v>
      </c>
      <c r="M612" s="53" t="n">
        <f aca="true">NORMINV(RAND(),0,M$7)</f>
        <v>0.270384219485561</v>
      </c>
      <c r="N612" s="53" t="n">
        <f aca="true">NORMINV(RAND(),0,N$7)</f>
        <v>-0.195890810323312</v>
      </c>
      <c r="O612" s="53" t="n">
        <f aca="false">SUM(J612:N612)</f>
        <v>-0.298745635373281</v>
      </c>
    </row>
    <row r="613" customFormat="false" ht="15" hidden="false" customHeight="false" outlineLevel="0" collapsed="false">
      <c r="A613" s="2" t="n">
        <v>605</v>
      </c>
      <c r="B613" s="53" t="n">
        <f aca="true">NORMINV(RAND(),0,B$7)</f>
        <v>-2.34438631886747</v>
      </c>
      <c r="C613" s="53" t="n">
        <f aca="true">NORMINV(RAND(),0,C$7)</f>
        <v>-0.44671605211765</v>
      </c>
      <c r="D613" s="53" t="n">
        <f aca="true">NORMINV(RAND(),0,D$7)</f>
        <v>0.656604437008137</v>
      </c>
      <c r="E613" s="53" t="n">
        <f aca="true">NORMINV(RAND(),0,E$7)</f>
        <v>-0.476841815305126</v>
      </c>
      <c r="F613" s="53" t="n">
        <f aca="true">NORMINV(RAND(),0,F$7)</f>
        <v>-0.221119358350955</v>
      </c>
      <c r="G613" s="53" t="n">
        <f aca="true">NORMINV(RAND(),0,G$7)</f>
        <v>2.18709735853189</v>
      </c>
      <c r="H613" s="53" t="n">
        <f aca="true">NORMINV(RAND(),0,H$7)</f>
        <v>0.225732003028465</v>
      </c>
      <c r="I613" s="53" t="n">
        <f aca="false">SUM(B613:H613)</f>
        <v>-0.419629746072708</v>
      </c>
      <c r="J613" s="53" t="n">
        <f aca="true">NORMINV(RAND(),0,J$7)</f>
        <v>1.54491019125415</v>
      </c>
      <c r="K613" s="53" t="n">
        <f aca="true">NORMINV(RAND(),0,K$7)</f>
        <v>-0.0423782291443023</v>
      </c>
      <c r="L613" s="53" t="n">
        <f aca="true">NORMINV(RAND(),0,L$7)</f>
        <v>-0.451390668241474</v>
      </c>
      <c r="M613" s="53" t="n">
        <f aca="true">NORMINV(RAND(),0,M$7)</f>
        <v>-0.0207345047002508</v>
      </c>
      <c r="N613" s="53" t="n">
        <f aca="true">NORMINV(RAND(),0,N$7)</f>
        <v>0.011280394102077</v>
      </c>
      <c r="O613" s="53" t="n">
        <f aca="false">SUM(J613:N613)</f>
        <v>1.0416871832702</v>
      </c>
    </row>
    <row r="614" customFormat="false" ht="15" hidden="false" customHeight="false" outlineLevel="0" collapsed="false">
      <c r="A614" s="2" t="n">
        <v>606</v>
      </c>
      <c r="B614" s="53" t="n">
        <f aca="true">NORMINV(RAND(),0,B$7)</f>
        <v>-0.243325905321093</v>
      </c>
      <c r="C614" s="53" t="n">
        <f aca="true">NORMINV(RAND(),0,C$7)</f>
        <v>2.35506509539905</v>
      </c>
      <c r="D614" s="53" t="n">
        <f aca="true">NORMINV(RAND(),0,D$7)</f>
        <v>1.3777863001647</v>
      </c>
      <c r="E614" s="53" t="n">
        <f aca="true">NORMINV(RAND(),0,E$7)</f>
        <v>0.169091651943802</v>
      </c>
      <c r="F614" s="53" t="n">
        <f aca="true">NORMINV(RAND(),0,F$7)</f>
        <v>0.146823231297108</v>
      </c>
      <c r="G614" s="53" t="n">
        <f aca="true">NORMINV(RAND(),0,G$7)</f>
        <v>-0.606862781412912</v>
      </c>
      <c r="H614" s="53" t="n">
        <f aca="true">NORMINV(RAND(),0,H$7)</f>
        <v>0.133445463159485</v>
      </c>
      <c r="I614" s="53" t="n">
        <f aca="false">SUM(B614:H614)</f>
        <v>3.33202305523014</v>
      </c>
      <c r="J614" s="53" t="n">
        <f aca="true">NORMINV(RAND(),0,J$7)</f>
        <v>-1.2591587992</v>
      </c>
      <c r="K614" s="53" t="n">
        <f aca="true">NORMINV(RAND(),0,K$7)</f>
        <v>-0.469214359208574</v>
      </c>
      <c r="L614" s="53" t="n">
        <f aca="true">NORMINV(RAND(),0,L$7)</f>
        <v>0.380887370010051</v>
      </c>
      <c r="M614" s="53" t="n">
        <f aca="true">NORMINV(RAND(),0,M$7)</f>
        <v>-0.113096904441726</v>
      </c>
      <c r="N614" s="53" t="n">
        <f aca="true">NORMINV(RAND(),0,N$7)</f>
        <v>0.177028279114505</v>
      </c>
      <c r="O614" s="53" t="n">
        <f aca="false">SUM(J614:N614)</f>
        <v>-1.28355441372575</v>
      </c>
    </row>
    <row r="615" customFormat="false" ht="15" hidden="false" customHeight="false" outlineLevel="0" collapsed="false">
      <c r="A615" s="2" t="n">
        <v>607</v>
      </c>
      <c r="B615" s="53" t="n">
        <f aca="true">NORMINV(RAND(),0,B$7)</f>
        <v>1.65516264714942</v>
      </c>
      <c r="C615" s="53" t="n">
        <f aca="true">NORMINV(RAND(),0,C$7)</f>
        <v>-0.506036878376501</v>
      </c>
      <c r="D615" s="53" t="n">
        <f aca="true">NORMINV(RAND(),0,D$7)</f>
        <v>-0.402365397675369</v>
      </c>
      <c r="E615" s="53" t="n">
        <f aca="true">NORMINV(RAND(),0,E$7)</f>
        <v>-0.474893765464871</v>
      </c>
      <c r="F615" s="53" t="n">
        <f aca="true">NORMINV(RAND(),0,F$7)</f>
        <v>-0.0376148610597681</v>
      </c>
      <c r="G615" s="53" t="n">
        <f aca="true">NORMINV(RAND(),0,G$7)</f>
        <v>-0.916853537785393</v>
      </c>
      <c r="H615" s="53" t="n">
        <f aca="true">NORMINV(RAND(),0,H$7)</f>
        <v>-0.185788012708857</v>
      </c>
      <c r="I615" s="53" t="n">
        <f aca="false">SUM(B615:H615)</f>
        <v>-0.868389805921343</v>
      </c>
      <c r="J615" s="53" t="n">
        <f aca="true">NORMINV(RAND(),0,J$7)</f>
        <v>5.37336414833751</v>
      </c>
      <c r="K615" s="53" t="n">
        <f aca="true">NORMINV(RAND(),0,K$7)</f>
        <v>-0.5550909880231</v>
      </c>
      <c r="L615" s="53" t="n">
        <f aca="true">NORMINV(RAND(),0,L$7)</f>
        <v>0.0910559519041322</v>
      </c>
      <c r="M615" s="53" t="n">
        <f aca="true">NORMINV(RAND(),0,M$7)</f>
        <v>0.423181896046294</v>
      </c>
      <c r="N615" s="53" t="n">
        <f aca="true">NORMINV(RAND(),0,N$7)</f>
        <v>-0.24987230683577</v>
      </c>
      <c r="O615" s="53" t="n">
        <f aca="false">SUM(J615:N615)</f>
        <v>5.08263870142907</v>
      </c>
    </row>
    <row r="616" customFormat="false" ht="15" hidden="false" customHeight="false" outlineLevel="0" collapsed="false">
      <c r="A616" s="2" t="n">
        <v>608</v>
      </c>
      <c r="B616" s="53" t="n">
        <f aca="true">NORMINV(RAND(),0,B$7)</f>
        <v>0.787588769741497</v>
      </c>
      <c r="C616" s="53" t="n">
        <f aca="true">NORMINV(RAND(),0,C$7)</f>
        <v>-1.37870055340281</v>
      </c>
      <c r="D616" s="53" t="n">
        <f aca="true">NORMINV(RAND(),0,D$7)</f>
        <v>2.79263087282499</v>
      </c>
      <c r="E616" s="53" t="n">
        <f aca="true">NORMINV(RAND(),0,E$7)</f>
        <v>-0.0976318630975233</v>
      </c>
      <c r="F616" s="53" t="n">
        <f aca="true">NORMINV(RAND(),0,F$7)</f>
        <v>0.223151378604947</v>
      </c>
      <c r="G616" s="53" t="n">
        <f aca="true">NORMINV(RAND(),0,G$7)</f>
        <v>1.08861621605385</v>
      </c>
      <c r="H616" s="53" t="n">
        <f aca="true">NORMINV(RAND(),0,H$7)</f>
        <v>0.201424782261415</v>
      </c>
      <c r="I616" s="53" t="n">
        <f aca="false">SUM(B616:H616)</f>
        <v>3.61707960298637</v>
      </c>
      <c r="J616" s="53" t="n">
        <f aca="true">NORMINV(RAND(),0,J$7)</f>
        <v>-3.41789104193498</v>
      </c>
      <c r="K616" s="53" t="n">
        <f aca="true">NORMINV(RAND(),0,K$7)</f>
        <v>1.05651603676211</v>
      </c>
      <c r="L616" s="53" t="n">
        <f aca="true">NORMINV(RAND(),0,L$7)</f>
        <v>-0.205773637807444</v>
      </c>
      <c r="M616" s="53" t="n">
        <f aca="true">NORMINV(RAND(),0,M$7)</f>
        <v>0.048406327736722</v>
      </c>
      <c r="N616" s="53" t="n">
        <f aca="true">NORMINV(RAND(),0,N$7)</f>
        <v>-0.11772666633562</v>
      </c>
      <c r="O616" s="53" t="n">
        <f aca="false">SUM(J616:N616)</f>
        <v>-2.6364689815792</v>
      </c>
    </row>
    <row r="617" customFormat="false" ht="15" hidden="false" customHeight="false" outlineLevel="0" collapsed="false">
      <c r="A617" s="2" t="n">
        <v>609</v>
      </c>
      <c r="B617" s="53" t="n">
        <f aca="true">NORMINV(RAND(),0,B$7)</f>
        <v>-0.024331250151003</v>
      </c>
      <c r="C617" s="53" t="n">
        <f aca="true">NORMINV(RAND(),0,C$7)</f>
        <v>1.46423032398751</v>
      </c>
      <c r="D617" s="53" t="n">
        <f aca="true">NORMINV(RAND(),0,D$7)</f>
        <v>-0.643414718066389</v>
      </c>
      <c r="E617" s="53" t="n">
        <f aca="true">NORMINV(RAND(),0,E$7)</f>
        <v>0.298861993379791</v>
      </c>
      <c r="F617" s="53" t="n">
        <f aca="true">NORMINV(RAND(),0,F$7)</f>
        <v>0.0537948906133207</v>
      </c>
      <c r="G617" s="53" t="n">
        <f aca="true">NORMINV(RAND(),0,G$7)</f>
        <v>-1.10044102749121</v>
      </c>
      <c r="H617" s="53" t="n">
        <f aca="true">NORMINV(RAND(),0,H$7)</f>
        <v>0.443419537469267</v>
      </c>
      <c r="I617" s="53" t="n">
        <f aca="false">SUM(B617:H617)</f>
        <v>0.492119749741285</v>
      </c>
      <c r="J617" s="53" t="n">
        <f aca="true">NORMINV(RAND(),0,J$7)</f>
        <v>1.06965894284291</v>
      </c>
      <c r="K617" s="53" t="n">
        <f aca="true">NORMINV(RAND(),0,K$7)</f>
        <v>-1.42814887425849</v>
      </c>
      <c r="L617" s="53" t="n">
        <f aca="true">NORMINV(RAND(),0,L$7)</f>
        <v>-0.183394025864714</v>
      </c>
      <c r="M617" s="53" t="n">
        <f aca="true">NORMINV(RAND(),0,M$7)</f>
        <v>0.413986628092338</v>
      </c>
      <c r="N617" s="53" t="n">
        <f aca="true">NORMINV(RAND(),0,N$7)</f>
        <v>-0.193340232147412</v>
      </c>
      <c r="O617" s="53" t="n">
        <f aca="false">SUM(J617:N617)</f>
        <v>-0.321237561335367</v>
      </c>
    </row>
    <row r="618" customFormat="false" ht="15" hidden="false" customHeight="false" outlineLevel="0" collapsed="false">
      <c r="A618" s="2" t="n">
        <v>610</v>
      </c>
      <c r="B618" s="53" t="n">
        <f aca="true">NORMINV(RAND(),0,B$7)</f>
        <v>-1.13608814457448</v>
      </c>
      <c r="C618" s="53" t="n">
        <f aca="true">NORMINV(RAND(),0,C$7)</f>
        <v>-1.70932344082055</v>
      </c>
      <c r="D618" s="53" t="n">
        <f aca="true">NORMINV(RAND(),0,D$7)</f>
        <v>-1.837964781523</v>
      </c>
      <c r="E618" s="53" t="n">
        <f aca="true">NORMINV(RAND(),0,E$7)</f>
        <v>0.546722619866724</v>
      </c>
      <c r="F618" s="53" t="n">
        <f aca="true">NORMINV(RAND(),0,F$7)</f>
        <v>0.146722414075585</v>
      </c>
      <c r="G618" s="53" t="n">
        <f aca="true">NORMINV(RAND(),0,G$7)</f>
        <v>-1.67822306156282</v>
      </c>
      <c r="H618" s="53" t="n">
        <f aca="true">NORMINV(RAND(),0,H$7)</f>
        <v>0.359497136138858</v>
      </c>
      <c r="I618" s="53" t="n">
        <f aca="false">SUM(B618:H618)</f>
        <v>-5.30865725839968</v>
      </c>
      <c r="J618" s="53" t="n">
        <f aca="true">NORMINV(RAND(),0,J$7)</f>
        <v>-0.891714489168341</v>
      </c>
      <c r="K618" s="53" t="n">
        <f aca="true">NORMINV(RAND(),0,K$7)</f>
        <v>-0.723554197535126</v>
      </c>
      <c r="L618" s="53" t="n">
        <f aca="true">NORMINV(RAND(),0,L$7)</f>
        <v>-0.454301848435658</v>
      </c>
      <c r="M618" s="53" t="n">
        <f aca="true">NORMINV(RAND(),0,M$7)</f>
        <v>0.248360618939933</v>
      </c>
      <c r="N618" s="53" t="n">
        <f aca="true">NORMINV(RAND(),0,N$7)</f>
        <v>-0.411691251831858</v>
      </c>
      <c r="O618" s="53" t="n">
        <f aca="false">SUM(J618:N618)</f>
        <v>-2.23290116803105</v>
      </c>
    </row>
    <row r="619" customFormat="false" ht="15" hidden="false" customHeight="false" outlineLevel="0" collapsed="false">
      <c r="A619" s="2" t="n">
        <v>611</v>
      </c>
      <c r="B619" s="53" t="n">
        <f aca="true">NORMINV(RAND(),0,B$7)</f>
        <v>0.749322284164156</v>
      </c>
      <c r="C619" s="53" t="n">
        <f aca="true">NORMINV(RAND(),0,C$7)</f>
        <v>1.24921863840975</v>
      </c>
      <c r="D619" s="53" t="n">
        <f aca="true">NORMINV(RAND(),0,D$7)</f>
        <v>0.299677672050191</v>
      </c>
      <c r="E619" s="53" t="n">
        <f aca="true">NORMINV(RAND(),0,E$7)</f>
        <v>0.462149085960465</v>
      </c>
      <c r="F619" s="53" t="n">
        <f aca="true">NORMINV(RAND(),0,F$7)</f>
        <v>-0.29883757322482</v>
      </c>
      <c r="G619" s="53" t="n">
        <f aca="true">NORMINV(RAND(),0,G$7)</f>
        <v>2.0499735836073</v>
      </c>
      <c r="H619" s="53" t="n">
        <f aca="true">NORMINV(RAND(),0,H$7)</f>
        <v>-0.300171660050406</v>
      </c>
      <c r="I619" s="53" t="n">
        <f aca="false">SUM(B619:H619)</f>
        <v>4.21133203091663</v>
      </c>
      <c r="J619" s="53" t="n">
        <f aca="true">NORMINV(RAND(),0,J$7)</f>
        <v>4.24341986787304</v>
      </c>
      <c r="K619" s="53" t="n">
        <f aca="true">NORMINV(RAND(),0,K$7)</f>
        <v>0.632502329965511</v>
      </c>
      <c r="L619" s="53" t="n">
        <f aca="true">NORMINV(RAND(),0,L$7)</f>
        <v>-0.670007055240878</v>
      </c>
      <c r="M619" s="53" t="n">
        <f aca="true">NORMINV(RAND(),0,M$7)</f>
        <v>-0.0500718240468992</v>
      </c>
      <c r="N619" s="53" t="n">
        <f aca="true">NORMINV(RAND(),0,N$7)</f>
        <v>-0.738355879281676</v>
      </c>
      <c r="O619" s="53" t="n">
        <f aca="false">SUM(J619:N619)</f>
        <v>3.4174874392691</v>
      </c>
    </row>
    <row r="620" customFormat="false" ht="15" hidden="false" customHeight="false" outlineLevel="0" collapsed="false">
      <c r="A620" s="2" t="n">
        <v>612</v>
      </c>
      <c r="B620" s="53" t="n">
        <f aca="true">NORMINV(RAND(),0,B$7)</f>
        <v>-1.90138924819605</v>
      </c>
      <c r="C620" s="53" t="n">
        <f aca="true">NORMINV(RAND(),0,C$7)</f>
        <v>1.72038416300561</v>
      </c>
      <c r="D620" s="53" t="n">
        <f aca="true">NORMINV(RAND(),0,D$7)</f>
        <v>2.65884590286527</v>
      </c>
      <c r="E620" s="53" t="n">
        <f aca="true">NORMINV(RAND(),0,E$7)</f>
        <v>0.459023800786951</v>
      </c>
      <c r="F620" s="53" t="n">
        <f aca="true">NORMINV(RAND(),0,F$7)</f>
        <v>0.126228551043342</v>
      </c>
      <c r="G620" s="53" t="n">
        <f aca="true">NORMINV(RAND(),0,G$7)</f>
        <v>0.913466445723908</v>
      </c>
      <c r="H620" s="53" t="n">
        <f aca="true">NORMINV(RAND(),0,H$7)</f>
        <v>0.903326377477912</v>
      </c>
      <c r="I620" s="53" t="n">
        <f aca="false">SUM(B620:H620)</f>
        <v>4.87988599270695</v>
      </c>
      <c r="J620" s="53" t="n">
        <f aca="true">NORMINV(RAND(),0,J$7)</f>
        <v>0.971045396757342</v>
      </c>
      <c r="K620" s="53" t="n">
        <f aca="true">NORMINV(RAND(),0,K$7)</f>
        <v>-0.357839699495661</v>
      </c>
      <c r="L620" s="53" t="n">
        <f aca="true">NORMINV(RAND(),0,L$7)</f>
        <v>0.888263980200694</v>
      </c>
      <c r="M620" s="53" t="n">
        <f aca="true">NORMINV(RAND(),0,M$7)</f>
        <v>0.0511719741349622</v>
      </c>
      <c r="N620" s="53" t="n">
        <f aca="true">NORMINV(RAND(),0,N$7)</f>
        <v>-0.215189740198403</v>
      </c>
      <c r="O620" s="53" t="n">
        <f aca="false">SUM(J620:N620)</f>
        <v>1.33745191139893</v>
      </c>
    </row>
    <row r="621" customFormat="false" ht="15" hidden="false" customHeight="false" outlineLevel="0" collapsed="false">
      <c r="A621" s="2" t="n">
        <v>613</v>
      </c>
      <c r="B621" s="53" t="n">
        <f aca="true">NORMINV(RAND(),0,B$7)</f>
        <v>-1.28038997100939</v>
      </c>
      <c r="C621" s="53" t="n">
        <f aca="true">NORMINV(RAND(),0,C$7)</f>
        <v>2.08422085917523</v>
      </c>
      <c r="D621" s="53" t="n">
        <f aca="true">NORMINV(RAND(),0,D$7)</f>
        <v>2.01181568777494</v>
      </c>
      <c r="E621" s="53" t="n">
        <f aca="true">NORMINV(RAND(),0,E$7)</f>
        <v>0.220165830701339</v>
      </c>
      <c r="F621" s="53" t="n">
        <f aca="true">NORMINV(RAND(),0,F$7)</f>
        <v>-0.00374891847318041</v>
      </c>
      <c r="G621" s="53" t="n">
        <f aca="true">NORMINV(RAND(),0,G$7)</f>
        <v>-1.98684023225302</v>
      </c>
      <c r="H621" s="53" t="n">
        <f aca="true">NORMINV(RAND(),0,H$7)</f>
        <v>0.139365095187777</v>
      </c>
      <c r="I621" s="53" t="n">
        <f aca="false">SUM(B621:H621)</f>
        <v>1.18458835110371</v>
      </c>
      <c r="J621" s="53" t="n">
        <f aca="true">NORMINV(RAND(),0,J$7)</f>
        <v>-3.72888505759159</v>
      </c>
      <c r="K621" s="53" t="n">
        <f aca="true">NORMINV(RAND(),0,K$7)</f>
        <v>0.118759000978168</v>
      </c>
      <c r="L621" s="53" t="n">
        <f aca="true">NORMINV(RAND(),0,L$7)</f>
        <v>0.0932065704841061</v>
      </c>
      <c r="M621" s="53" t="n">
        <f aca="true">NORMINV(RAND(),0,M$7)</f>
        <v>-0.0206591788238273</v>
      </c>
      <c r="N621" s="53" t="n">
        <f aca="true">NORMINV(RAND(),0,N$7)</f>
        <v>-0.171761123666729</v>
      </c>
      <c r="O621" s="53" t="n">
        <f aca="false">SUM(J621:N621)</f>
        <v>-3.70933978861987</v>
      </c>
    </row>
    <row r="622" customFormat="false" ht="15" hidden="false" customHeight="false" outlineLevel="0" collapsed="false">
      <c r="A622" s="2" t="n">
        <v>614</v>
      </c>
      <c r="B622" s="53" t="n">
        <f aca="true">NORMINV(RAND(),0,B$7)</f>
        <v>0.786012033404804</v>
      </c>
      <c r="C622" s="53" t="n">
        <f aca="true">NORMINV(RAND(),0,C$7)</f>
        <v>0.725257691672411</v>
      </c>
      <c r="D622" s="53" t="n">
        <f aca="true">NORMINV(RAND(),0,D$7)</f>
        <v>0.613374997279724</v>
      </c>
      <c r="E622" s="53" t="n">
        <f aca="true">NORMINV(RAND(),0,E$7)</f>
        <v>0.340464068608564</v>
      </c>
      <c r="F622" s="53" t="n">
        <f aca="true">NORMINV(RAND(),0,F$7)</f>
        <v>-0.312807868524985</v>
      </c>
      <c r="G622" s="53" t="n">
        <f aca="true">NORMINV(RAND(),0,G$7)</f>
        <v>0.307215951202137</v>
      </c>
      <c r="H622" s="53" t="n">
        <f aca="true">NORMINV(RAND(),0,H$7)</f>
        <v>-0.1381813280842</v>
      </c>
      <c r="I622" s="53" t="n">
        <f aca="false">SUM(B622:H622)</f>
        <v>2.32133554555845</v>
      </c>
      <c r="J622" s="53" t="n">
        <f aca="true">NORMINV(RAND(),0,J$7)</f>
        <v>-1.95918657116354</v>
      </c>
      <c r="K622" s="53" t="n">
        <f aca="true">NORMINV(RAND(),0,K$7)</f>
        <v>-0.476111303620127</v>
      </c>
      <c r="L622" s="53" t="n">
        <f aca="true">NORMINV(RAND(),0,L$7)</f>
        <v>-0.351952790739038</v>
      </c>
      <c r="M622" s="53" t="n">
        <f aca="true">NORMINV(RAND(),0,M$7)</f>
        <v>-0.174106427321494</v>
      </c>
      <c r="N622" s="53" t="n">
        <f aca="true">NORMINV(RAND(),0,N$7)</f>
        <v>0.117252668134142</v>
      </c>
      <c r="O622" s="53" t="n">
        <f aca="false">SUM(J622:N622)</f>
        <v>-2.84410442471005</v>
      </c>
    </row>
    <row r="623" customFormat="false" ht="15" hidden="false" customHeight="false" outlineLevel="0" collapsed="false">
      <c r="A623" s="2" t="n">
        <v>615</v>
      </c>
      <c r="B623" s="53" t="n">
        <f aca="true">NORMINV(RAND(),0,B$7)</f>
        <v>0.506862530144639</v>
      </c>
      <c r="C623" s="53" t="n">
        <f aca="true">NORMINV(RAND(),0,C$7)</f>
        <v>-2.15156757552737</v>
      </c>
      <c r="D623" s="53" t="n">
        <f aca="true">NORMINV(RAND(),0,D$7)</f>
        <v>2.2248772598323</v>
      </c>
      <c r="E623" s="53" t="n">
        <f aca="true">NORMINV(RAND(),0,E$7)</f>
        <v>0.26007584202857</v>
      </c>
      <c r="F623" s="53" t="n">
        <f aca="true">NORMINV(RAND(),0,F$7)</f>
        <v>0.209817774764979</v>
      </c>
      <c r="G623" s="53" t="n">
        <f aca="true">NORMINV(RAND(),0,G$7)</f>
        <v>1.70721326001686</v>
      </c>
      <c r="H623" s="53" t="n">
        <f aca="true">NORMINV(RAND(),0,H$7)</f>
        <v>-0.0993574215221045</v>
      </c>
      <c r="I623" s="53" t="n">
        <f aca="false">SUM(B623:H623)</f>
        <v>2.65792166973788</v>
      </c>
      <c r="J623" s="53" t="n">
        <f aca="true">NORMINV(RAND(),0,J$7)</f>
        <v>0.0661717298737619</v>
      </c>
      <c r="K623" s="53" t="n">
        <f aca="true">NORMINV(RAND(),0,K$7)</f>
        <v>-0.388330689077398</v>
      </c>
      <c r="L623" s="53" t="n">
        <f aca="true">NORMINV(RAND(),0,L$7)</f>
        <v>-0.160867197466045</v>
      </c>
      <c r="M623" s="53" t="n">
        <f aca="true">NORMINV(RAND(),0,M$7)</f>
        <v>0.104627479949429</v>
      </c>
      <c r="N623" s="53" t="n">
        <f aca="true">NORMINV(RAND(),0,N$7)</f>
        <v>0.182451865096662</v>
      </c>
      <c r="O623" s="53" t="n">
        <f aca="false">SUM(J623:N623)</f>
        <v>-0.195946811623591</v>
      </c>
    </row>
    <row r="624" customFormat="false" ht="15" hidden="false" customHeight="false" outlineLevel="0" collapsed="false">
      <c r="A624" s="2" t="n">
        <v>616</v>
      </c>
      <c r="B624" s="53" t="n">
        <f aca="true">NORMINV(RAND(),0,B$7)</f>
        <v>0.19615524075681</v>
      </c>
      <c r="C624" s="53" t="n">
        <f aca="true">NORMINV(RAND(),0,C$7)</f>
        <v>1.83713978258942</v>
      </c>
      <c r="D624" s="53" t="n">
        <f aca="true">NORMINV(RAND(),0,D$7)</f>
        <v>0.528646405507757</v>
      </c>
      <c r="E624" s="53" t="n">
        <f aca="true">NORMINV(RAND(),0,E$7)</f>
        <v>0.159339267838647</v>
      </c>
      <c r="F624" s="53" t="n">
        <f aca="true">NORMINV(RAND(),0,F$7)</f>
        <v>-0.225194857532711</v>
      </c>
      <c r="G624" s="53" t="n">
        <f aca="true">NORMINV(RAND(),0,G$7)</f>
        <v>-0.461360087937068</v>
      </c>
      <c r="H624" s="53" t="n">
        <f aca="true">NORMINV(RAND(),0,H$7)</f>
        <v>0.467040196474307</v>
      </c>
      <c r="I624" s="53" t="n">
        <f aca="false">SUM(B624:H624)</f>
        <v>2.50176594769716</v>
      </c>
      <c r="J624" s="53" t="n">
        <f aca="true">NORMINV(RAND(),0,J$7)</f>
        <v>0.509535224755944</v>
      </c>
      <c r="K624" s="53" t="n">
        <f aca="true">NORMINV(RAND(),0,K$7)</f>
        <v>0.65243736872296</v>
      </c>
      <c r="L624" s="53" t="n">
        <f aca="true">NORMINV(RAND(),0,L$7)</f>
        <v>0.0640643873208864</v>
      </c>
      <c r="M624" s="53" t="n">
        <f aca="true">NORMINV(RAND(),0,M$7)</f>
        <v>-0.0813550227745259</v>
      </c>
      <c r="N624" s="53" t="n">
        <f aca="true">NORMINV(RAND(),0,N$7)</f>
        <v>0.356458019479178</v>
      </c>
      <c r="O624" s="53" t="n">
        <f aca="false">SUM(J624:N624)</f>
        <v>1.50113997750444</v>
      </c>
    </row>
    <row r="625" customFormat="false" ht="15" hidden="false" customHeight="false" outlineLevel="0" collapsed="false">
      <c r="A625" s="2" t="n">
        <v>617</v>
      </c>
      <c r="B625" s="53" t="n">
        <f aca="true">NORMINV(RAND(),0,B$7)</f>
        <v>-0.0504715278887996</v>
      </c>
      <c r="C625" s="53" t="n">
        <f aca="true">NORMINV(RAND(),0,C$7)</f>
        <v>-0.254136003795892</v>
      </c>
      <c r="D625" s="53" t="n">
        <f aca="true">NORMINV(RAND(),0,D$7)</f>
        <v>0.368372906772867</v>
      </c>
      <c r="E625" s="53" t="n">
        <f aca="true">NORMINV(RAND(),0,E$7)</f>
        <v>0.0200988182918447</v>
      </c>
      <c r="F625" s="53" t="n">
        <f aca="true">NORMINV(RAND(),0,F$7)</f>
        <v>-0.534246557409514</v>
      </c>
      <c r="G625" s="53" t="n">
        <f aca="true">NORMINV(RAND(),0,G$7)</f>
        <v>2.29609796658334</v>
      </c>
      <c r="H625" s="53" t="n">
        <f aca="true">NORMINV(RAND(),0,H$7)</f>
        <v>-0.262035431641015</v>
      </c>
      <c r="I625" s="53" t="n">
        <f aca="false">SUM(B625:H625)</f>
        <v>1.58368017091283</v>
      </c>
      <c r="J625" s="53" t="n">
        <f aca="true">NORMINV(RAND(),0,J$7)</f>
        <v>0.622088828532963</v>
      </c>
      <c r="K625" s="53" t="n">
        <f aca="true">NORMINV(RAND(),0,K$7)</f>
        <v>0.129628268838538</v>
      </c>
      <c r="L625" s="53" t="n">
        <f aca="true">NORMINV(RAND(),0,L$7)</f>
        <v>-0.0131879673953616</v>
      </c>
      <c r="M625" s="53" t="n">
        <f aca="true">NORMINV(RAND(),0,M$7)</f>
        <v>-0.0366798556260627</v>
      </c>
      <c r="N625" s="53" t="n">
        <f aca="true">NORMINV(RAND(),0,N$7)</f>
        <v>0.149863065558917</v>
      </c>
      <c r="O625" s="53" t="n">
        <f aca="false">SUM(J625:N625)</f>
        <v>0.851712339908994</v>
      </c>
    </row>
    <row r="626" customFormat="false" ht="15" hidden="false" customHeight="false" outlineLevel="0" collapsed="false">
      <c r="A626" s="2" t="n">
        <v>618</v>
      </c>
      <c r="B626" s="53" t="n">
        <f aca="true">NORMINV(RAND(),0,B$7)</f>
        <v>2.80278159884968</v>
      </c>
      <c r="C626" s="53" t="n">
        <f aca="true">NORMINV(RAND(),0,C$7)</f>
        <v>-1.96081008198242</v>
      </c>
      <c r="D626" s="53" t="n">
        <f aca="true">NORMINV(RAND(),0,D$7)</f>
        <v>0.36207322247479</v>
      </c>
      <c r="E626" s="53" t="n">
        <f aca="true">NORMINV(RAND(),0,E$7)</f>
        <v>0.0919332548313922</v>
      </c>
      <c r="F626" s="53" t="n">
        <f aca="true">NORMINV(RAND(),0,F$7)</f>
        <v>-0.0643666817033438</v>
      </c>
      <c r="G626" s="53" t="n">
        <f aca="true">NORMINV(RAND(),0,G$7)</f>
        <v>1.23720661077738</v>
      </c>
      <c r="H626" s="53" t="n">
        <f aca="true">NORMINV(RAND(),0,H$7)</f>
        <v>-0.232627413768059</v>
      </c>
      <c r="I626" s="53" t="n">
        <f aca="false">SUM(B626:H626)</f>
        <v>2.23619050947942</v>
      </c>
      <c r="J626" s="53" t="n">
        <f aca="true">NORMINV(RAND(),0,J$7)</f>
        <v>-2.13118249033958</v>
      </c>
      <c r="K626" s="53" t="n">
        <f aca="true">NORMINV(RAND(),0,K$7)</f>
        <v>-1.30481152672278</v>
      </c>
      <c r="L626" s="53" t="n">
        <f aca="true">NORMINV(RAND(),0,L$7)</f>
        <v>-0.496552315865956</v>
      </c>
      <c r="M626" s="53" t="n">
        <f aca="true">NORMINV(RAND(),0,M$7)</f>
        <v>-0.275150778767977</v>
      </c>
      <c r="N626" s="53" t="n">
        <f aca="true">NORMINV(RAND(),0,N$7)</f>
        <v>0.729737168538364</v>
      </c>
      <c r="O626" s="53" t="n">
        <f aca="false">SUM(J626:N626)</f>
        <v>-3.47795994315792</v>
      </c>
    </row>
    <row r="627" customFormat="false" ht="15" hidden="false" customHeight="false" outlineLevel="0" collapsed="false">
      <c r="A627" s="2" t="n">
        <v>619</v>
      </c>
      <c r="B627" s="53" t="n">
        <f aca="true">NORMINV(RAND(),0,B$7)</f>
        <v>2.09602922264688</v>
      </c>
      <c r="C627" s="53" t="n">
        <f aca="true">NORMINV(RAND(),0,C$7)</f>
        <v>0.711175307998188</v>
      </c>
      <c r="D627" s="53" t="n">
        <f aca="true">NORMINV(RAND(),0,D$7)</f>
        <v>-0.981287313720565</v>
      </c>
      <c r="E627" s="53" t="n">
        <f aca="true">NORMINV(RAND(),0,E$7)</f>
        <v>-0.276974856086685</v>
      </c>
      <c r="F627" s="53" t="n">
        <f aca="true">NORMINV(RAND(),0,F$7)</f>
        <v>0.0674568681750197</v>
      </c>
      <c r="G627" s="53" t="n">
        <f aca="true">NORMINV(RAND(),0,G$7)</f>
        <v>0.481054570716141</v>
      </c>
      <c r="H627" s="53" t="n">
        <f aca="true">NORMINV(RAND(),0,H$7)</f>
        <v>-0.0804329089188983</v>
      </c>
      <c r="I627" s="53" t="n">
        <f aca="false">SUM(B627:H627)</f>
        <v>2.01702089081008</v>
      </c>
      <c r="J627" s="53" t="n">
        <f aca="true">NORMINV(RAND(),0,J$7)</f>
        <v>0.993890397804864</v>
      </c>
      <c r="K627" s="53" t="n">
        <f aca="true">NORMINV(RAND(),0,K$7)</f>
        <v>0.851850848501895</v>
      </c>
      <c r="L627" s="53" t="n">
        <f aca="true">NORMINV(RAND(),0,L$7)</f>
        <v>-0.131566349967347</v>
      </c>
      <c r="M627" s="53" t="n">
        <f aca="true">NORMINV(RAND(),0,M$7)</f>
        <v>0.0430918766349737</v>
      </c>
      <c r="N627" s="53" t="n">
        <f aca="true">NORMINV(RAND(),0,N$7)</f>
        <v>0.155881424531313</v>
      </c>
      <c r="O627" s="53" t="n">
        <f aca="false">SUM(J627:N627)</f>
        <v>1.9131481975057</v>
      </c>
    </row>
    <row r="628" customFormat="false" ht="15" hidden="false" customHeight="false" outlineLevel="0" collapsed="false">
      <c r="A628" s="2" t="n">
        <v>620</v>
      </c>
      <c r="B628" s="53" t="n">
        <f aca="true">NORMINV(RAND(),0,B$7)</f>
        <v>-2.08338683305781</v>
      </c>
      <c r="C628" s="53" t="n">
        <f aca="true">NORMINV(RAND(),0,C$7)</f>
        <v>-0.731925163641152</v>
      </c>
      <c r="D628" s="53" t="n">
        <f aca="true">NORMINV(RAND(),0,D$7)</f>
        <v>2.71281114727642</v>
      </c>
      <c r="E628" s="53" t="n">
        <f aca="true">NORMINV(RAND(),0,E$7)</f>
        <v>-0.166958564411369</v>
      </c>
      <c r="F628" s="53" t="n">
        <f aca="true">NORMINV(RAND(),0,F$7)</f>
        <v>-0.18178958515425</v>
      </c>
      <c r="G628" s="53" t="n">
        <f aca="true">NORMINV(RAND(),0,G$7)</f>
        <v>1.04209007605671</v>
      </c>
      <c r="H628" s="53" t="n">
        <f aca="true">NORMINV(RAND(),0,H$7)</f>
        <v>0.104879764167183</v>
      </c>
      <c r="I628" s="53" t="n">
        <f aca="false">SUM(B628:H628)</f>
        <v>0.695720841235728</v>
      </c>
      <c r="J628" s="53" t="n">
        <f aca="true">NORMINV(RAND(),0,J$7)</f>
        <v>-0.156429613781181</v>
      </c>
      <c r="K628" s="53" t="n">
        <f aca="true">NORMINV(RAND(),0,K$7)</f>
        <v>-0.700828774193083</v>
      </c>
      <c r="L628" s="53" t="n">
        <f aca="true">NORMINV(RAND(),0,L$7)</f>
        <v>-0.195941826058792</v>
      </c>
      <c r="M628" s="53" t="n">
        <f aca="true">NORMINV(RAND(),0,M$7)</f>
        <v>-0.112657976728707</v>
      </c>
      <c r="N628" s="53" t="n">
        <f aca="true">NORMINV(RAND(),0,N$7)</f>
        <v>-0.167859377430097</v>
      </c>
      <c r="O628" s="53" t="n">
        <f aca="false">SUM(J628:N628)</f>
        <v>-1.33371756819186</v>
      </c>
    </row>
    <row r="629" customFormat="false" ht="15" hidden="false" customHeight="false" outlineLevel="0" collapsed="false">
      <c r="A629" s="2" t="n">
        <v>621</v>
      </c>
      <c r="B629" s="53" t="n">
        <f aca="true">NORMINV(RAND(),0,B$7)</f>
        <v>1.13918890995756</v>
      </c>
      <c r="C629" s="53" t="n">
        <f aca="true">NORMINV(RAND(),0,C$7)</f>
        <v>-1.4309594603963</v>
      </c>
      <c r="D629" s="53" t="n">
        <f aca="true">NORMINV(RAND(),0,D$7)</f>
        <v>0.0646857880233189</v>
      </c>
      <c r="E629" s="53" t="n">
        <f aca="true">NORMINV(RAND(),0,E$7)</f>
        <v>0.222248100322091</v>
      </c>
      <c r="F629" s="53" t="n">
        <f aca="true">NORMINV(RAND(),0,F$7)</f>
        <v>0.267500841235867</v>
      </c>
      <c r="G629" s="53" t="n">
        <f aca="true">NORMINV(RAND(),0,G$7)</f>
        <v>1.51012365234572</v>
      </c>
      <c r="H629" s="53" t="n">
        <f aca="true">NORMINV(RAND(),0,H$7)</f>
        <v>0.696637369122381</v>
      </c>
      <c r="I629" s="53" t="n">
        <f aca="false">SUM(B629:H629)</f>
        <v>2.46942520061063</v>
      </c>
      <c r="J629" s="53" t="n">
        <f aca="true">NORMINV(RAND(),0,J$7)</f>
        <v>-1.28075278390761</v>
      </c>
      <c r="K629" s="53" t="n">
        <f aca="true">NORMINV(RAND(),0,K$7)</f>
        <v>0.774149989505682</v>
      </c>
      <c r="L629" s="53" t="n">
        <f aca="true">NORMINV(RAND(),0,L$7)</f>
        <v>0.21895077721214</v>
      </c>
      <c r="M629" s="53" t="n">
        <f aca="true">NORMINV(RAND(),0,M$7)</f>
        <v>-0.251402045416256</v>
      </c>
      <c r="N629" s="53" t="n">
        <f aca="true">NORMINV(RAND(),0,N$7)</f>
        <v>0.0189948319822643</v>
      </c>
      <c r="O629" s="53" t="n">
        <f aca="false">SUM(J629:N629)</f>
        <v>-0.520059230623785</v>
      </c>
    </row>
    <row r="630" customFormat="false" ht="15" hidden="false" customHeight="false" outlineLevel="0" collapsed="false">
      <c r="A630" s="2" t="n">
        <v>622</v>
      </c>
      <c r="B630" s="53" t="n">
        <f aca="true">NORMINV(RAND(),0,B$7)</f>
        <v>1.48663996563011</v>
      </c>
      <c r="C630" s="53" t="n">
        <f aca="true">NORMINV(RAND(),0,C$7)</f>
        <v>-0.73819618764539</v>
      </c>
      <c r="D630" s="53" t="n">
        <f aca="true">NORMINV(RAND(),0,D$7)</f>
        <v>-2.13887755676587</v>
      </c>
      <c r="E630" s="53" t="n">
        <f aca="true">NORMINV(RAND(),0,E$7)</f>
        <v>-0.0761018560224465</v>
      </c>
      <c r="F630" s="53" t="n">
        <f aca="true">NORMINV(RAND(),0,F$7)</f>
        <v>-0.0213472611208377</v>
      </c>
      <c r="G630" s="53" t="n">
        <f aca="true">NORMINV(RAND(),0,G$7)</f>
        <v>-0.688137195230065</v>
      </c>
      <c r="H630" s="53" t="n">
        <f aca="true">NORMINV(RAND(),0,H$7)</f>
        <v>0.170005695564792</v>
      </c>
      <c r="I630" s="53" t="n">
        <f aca="false">SUM(B630:H630)</f>
        <v>-2.00601439558971</v>
      </c>
      <c r="J630" s="53" t="n">
        <f aca="true">NORMINV(RAND(),0,J$7)</f>
        <v>0.399430845867357</v>
      </c>
      <c r="K630" s="53" t="n">
        <f aca="true">NORMINV(RAND(),0,K$7)</f>
        <v>-0.324772507038553</v>
      </c>
      <c r="L630" s="53" t="n">
        <f aca="true">NORMINV(RAND(),0,L$7)</f>
        <v>0.0821915243951689</v>
      </c>
      <c r="M630" s="53" t="n">
        <f aca="true">NORMINV(RAND(),0,M$7)</f>
        <v>-0.160473727499593</v>
      </c>
      <c r="N630" s="53" t="n">
        <f aca="true">NORMINV(RAND(),0,N$7)</f>
        <v>-0.148712827849708</v>
      </c>
      <c r="O630" s="53" t="n">
        <f aca="false">SUM(J630:N630)</f>
        <v>-0.152336692125328</v>
      </c>
    </row>
    <row r="631" customFormat="false" ht="15" hidden="false" customHeight="false" outlineLevel="0" collapsed="false">
      <c r="A631" s="2" t="n">
        <v>623</v>
      </c>
      <c r="B631" s="53" t="n">
        <f aca="true">NORMINV(RAND(),0,B$7)</f>
        <v>-2.1456275995793</v>
      </c>
      <c r="C631" s="53" t="n">
        <f aca="true">NORMINV(RAND(),0,C$7)</f>
        <v>-1.75995328930499</v>
      </c>
      <c r="D631" s="53" t="n">
        <f aca="true">NORMINV(RAND(),0,D$7)</f>
        <v>0.104878473820798</v>
      </c>
      <c r="E631" s="53" t="n">
        <f aca="true">NORMINV(RAND(),0,E$7)</f>
        <v>0.118737663619105</v>
      </c>
      <c r="F631" s="53" t="n">
        <f aca="true">NORMINV(RAND(),0,F$7)</f>
        <v>0.193349796373949</v>
      </c>
      <c r="G631" s="53" t="n">
        <f aca="true">NORMINV(RAND(),0,G$7)</f>
        <v>2.19601110784409</v>
      </c>
      <c r="H631" s="53" t="n">
        <f aca="true">NORMINV(RAND(),0,H$7)</f>
        <v>-0.275868365577045</v>
      </c>
      <c r="I631" s="53" t="n">
        <f aca="false">SUM(B631:H631)</f>
        <v>-1.56847221280339</v>
      </c>
      <c r="J631" s="53" t="n">
        <f aca="true">NORMINV(RAND(),0,J$7)</f>
        <v>-0.0853314990769518</v>
      </c>
      <c r="K631" s="53" t="n">
        <f aca="true">NORMINV(RAND(),0,K$7)</f>
        <v>-0.720215847601972</v>
      </c>
      <c r="L631" s="53" t="n">
        <f aca="true">NORMINV(RAND(),0,L$7)</f>
        <v>0.210348517988672</v>
      </c>
      <c r="M631" s="53" t="n">
        <f aca="true">NORMINV(RAND(),0,M$7)</f>
        <v>0.139531774242591</v>
      </c>
      <c r="N631" s="53" t="n">
        <f aca="true">NORMINV(RAND(),0,N$7)</f>
        <v>-0.280282695981987</v>
      </c>
      <c r="O631" s="53" t="n">
        <f aca="false">SUM(J631:N631)</f>
        <v>-0.735949750429649</v>
      </c>
    </row>
    <row r="632" customFormat="false" ht="15" hidden="false" customHeight="false" outlineLevel="0" collapsed="false">
      <c r="A632" s="2" t="n">
        <v>624</v>
      </c>
      <c r="B632" s="53" t="n">
        <f aca="true">NORMINV(RAND(),0,B$7)</f>
        <v>-3.02993195446247</v>
      </c>
      <c r="C632" s="53" t="n">
        <f aca="true">NORMINV(RAND(),0,C$7)</f>
        <v>1.04466107670049</v>
      </c>
      <c r="D632" s="53" t="n">
        <f aca="true">NORMINV(RAND(),0,D$7)</f>
        <v>3.78406465690932</v>
      </c>
      <c r="E632" s="53" t="n">
        <f aca="true">NORMINV(RAND(),0,E$7)</f>
        <v>-0.0232226287193392</v>
      </c>
      <c r="F632" s="53" t="n">
        <f aca="true">NORMINV(RAND(),0,F$7)</f>
        <v>0.171966939291414</v>
      </c>
      <c r="G632" s="53" t="n">
        <f aca="true">NORMINV(RAND(),0,G$7)</f>
        <v>-0.52298599861821</v>
      </c>
      <c r="H632" s="53" t="n">
        <f aca="true">NORMINV(RAND(),0,H$7)</f>
        <v>-0.055358287653302</v>
      </c>
      <c r="I632" s="53" t="n">
        <f aca="false">SUM(B632:H632)</f>
        <v>1.3691938034479</v>
      </c>
      <c r="J632" s="53" t="n">
        <f aca="true">NORMINV(RAND(),0,J$7)</f>
        <v>1.80435061293785</v>
      </c>
      <c r="K632" s="53" t="n">
        <f aca="true">NORMINV(RAND(),0,K$7)</f>
        <v>0.942077851256956</v>
      </c>
      <c r="L632" s="53" t="n">
        <f aca="true">NORMINV(RAND(),0,L$7)</f>
        <v>0.632309283325185</v>
      </c>
      <c r="M632" s="53" t="n">
        <f aca="true">NORMINV(RAND(),0,M$7)</f>
        <v>0.241278962666974</v>
      </c>
      <c r="N632" s="53" t="n">
        <f aca="true">NORMINV(RAND(),0,N$7)</f>
        <v>0.270569581028406</v>
      </c>
      <c r="O632" s="53" t="n">
        <f aca="false">SUM(J632:N632)</f>
        <v>3.89058629121538</v>
      </c>
    </row>
    <row r="633" customFormat="false" ht="15" hidden="false" customHeight="false" outlineLevel="0" collapsed="false">
      <c r="A633" s="2" t="n">
        <v>625</v>
      </c>
      <c r="B633" s="53" t="n">
        <f aca="true">NORMINV(RAND(),0,B$7)</f>
        <v>1.21321382438524</v>
      </c>
      <c r="C633" s="53" t="n">
        <f aca="true">NORMINV(RAND(),0,C$7)</f>
        <v>1.53240872331244</v>
      </c>
      <c r="D633" s="53" t="n">
        <f aca="true">NORMINV(RAND(),0,D$7)</f>
        <v>0.607106557810799</v>
      </c>
      <c r="E633" s="53" t="n">
        <f aca="true">NORMINV(RAND(),0,E$7)</f>
        <v>0.494580104684348</v>
      </c>
      <c r="F633" s="53" t="n">
        <f aca="true">NORMINV(RAND(),0,F$7)</f>
        <v>0.124291486356168</v>
      </c>
      <c r="G633" s="53" t="n">
        <f aca="true">NORMINV(RAND(),0,G$7)</f>
        <v>0.997828169684713</v>
      </c>
      <c r="H633" s="53" t="n">
        <f aca="true">NORMINV(RAND(),0,H$7)</f>
        <v>0.0934550262702142</v>
      </c>
      <c r="I633" s="53" t="n">
        <f aca="false">SUM(B633:H633)</f>
        <v>5.06288389250392</v>
      </c>
      <c r="J633" s="53" t="n">
        <f aca="true">NORMINV(RAND(),0,J$7)</f>
        <v>2.27939456982083</v>
      </c>
      <c r="K633" s="53" t="n">
        <f aca="true">NORMINV(RAND(),0,K$7)</f>
        <v>1.35795380854242</v>
      </c>
      <c r="L633" s="53" t="n">
        <f aca="true">NORMINV(RAND(),0,L$7)</f>
        <v>0.138857591517123</v>
      </c>
      <c r="M633" s="53" t="n">
        <f aca="true">NORMINV(RAND(),0,M$7)</f>
        <v>0.189161521244249</v>
      </c>
      <c r="N633" s="53" t="n">
        <f aca="true">NORMINV(RAND(),0,N$7)</f>
        <v>0.0892966091123384</v>
      </c>
      <c r="O633" s="53" t="n">
        <f aca="false">SUM(J633:N633)</f>
        <v>4.05466410023696</v>
      </c>
    </row>
    <row r="634" customFormat="false" ht="15" hidden="false" customHeight="false" outlineLevel="0" collapsed="false">
      <c r="A634" s="2" t="n">
        <v>626</v>
      </c>
      <c r="B634" s="53" t="n">
        <f aca="true">NORMINV(RAND(),0,B$7)</f>
        <v>-2.07846981223445</v>
      </c>
      <c r="C634" s="53" t="n">
        <f aca="true">NORMINV(RAND(),0,C$7)</f>
        <v>-1.96718610473486</v>
      </c>
      <c r="D634" s="53" t="n">
        <f aca="true">NORMINV(RAND(),0,D$7)</f>
        <v>-2.5760037216727</v>
      </c>
      <c r="E634" s="53" t="n">
        <f aca="true">NORMINV(RAND(),0,E$7)</f>
        <v>0.834151358118837</v>
      </c>
      <c r="F634" s="53" t="n">
        <f aca="true">NORMINV(RAND(),0,F$7)</f>
        <v>0.196503953395751</v>
      </c>
      <c r="G634" s="53" t="n">
        <f aca="true">NORMINV(RAND(),0,G$7)</f>
        <v>-0.060415001353714</v>
      </c>
      <c r="H634" s="53" t="n">
        <f aca="true">NORMINV(RAND(),0,H$7)</f>
        <v>-0.319274296491563</v>
      </c>
      <c r="I634" s="53" t="n">
        <f aca="false">SUM(B634:H634)</f>
        <v>-5.9706936249727</v>
      </c>
      <c r="J634" s="53" t="n">
        <f aca="true">NORMINV(RAND(),0,J$7)</f>
        <v>-1.50599264764486</v>
      </c>
      <c r="K634" s="53" t="n">
        <f aca="true">NORMINV(RAND(),0,K$7)</f>
        <v>0.530029781289564</v>
      </c>
      <c r="L634" s="53" t="n">
        <f aca="true">NORMINV(RAND(),0,L$7)</f>
        <v>-0.271282367314096</v>
      </c>
      <c r="M634" s="53" t="n">
        <f aca="true">NORMINV(RAND(),0,M$7)</f>
        <v>-0.643313323096367</v>
      </c>
      <c r="N634" s="53" t="n">
        <f aca="true">NORMINV(RAND(),0,N$7)</f>
        <v>-0.146464473973107</v>
      </c>
      <c r="O634" s="53" t="n">
        <f aca="false">SUM(J634:N634)</f>
        <v>-2.03702303073886</v>
      </c>
    </row>
    <row r="635" customFormat="false" ht="15" hidden="false" customHeight="false" outlineLevel="0" collapsed="false">
      <c r="A635" s="2" t="n">
        <v>627</v>
      </c>
      <c r="B635" s="53" t="n">
        <f aca="true">NORMINV(RAND(),0,B$7)</f>
        <v>-2.23499416611083</v>
      </c>
      <c r="C635" s="53" t="n">
        <f aca="true">NORMINV(RAND(),0,C$7)</f>
        <v>-0.250059833594752</v>
      </c>
      <c r="D635" s="53" t="n">
        <f aca="true">NORMINV(RAND(),0,D$7)</f>
        <v>-3.27023972187062</v>
      </c>
      <c r="E635" s="53" t="n">
        <f aca="true">NORMINV(RAND(),0,E$7)</f>
        <v>0.220353021465792</v>
      </c>
      <c r="F635" s="53" t="n">
        <f aca="true">NORMINV(RAND(),0,F$7)</f>
        <v>0.531958281272887</v>
      </c>
      <c r="G635" s="53" t="n">
        <f aca="true">NORMINV(RAND(),0,G$7)</f>
        <v>-0.526012291694254</v>
      </c>
      <c r="H635" s="53" t="n">
        <f aca="true">NORMINV(RAND(),0,H$7)</f>
        <v>-0.352114718765969</v>
      </c>
      <c r="I635" s="53" t="n">
        <f aca="false">SUM(B635:H635)</f>
        <v>-5.88110942929775</v>
      </c>
      <c r="J635" s="53" t="n">
        <f aca="true">NORMINV(RAND(),0,J$7)</f>
        <v>2.3512260004596</v>
      </c>
      <c r="K635" s="53" t="n">
        <f aca="true">NORMINV(RAND(),0,K$7)</f>
        <v>0.099182181774751</v>
      </c>
      <c r="L635" s="53" t="n">
        <f aca="true">NORMINV(RAND(),0,L$7)</f>
        <v>0.506527758249823</v>
      </c>
      <c r="M635" s="53" t="n">
        <f aca="true">NORMINV(RAND(),0,M$7)</f>
        <v>0.133575411046806</v>
      </c>
      <c r="N635" s="53" t="n">
        <f aca="true">NORMINV(RAND(),0,N$7)</f>
        <v>-0.0043409938282369</v>
      </c>
      <c r="O635" s="53" t="n">
        <f aca="false">SUM(J635:N635)</f>
        <v>3.08617035770274</v>
      </c>
    </row>
    <row r="636" customFormat="false" ht="15" hidden="false" customHeight="false" outlineLevel="0" collapsed="false">
      <c r="A636" s="2" t="n">
        <v>628</v>
      </c>
      <c r="B636" s="53" t="n">
        <f aca="true">NORMINV(RAND(),0,B$7)</f>
        <v>0.743302585651983</v>
      </c>
      <c r="C636" s="53" t="n">
        <f aca="true">NORMINV(RAND(),0,C$7)</f>
        <v>3.39331633506614</v>
      </c>
      <c r="D636" s="53" t="n">
        <f aca="true">NORMINV(RAND(),0,D$7)</f>
        <v>-1.82594893389689</v>
      </c>
      <c r="E636" s="53" t="n">
        <f aca="true">NORMINV(RAND(),0,E$7)</f>
        <v>0.428641590232009</v>
      </c>
      <c r="F636" s="53" t="n">
        <f aca="true">NORMINV(RAND(),0,F$7)</f>
        <v>-0.31632130072944</v>
      </c>
      <c r="G636" s="53" t="n">
        <f aca="true">NORMINV(RAND(),0,G$7)</f>
        <v>1.74203023731342</v>
      </c>
      <c r="H636" s="53" t="n">
        <f aca="true">NORMINV(RAND(),0,H$7)</f>
        <v>-0.0748246343508748</v>
      </c>
      <c r="I636" s="53" t="n">
        <f aca="false">SUM(B636:H636)</f>
        <v>4.09019587928635</v>
      </c>
      <c r="J636" s="53" t="n">
        <f aca="true">NORMINV(RAND(),0,J$7)</f>
        <v>1.63006901938245</v>
      </c>
      <c r="K636" s="53" t="n">
        <f aca="true">NORMINV(RAND(),0,K$7)</f>
        <v>-0.215193385022165</v>
      </c>
      <c r="L636" s="53" t="n">
        <f aca="true">NORMINV(RAND(),0,L$7)</f>
        <v>0.402146462310803</v>
      </c>
      <c r="M636" s="53" t="n">
        <f aca="true">NORMINV(RAND(),0,M$7)</f>
        <v>0.125536797488163</v>
      </c>
      <c r="N636" s="53" t="n">
        <f aca="true">NORMINV(RAND(),0,N$7)</f>
        <v>0.110295209334301</v>
      </c>
      <c r="O636" s="53" t="n">
        <f aca="false">SUM(J636:N636)</f>
        <v>2.05285410349355</v>
      </c>
    </row>
    <row r="637" customFormat="false" ht="15" hidden="false" customHeight="false" outlineLevel="0" collapsed="false">
      <c r="A637" s="2" t="n">
        <v>629</v>
      </c>
      <c r="B637" s="53" t="n">
        <f aca="true">NORMINV(RAND(),0,B$7)</f>
        <v>-1.30001506235986</v>
      </c>
      <c r="C637" s="53" t="n">
        <f aca="true">NORMINV(RAND(),0,C$7)</f>
        <v>2.87878224111698</v>
      </c>
      <c r="D637" s="53" t="n">
        <f aca="true">NORMINV(RAND(),0,D$7)</f>
        <v>-0.447819558089435</v>
      </c>
      <c r="E637" s="53" t="n">
        <f aca="true">NORMINV(RAND(),0,E$7)</f>
        <v>-0.195017739342129</v>
      </c>
      <c r="F637" s="53" t="n">
        <f aca="true">NORMINV(RAND(),0,F$7)</f>
        <v>-0.448548775938335</v>
      </c>
      <c r="G637" s="53" t="n">
        <f aca="true">NORMINV(RAND(),0,G$7)</f>
        <v>1.470358989703</v>
      </c>
      <c r="H637" s="53" t="n">
        <f aca="true">NORMINV(RAND(),0,H$7)</f>
        <v>0.304232342126987</v>
      </c>
      <c r="I637" s="53" t="n">
        <f aca="false">SUM(B637:H637)</f>
        <v>2.26197243721721</v>
      </c>
      <c r="J637" s="53" t="n">
        <f aca="true">NORMINV(RAND(),0,J$7)</f>
        <v>-0.521627836505779</v>
      </c>
      <c r="K637" s="53" t="n">
        <f aca="true">NORMINV(RAND(),0,K$7)</f>
        <v>0.0155701890927822</v>
      </c>
      <c r="L637" s="53" t="n">
        <f aca="true">NORMINV(RAND(),0,L$7)</f>
        <v>-0.176651474033275</v>
      </c>
      <c r="M637" s="53" t="n">
        <f aca="true">NORMINV(RAND(),0,M$7)</f>
        <v>0.0152810095127077</v>
      </c>
      <c r="N637" s="53" t="n">
        <f aca="true">NORMINV(RAND(),0,N$7)</f>
        <v>0.00163396958247358</v>
      </c>
      <c r="O637" s="53" t="n">
        <f aca="false">SUM(J637:N637)</f>
        <v>-0.66579414235109</v>
      </c>
    </row>
    <row r="638" customFormat="false" ht="15" hidden="false" customHeight="false" outlineLevel="0" collapsed="false">
      <c r="A638" s="2" t="n">
        <v>630</v>
      </c>
      <c r="B638" s="53" t="n">
        <f aca="true">NORMINV(RAND(),0,B$7)</f>
        <v>2.21682895671183</v>
      </c>
      <c r="C638" s="53" t="n">
        <f aca="true">NORMINV(RAND(),0,C$7)</f>
        <v>-1.06899627918601</v>
      </c>
      <c r="D638" s="53" t="n">
        <f aca="true">NORMINV(RAND(),0,D$7)</f>
        <v>1.895887134846</v>
      </c>
      <c r="E638" s="53" t="n">
        <f aca="true">NORMINV(RAND(),0,E$7)</f>
        <v>-0.355445158714869</v>
      </c>
      <c r="F638" s="53" t="n">
        <f aca="true">NORMINV(RAND(),0,F$7)</f>
        <v>0.0380515728446534</v>
      </c>
      <c r="G638" s="53" t="n">
        <f aca="true">NORMINV(RAND(),0,G$7)</f>
        <v>-0.145701715301566</v>
      </c>
      <c r="H638" s="53" t="n">
        <f aca="true">NORMINV(RAND(),0,H$7)</f>
        <v>-0.140732023415218</v>
      </c>
      <c r="I638" s="53" t="n">
        <f aca="false">SUM(B638:H638)</f>
        <v>2.43989248778483</v>
      </c>
      <c r="J638" s="53" t="n">
        <f aca="true">NORMINV(RAND(),0,J$7)</f>
        <v>4.86854140492879</v>
      </c>
      <c r="K638" s="53" t="n">
        <f aca="true">NORMINV(RAND(),0,K$7)</f>
        <v>-0.400428733020114</v>
      </c>
      <c r="L638" s="53" t="n">
        <f aca="true">NORMINV(RAND(),0,L$7)</f>
        <v>-0.0678013370041612</v>
      </c>
      <c r="M638" s="53" t="n">
        <f aca="true">NORMINV(RAND(),0,M$7)</f>
        <v>-0.08822159982978</v>
      </c>
      <c r="N638" s="53" t="n">
        <f aca="true">NORMINV(RAND(),0,N$7)</f>
        <v>0.320302391781925</v>
      </c>
      <c r="O638" s="53" t="n">
        <f aca="false">SUM(J638:N638)</f>
        <v>4.63239212685666</v>
      </c>
    </row>
    <row r="639" customFormat="false" ht="15" hidden="false" customHeight="false" outlineLevel="0" collapsed="false">
      <c r="A639" s="2" t="n">
        <v>631</v>
      </c>
      <c r="B639" s="53" t="n">
        <f aca="true">NORMINV(RAND(),0,B$7)</f>
        <v>-1.4892754033959</v>
      </c>
      <c r="C639" s="53" t="n">
        <f aca="true">NORMINV(RAND(),0,C$7)</f>
        <v>-0.262152391993736</v>
      </c>
      <c r="D639" s="53" t="n">
        <f aca="true">NORMINV(RAND(),0,D$7)</f>
        <v>0.84050388303651</v>
      </c>
      <c r="E639" s="53" t="n">
        <f aca="true">NORMINV(RAND(),0,E$7)</f>
        <v>-0.287906626307946</v>
      </c>
      <c r="F639" s="53" t="n">
        <f aca="true">NORMINV(RAND(),0,F$7)</f>
        <v>-0.0599423789277889</v>
      </c>
      <c r="G639" s="53" t="n">
        <f aca="true">NORMINV(RAND(),0,G$7)</f>
        <v>-2.46759858728794</v>
      </c>
      <c r="H639" s="53" t="n">
        <f aca="true">NORMINV(RAND(),0,H$7)</f>
        <v>-0.0561049414139147</v>
      </c>
      <c r="I639" s="53" t="n">
        <f aca="false">SUM(B639:H639)</f>
        <v>-3.78247644629072</v>
      </c>
      <c r="J639" s="53" t="n">
        <f aca="true">NORMINV(RAND(),0,J$7)</f>
        <v>0.131006143260593</v>
      </c>
      <c r="K639" s="53" t="n">
        <f aca="true">NORMINV(RAND(),0,K$7)</f>
        <v>0.188046864096144</v>
      </c>
      <c r="L639" s="53" t="n">
        <f aca="true">NORMINV(RAND(),0,L$7)</f>
        <v>0.349400024639043</v>
      </c>
      <c r="M639" s="53" t="n">
        <f aca="true">NORMINV(RAND(),0,M$7)</f>
        <v>-0.359142971237355</v>
      </c>
      <c r="N639" s="53" t="n">
        <f aca="true">NORMINV(RAND(),0,N$7)</f>
        <v>-0.201876618735304</v>
      </c>
      <c r="O639" s="53" t="n">
        <f aca="false">SUM(J639:N639)</f>
        <v>0.10743344202312</v>
      </c>
    </row>
    <row r="640" customFormat="false" ht="15" hidden="false" customHeight="false" outlineLevel="0" collapsed="false">
      <c r="A640" s="2" t="n">
        <v>632</v>
      </c>
      <c r="B640" s="53" t="n">
        <f aca="true">NORMINV(RAND(),0,B$7)</f>
        <v>-0.0412361541358003</v>
      </c>
      <c r="C640" s="53" t="n">
        <f aca="true">NORMINV(RAND(),0,C$7)</f>
        <v>-0.0119294024161818</v>
      </c>
      <c r="D640" s="53" t="n">
        <f aca="true">NORMINV(RAND(),0,D$7)</f>
        <v>1.39067164270209</v>
      </c>
      <c r="E640" s="53" t="n">
        <f aca="true">NORMINV(RAND(),0,E$7)</f>
        <v>0.0992837508299269</v>
      </c>
      <c r="F640" s="53" t="n">
        <f aca="true">NORMINV(RAND(),0,F$7)</f>
        <v>0.396574792874061</v>
      </c>
      <c r="G640" s="53" t="n">
        <f aca="true">NORMINV(RAND(),0,G$7)</f>
        <v>0.263387384802849</v>
      </c>
      <c r="H640" s="53" t="n">
        <f aca="true">NORMINV(RAND(),0,H$7)</f>
        <v>0.0915263664209141</v>
      </c>
      <c r="I640" s="53" t="n">
        <f aca="false">SUM(B640:H640)</f>
        <v>2.18827838107786</v>
      </c>
      <c r="J640" s="53" t="n">
        <f aca="true">NORMINV(RAND(),0,J$7)</f>
        <v>2.18780648715664</v>
      </c>
      <c r="K640" s="53" t="n">
        <f aca="true">NORMINV(RAND(),0,K$7)</f>
        <v>-0.620857265911439</v>
      </c>
      <c r="L640" s="53" t="n">
        <f aca="true">NORMINV(RAND(),0,L$7)</f>
        <v>-0.199993384244012</v>
      </c>
      <c r="M640" s="53" t="n">
        <f aca="true">NORMINV(RAND(),0,M$7)</f>
        <v>0.0571241717172464</v>
      </c>
      <c r="N640" s="53" t="n">
        <f aca="true">NORMINV(RAND(),0,N$7)</f>
        <v>-0.360049819453043</v>
      </c>
      <c r="O640" s="53" t="n">
        <f aca="false">SUM(J640:N640)</f>
        <v>1.06403018926539</v>
      </c>
    </row>
    <row r="641" customFormat="false" ht="15" hidden="false" customHeight="false" outlineLevel="0" collapsed="false">
      <c r="A641" s="2" t="n">
        <v>633</v>
      </c>
      <c r="B641" s="53" t="n">
        <f aca="true">NORMINV(RAND(),0,B$7)</f>
        <v>1.77083471843471</v>
      </c>
      <c r="C641" s="53" t="n">
        <f aca="true">NORMINV(RAND(),0,C$7)</f>
        <v>-0.634050649134831</v>
      </c>
      <c r="D641" s="53" t="n">
        <f aca="true">NORMINV(RAND(),0,D$7)</f>
        <v>-0.425467824594252</v>
      </c>
      <c r="E641" s="53" t="n">
        <f aca="true">NORMINV(RAND(),0,E$7)</f>
        <v>-0.198148029637445</v>
      </c>
      <c r="F641" s="53" t="n">
        <f aca="true">NORMINV(RAND(),0,F$7)</f>
        <v>-0.0800126502286234</v>
      </c>
      <c r="G641" s="53" t="n">
        <f aca="true">NORMINV(RAND(),0,G$7)</f>
        <v>0.726102586857253</v>
      </c>
      <c r="H641" s="53" t="n">
        <f aca="true">NORMINV(RAND(),0,H$7)</f>
        <v>0.132813465545804</v>
      </c>
      <c r="I641" s="53" t="n">
        <f aca="false">SUM(B641:H641)</f>
        <v>1.29207161724262</v>
      </c>
      <c r="J641" s="53" t="n">
        <f aca="true">NORMINV(RAND(),0,J$7)</f>
        <v>-3.36596534488144</v>
      </c>
      <c r="K641" s="53" t="n">
        <f aca="true">NORMINV(RAND(),0,K$7)</f>
        <v>-0.440946981546961</v>
      </c>
      <c r="L641" s="53" t="n">
        <f aca="true">NORMINV(RAND(),0,L$7)</f>
        <v>0.839257121632408</v>
      </c>
      <c r="M641" s="53" t="n">
        <f aca="true">NORMINV(RAND(),0,M$7)</f>
        <v>0.164421567942425</v>
      </c>
      <c r="N641" s="53" t="n">
        <f aca="true">NORMINV(RAND(),0,N$7)</f>
        <v>0.220667547396897</v>
      </c>
      <c r="O641" s="53" t="n">
        <f aca="false">SUM(J641:N641)</f>
        <v>-2.58256608945667</v>
      </c>
    </row>
    <row r="642" customFormat="false" ht="15" hidden="false" customHeight="false" outlineLevel="0" collapsed="false">
      <c r="A642" s="2" t="n">
        <v>634</v>
      </c>
      <c r="B642" s="53" t="n">
        <f aca="true">NORMINV(RAND(),0,B$7)</f>
        <v>-1.36267739171351</v>
      </c>
      <c r="C642" s="53" t="n">
        <f aca="true">NORMINV(RAND(),0,C$7)</f>
        <v>0.565506142393893</v>
      </c>
      <c r="D642" s="53" t="n">
        <f aca="true">NORMINV(RAND(),0,D$7)</f>
        <v>0.891604428664549</v>
      </c>
      <c r="E642" s="53" t="n">
        <f aca="true">NORMINV(RAND(),0,E$7)</f>
        <v>-0.103625350426937</v>
      </c>
      <c r="F642" s="53" t="n">
        <f aca="true">NORMINV(RAND(),0,F$7)</f>
        <v>-0.162856852697178</v>
      </c>
      <c r="G642" s="53" t="n">
        <f aca="true">NORMINV(RAND(),0,G$7)</f>
        <v>0.534959949374601</v>
      </c>
      <c r="H642" s="53" t="n">
        <f aca="true">NORMINV(RAND(),0,H$7)</f>
        <v>-0.0966516894521636</v>
      </c>
      <c r="I642" s="53" t="n">
        <f aca="false">SUM(B642:H642)</f>
        <v>0.266259236143258</v>
      </c>
      <c r="J642" s="53" t="n">
        <f aca="true">NORMINV(RAND(),0,J$7)</f>
        <v>-2.96387481438248</v>
      </c>
      <c r="K642" s="53" t="n">
        <f aca="true">NORMINV(RAND(),0,K$7)</f>
        <v>0.121234848532096</v>
      </c>
      <c r="L642" s="53" t="n">
        <f aca="true">NORMINV(RAND(),0,L$7)</f>
        <v>0.385178239214068</v>
      </c>
      <c r="M642" s="53" t="n">
        <f aca="true">NORMINV(RAND(),0,M$7)</f>
        <v>-0.222106617284673</v>
      </c>
      <c r="N642" s="53" t="n">
        <f aca="true">NORMINV(RAND(),0,N$7)</f>
        <v>-0.290311337931955</v>
      </c>
      <c r="O642" s="53" t="n">
        <f aca="false">SUM(J642:N642)</f>
        <v>-2.96987968185295</v>
      </c>
    </row>
    <row r="643" customFormat="false" ht="15" hidden="false" customHeight="false" outlineLevel="0" collapsed="false">
      <c r="A643" s="2" t="n">
        <v>635</v>
      </c>
      <c r="B643" s="53" t="n">
        <f aca="true">NORMINV(RAND(),0,B$7)</f>
        <v>0.638452612933326</v>
      </c>
      <c r="C643" s="53" t="n">
        <f aca="true">NORMINV(RAND(),0,C$7)</f>
        <v>-0.430328226614941</v>
      </c>
      <c r="D643" s="53" t="n">
        <f aca="true">NORMINV(RAND(),0,D$7)</f>
        <v>1.42504469783441</v>
      </c>
      <c r="E643" s="53" t="n">
        <f aca="true">NORMINV(RAND(),0,E$7)</f>
        <v>-0.136592610445871</v>
      </c>
      <c r="F643" s="53" t="n">
        <f aca="true">NORMINV(RAND(),0,F$7)</f>
        <v>-0.122507278483104</v>
      </c>
      <c r="G643" s="53" t="n">
        <f aca="true">NORMINV(RAND(),0,G$7)</f>
        <v>0.957125551500821</v>
      </c>
      <c r="H643" s="53" t="n">
        <f aca="true">NORMINV(RAND(),0,H$7)</f>
        <v>0.163300708700209</v>
      </c>
      <c r="I643" s="53" t="n">
        <f aca="false">SUM(B643:H643)</f>
        <v>2.49449545542485</v>
      </c>
      <c r="J643" s="53" t="n">
        <f aca="true">NORMINV(RAND(),0,J$7)</f>
        <v>0.399718765551302</v>
      </c>
      <c r="K643" s="53" t="n">
        <f aca="true">NORMINV(RAND(),0,K$7)</f>
        <v>1.05486517823179</v>
      </c>
      <c r="L643" s="53" t="n">
        <f aca="true">NORMINV(RAND(),0,L$7)</f>
        <v>0.402251588269081</v>
      </c>
      <c r="M643" s="53" t="n">
        <f aca="true">NORMINV(RAND(),0,M$7)</f>
        <v>0.278972782539481</v>
      </c>
      <c r="N643" s="53" t="n">
        <f aca="true">NORMINV(RAND(),0,N$7)</f>
        <v>-0.362563701095926</v>
      </c>
      <c r="O643" s="53" t="n">
        <f aca="false">SUM(J643:N643)</f>
        <v>1.77324461349573</v>
      </c>
    </row>
    <row r="644" customFormat="false" ht="15" hidden="false" customHeight="false" outlineLevel="0" collapsed="false">
      <c r="A644" s="2" t="n">
        <v>636</v>
      </c>
      <c r="B644" s="53" t="n">
        <f aca="true">NORMINV(RAND(),0,B$7)</f>
        <v>0.112807676579855</v>
      </c>
      <c r="C644" s="53" t="n">
        <f aca="true">NORMINV(RAND(),0,C$7)</f>
        <v>-0.782116513310826</v>
      </c>
      <c r="D644" s="53" t="n">
        <f aca="true">NORMINV(RAND(),0,D$7)</f>
        <v>1.39291538997047</v>
      </c>
      <c r="E644" s="53" t="n">
        <f aca="true">NORMINV(RAND(),0,E$7)</f>
        <v>-0.0325885701924751</v>
      </c>
      <c r="F644" s="53" t="n">
        <f aca="true">NORMINV(RAND(),0,F$7)</f>
        <v>-0.159761416874759</v>
      </c>
      <c r="G644" s="53" t="n">
        <f aca="true">NORMINV(RAND(),0,G$7)</f>
        <v>2.20225084764266</v>
      </c>
      <c r="H644" s="53" t="n">
        <f aca="true">NORMINV(RAND(),0,H$7)</f>
        <v>-0.543816327979189</v>
      </c>
      <c r="I644" s="53" t="n">
        <f aca="false">SUM(B644:H644)</f>
        <v>2.18969108583574</v>
      </c>
      <c r="J644" s="53" t="n">
        <f aca="true">NORMINV(RAND(),0,J$7)</f>
        <v>1.54523540178828</v>
      </c>
      <c r="K644" s="53" t="n">
        <f aca="true">NORMINV(RAND(),0,K$7)</f>
        <v>0.164991549947572</v>
      </c>
      <c r="L644" s="53" t="n">
        <f aca="true">NORMINV(RAND(),0,L$7)</f>
        <v>0.415664817249373</v>
      </c>
      <c r="M644" s="53" t="n">
        <f aca="true">NORMINV(RAND(),0,M$7)</f>
        <v>-0.0741994305018984</v>
      </c>
      <c r="N644" s="53" t="n">
        <f aca="true">NORMINV(RAND(),0,N$7)</f>
        <v>0.478421915521686</v>
      </c>
      <c r="O644" s="53" t="n">
        <f aca="false">SUM(J644:N644)</f>
        <v>2.53011425400501</v>
      </c>
    </row>
    <row r="645" customFormat="false" ht="15" hidden="false" customHeight="false" outlineLevel="0" collapsed="false">
      <c r="A645" s="2" t="n">
        <v>637</v>
      </c>
      <c r="B645" s="53" t="n">
        <f aca="true">NORMINV(RAND(),0,B$7)</f>
        <v>-0.0470253225052334</v>
      </c>
      <c r="C645" s="53" t="n">
        <f aca="true">NORMINV(RAND(),0,C$7)</f>
        <v>-0.00397460698078413</v>
      </c>
      <c r="D645" s="53" t="n">
        <f aca="true">NORMINV(RAND(),0,D$7)</f>
        <v>0.95183619022425</v>
      </c>
      <c r="E645" s="53" t="n">
        <f aca="true">NORMINV(RAND(),0,E$7)</f>
        <v>-0.279470782536414</v>
      </c>
      <c r="F645" s="53" t="n">
        <f aca="true">NORMINV(RAND(),0,F$7)</f>
        <v>-0.210562447537002</v>
      </c>
      <c r="G645" s="53" t="n">
        <f aca="true">NORMINV(RAND(),0,G$7)</f>
        <v>0.238787105907956</v>
      </c>
      <c r="H645" s="53" t="n">
        <f aca="true">NORMINV(RAND(),0,H$7)</f>
        <v>0.42125159127241</v>
      </c>
      <c r="I645" s="53" t="n">
        <f aca="false">SUM(B645:H645)</f>
        <v>1.07084172784518</v>
      </c>
      <c r="J645" s="53" t="n">
        <f aca="true">NORMINV(RAND(),0,J$7)</f>
        <v>0.980786894995778</v>
      </c>
      <c r="K645" s="53" t="n">
        <f aca="true">NORMINV(RAND(),0,K$7)</f>
        <v>-0.156071076149325</v>
      </c>
      <c r="L645" s="53" t="n">
        <f aca="true">NORMINV(RAND(),0,L$7)</f>
        <v>0.270891986522865</v>
      </c>
      <c r="M645" s="53" t="n">
        <f aca="true">NORMINV(RAND(),0,M$7)</f>
        <v>0.0170341751010908</v>
      </c>
      <c r="N645" s="53" t="n">
        <f aca="true">NORMINV(RAND(),0,N$7)</f>
        <v>0.186977714903495</v>
      </c>
      <c r="O645" s="53" t="n">
        <f aca="false">SUM(J645:N645)</f>
        <v>1.2996196953739</v>
      </c>
    </row>
    <row r="646" customFormat="false" ht="15" hidden="false" customHeight="false" outlineLevel="0" collapsed="false">
      <c r="A646" s="2" t="n">
        <v>638</v>
      </c>
      <c r="B646" s="53" t="n">
        <f aca="true">NORMINV(RAND(),0,B$7)</f>
        <v>-1.24344404182831</v>
      </c>
      <c r="C646" s="53" t="n">
        <f aca="true">NORMINV(RAND(),0,C$7)</f>
        <v>1.60253981159884</v>
      </c>
      <c r="D646" s="53" t="n">
        <f aca="true">NORMINV(RAND(),0,D$7)</f>
        <v>3.00304251666713</v>
      </c>
      <c r="E646" s="53" t="n">
        <f aca="true">NORMINV(RAND(),0,E$7)</f>
        <v>0.07341056229956</v>
      </c>
      <c r="F646" s="53" t="n">
        <f aca="true">NORMINV(RAND(),0,F$7)</f>
        <v>0.313663282629914</v>
      </c>
      <c r="G646" s="53" t="n">
        <f aca="true">NORMINV(RAND(),0,G$7)</f>
        <v>1.38719136129146</v>
      </c>
      <c r="H646" s="53" t="n">
        <f aca="true">NORMINV(RAND(),0,H$7)</f>
        <v>0.201959784049835</v>
      </c>
      <c r="I646" s="53" t="n">
        <f aca="false">SUM(B646:H646)</f>
        <v>5.33836327670843</v>
      </c>
      <c r="J646" s="53" t="n">
        <f aca="true">NORMINV(RAND(),0,J$7)</f>
        <v>1.90289494075626</v>
      </c>
      <c r="K646" s="53" t="n">
        <f aca="true">NORMINV(RAND(),0,K$7)</f>
        <v>0.0694146519978814</v>
      </c>
      <c r="L646" s="53" t="n">
        <f aca="true">NORMINV(RAND(),0,L$7)</f>
        <v>-0.373500819447307</v>
      </c>
      <c r="M646" s="53" t="n">
        <f aca="true">NORMINV(RAND(),0,M$7)</f>
        <v>-0.0644612649500445</v>
      </c>
      <c r="N646" s="53" t="n">
        <f aca="true">NORMINV(RAND(),0,N$7)</f>
        <v>0.298013250982476</v>
      </c>
      <c r="O646" s="53" t="n">
        <f aca="false">SUM(J646:N646)</f>
        <v>1.83236075933926</v>
      </c>
    </row>
    <row r="647" customFormat="false" ht="15" hidden="false" customHeight="false" outlineLevel="0" collapsed="false">
      <c r="A647" s="2" t="n">
        <v>639</v>
      </c>
      <c r="B647" s="53" t="n">
        <f aca="true">NORMINV(RAND(),0,B$7)</f>
        <v>-1.03223849075828</v>
      </c>
      <c r="C647" s="53" t="n">
        <f aca="true">NORMINV(RAND(),0,C$7)</f>
        <v>-0.612025580900852</v>
      </c>
      <c r="D647" s="53" t="n">
        <f aca="true">NORMINV(RAND(),0,D$7)</f>
        <v>1.7342730395299</v>
      </c>
      <c r="E647" s="53" t="n">
        <f aca="true">NORMINV(RAND(),0,E$7)</f>
        <v>-0.355928867292153</v>
      </c>
      <c r="F647" s="53" t="n">
        <f aca="true">NORMINV(RAND(),0,F$7)</f>
        <v>-0.251990761060175</v>
      </c>
      <c r="G647" s="53" t="n">
        <f aca="true">NORMINV(RAND(),0,G$7)</f>
        <v>-0.00194410552586976</v>
      </c>
      <c r="H647" s="53" t="n">
        <f aca="true">NORMINV(RAND(),0,H$7)</f>
        <v>-0.156852736830001</v>
      </c>
      <c r="I647" s="53" t="n">
        <f aca="false">SUM(B647:H647)</f>
        <v>-0.676707502837433</v>
      </c>
      <c r="J647" s="53" t="n">
        <f aca="true">NORMINV(RAND(),0,J$7)</f>
        <v>1.78115388204427</v>
      </c>
      <c r="K647" s="53" t="n">
        <f aca="true">NORMINV(RAND(),0,K$7)</f>
        <v>-1.44560078212377</v>
      </c>
      <c r="L647" s="53" t="n">
        <f aca="true">NORMINV(RAND(),0,L$7)</f>
        <v>0.120927758483041</v>
      </c>
      <c r="M647" s="53" t="n">
        <f aca="true">NORMINV(RAND(),0,M$7)</f>
        <v>0.119678020446947</v>
      </c>
      <c r="N647" s="53" t="n">
        <f aca="true">NORMINV(RAND(),0,N$7)</f>
        <v>-0.114474271312438</v>
      </c>
      <c r="O647" s="53" t="n">
        <f aca="false">SUM(J647:N647)</f>
        <v>0.461684607538054</v>
      </c>
    </row>
    <row r="648" customFormat="false" ht="15" hidden="false" customHeight="false" outlineLevel="0" collapsed="false">
      <c r="A648" s="2" t="n">
        <v>640</v>
      </c>
      <c r="B648" s="53" t="n">
        <f aca="true">NORMINV(RAND(),0,B$7)</f>
        <v>0.736722206375367</v>
      </c>
      <c r="C648" s="53" t="n">
        <f aca="true">NORMINV(RAND(),0,C$7)</f>
        <v>-0.27863675388822</v>
      </c>
      <c r="D648" s="53" t="n">
        <f aca="true">NORMINV(RAND(),0,D$7)</f>
        <v>-1.18277953646843</v>
      </c>
      <c r="E648" s="53" t="n">
        <f aca="true">NORMINV(RAND(),0,E$7)</f>
        <v>0.191982083873728</v>
      </c>
      <c r="F648" s="53" t="n">
        <f aca="true">NORMINV(RAND(),0,F$7)</f>
        <v>-0.229771788028671</v>
      </c>
      <c r="G648" s="53" t="n">
        <f aca="true">NORMINV(RAND(),0,G$7)</f>
        <v>0.723506599428638</v>
      </c>
      <c r="H648" s="53" t="n">
        <f aca="true">NORMINV(RAND(),0,H$7)</f>
        <v>-0.0137806533833767</v>
      </c>
      <c r="I648" s="53" t="n">
        <f aca="false">SUM(B648:H648)</f>
        <v>-0.0527578420909704</v>
      </c>
      <c r="J648" s="53" t="n">
        <f aca="true">NORMINV(RAND(),0,J$7)</f>
        <v>3.12986939842834</v>
      </c>
      <c r="K648" s="53" t="n">
        <f aca="true">NORMINV(RAND(),0,K$7)</f>
        <v>0.347065112602863</v>
      </c>
      <c r="L648" s="53" t="n">
        <f aca="true">NORMINV(RAND(),0,L$7)</f>
        <v>-0.401243942570907</v>
      </c>
      <c r="M648" s="53" t="n">
        <f aca="true">NORMINV(RAND(),0,M$7)</f>
        <v>-0.497755959316118</v>
      </c>
      <c r="N648" s="53" t="n">
        <f aca="true">NORMINV(RAND(),0,N$7)</f>
        <v>0.227311483740709</v>
      </c>
      <c r="O648" s="53" t="n">
        <f aca="false">SUM(J648:N648)</f>
        <v>2.80524609288489</v>
      </c>
    </row>
    <row r="649" customFormat="false" ht="15" hidden="false" customHeight="false" outlineLevel="0" collapsed="false">
      <c r="A649" s="2" t="n">
        <v>641</v>
      </c>
      <c r="B649" s="53" t="n">
        <f aca="true">NORMINV(RAND(),0,B$7)</f>
        <v>0.160955193724227</v>
      </c>
      <c r="C649" s="53" t="n">
        <f aca="true">NORMINV(RAND(),0,C$7)</f>
        <v>-1.45658685683551</v>
      </c>
      <c r="D649" s="53" t="n">
        <f aca="true">NORMINV(RAND(),0,D$7)</f>
        <v>0.813675114817852</v>
      </c>
      <c r="E649" s="53" t="n">
        <f aca="true">NORMINV(RAND(),0,E$7)</f>
        <v>0.158631564944231</v>
      </c>
      <c r="F649" s="53" t="n">
        <f aca="true">NORMINV(RAND(),0,F$7)</f>
        <v>0.282269898537644</v>
      </c>
      <c r="G649" s="53" t="n">
        <f aca="true">NORMINV(RAND(),0,G$7)</f>
        <v>-1.71043664075849</v>
      </c>
      <c r="H649" s="53" t="n">
        <f aca="true">NORMINV(RAND(),0,H$7)</f>
        <v>-0.370505369736959</v>
      </c>
      <c r="I649" s="53" t="n">
        <f aca="false">SUM(B649:H649)</f>
        <v>-2.12199709530701</v>
      </c>
      <c r="J649" s="53" t="n">
        <f aca="true">NORMINV(RAND(),0,J$7)</f>
        <v>-1.23908395055288</v>
      </c>
      <c r="K649" s="53" t="n">
        <f aca="true">NORMINV(RAND(),0,K$7)</f>
        <v>0.593825734507784</v>
      </c>
      <c r="L649" s="53" t="n">
        <f aca="true">NORMINV(RAND(),0,L$7)</f>
        <v>-0.222328443533825</v>
      </c>
      <c r="M649" s="53" t="n">
        <f aca="true">NORMINV(RAND(),0,M$7)</f>
        <v>-0.100987942678558</v>
      </c>
      <c r="N649" s="53" t="n">
        <f aca="true">NORMINV(RAND(),0,N$7)</f>
        <v>0.358579187104436</v>
      </c>
      <c r="O649" s="53" t="n">
        <f aca="false">SUM(J649:N649)</f>
        <v>-0.609995415153043</v>
      </c>
    </row>
    <row r="650" customFormat="false" ht="15" hidden="false" customHeight="false" outlineLevel="0" collapsed="false">
      <c r="A650" s="2" t="n">
        <v>642</v>
      </c>
      <c r="B650" s="53" t="n">
        <f aca="true">NORMINV(RAND(),0,B$7)</f>
        <v>2.12057881269179</v>
      </c>
      <c r="C650" s="53" t="n">
        <f aca="true">NORMINV(RAND(),0,C$7)</f>
        <v>-0.0807823529540855</v>
      </c>
      <c r="D650" s="53" t="n">
        <f aca="true">NORMINV(RAND(),0,D$7)</f>
        <v>-3.48001221133547</v>
      </c>
      <c r="E650" s="53" t="n">
        <f aca="true">NORMINV(RAND(),0,E$7)</f>
        <v>0.474909521622371</v>
      </c>
      <c r="F650" s="53" t="n">
        <f aca="true">NORMINV(RAND(),0,F$7)</f>
        <v>0.247959051054718</v>
      </c>
      <c r="G650" s="53" t="n">
        <f aca="true">NORMINV(RAND(),0,G$7)</f>
        <v>2.11933838478683</v>
      </c>
      <c r="H650" s="53" t="n">
        <f aca="true">NORMINV(RAND(),0,H$7)</f>
        <v>0.528636478375573</v>
      </c>
      <c r="I650" s="53" t="n">
        <f aca="false">SUM(B650:H650)</f>
        <v>1.93062768424173</v>
      </c>
      <c r="J650" s="53" t="n">
        <f aca="true">NORMINV(RAND(),0,J$7)</f>
        <v>0.319305593501791</v>
      </c>
      <c r="K650" s="53" t="n">
        <f aca="true">NORMINV(RAND(),0,K$7)</f>
        <v>0.705859625850593</v>
      </c>
      <c r="L650" s="53" t="n">
        <f aca="true">NORMINV(RAND(),0,L$7)</f>
        <v>0.0876859683893131</v>
      </c>
      <c r="M650" s="53" t="n">
        <f aca="true">NORMINV(RAND(),0,M$7)</f>
        <v>-0.0465531934593885</v>
      </c>
      <c r="N650" s="53" t="n">
        <f aca="true">NORMINV(RAND(),0,N$7)</f>
        <v>0.2022423146672</v>
      </c>
      <c r="O650" s="53" t="n">
        <f aca="false">SUM(J650:N650)</f>
        <v>1.26854030894951</v>
      </c>
    </row>
    <row r="651" customFormat="false" ht="15" hidden="false" customHeight="false" outlineLevel="0" collapsed="false">
      <c r="A651" s="2" t="n">
        <v>643</v>
      </c>
      <c r="B651" s="53" t="n">
        <f aca="true">NORMINV(RAND(),0,B$7)</f>
        <v>-1.09677074442836</v>
      </c>
      <c r="C651" s="53" t="n">
        <f aca="true">NORMINV(RAND(),0,C$7)</f>
        <v>1.16573713108951</v>
      </c>
      <c r="D651" s="53" t="n">
        <f aca="true">NORMINV(RAND(),0,D$7)</f>
        <v>-0.63800375637881</v>
      </c>
      <c r="E651" s="53" t="n">
        <f aca="true">NORMINV(RAND(),0,E$7)</f>
        <v>0.192794003090357</v>
      </c>
      <c r="F651" s="53" t="n">
        <f aca="true">NORMINV(RAND(),0,F$7)</f>
        <v>-0.516774748490489</v>
      </c>
      <c r="G651" s="53" t="n">
        <f aca="true">NORMINV(RAND(),0,G$7)</f>
        <v>-1.28445542639416</v>
      </c>
      <c r="H651" s="53" t="n">
        <f aca="true">NORMINV(RAND(),0,H$7)</f>
        <v>0.247482051165058</v>
      </c>
      <c r="I651" s="53" t="n">
        <f aca="false">SUM(B651:H651)</f>
        <v>-1.9299914903469</v>
      </c>
      <c r="J651" s="53" t="n">
        <f aca="true">NORMINV(RAND(),0,J$7)</f>
        <v>3.57363380494351</v>
      </c>
      <c r="K651" s="53" t="n">
        <f aca="true">NORMINV(RAND(),0,K$7)</f>
        <v>-0.0560442636267404</v>
      </c>
      <c r="L651" s="53" t="n">
        <f aca="true">NORMINV(RAND(),0,L$7)</f>
        <v>-0.0434859598508098</v>
      </c>
      <c r="M651" s="53" t="n">
        <f aca="true">NORMINV(RAND(),0,M$7)</f>
        <v>0.453711719886203</v>
      </c>
      <c r="N651" s="53" t="n">
        <f aca="true">NORMINV(RAND(),0,N$7)</f>
        <v>0.294515146536674</v>
      </c>
      <c r="O651" s="53" t="n">
        <f aca="false">SUM(J651:N651)</f>
        <v>4.22233044788883</v>
      </c>
    </row>
    <row r="652" customFormat="false" ht="15" hidden="false" customHeight="false" outlineLevel="0" collapsed="false">
      <c r="A652" s="2" t="n">
        <v>644</v>
      </c>
      <c r="B652" s="53" t="n">
        <f aca="true">NORMINV(RAND(),0,B$7)</f>
        <v>-0.303998972896577</v>
      </c>
      <c r="C652" s="53" t="n">
        <f aca="true">NORMINV(RAND(),0,C$7)</f>
        <v>-0.660912621132981</v>
      </c>
      <c r="D652" s="53" t="n">
        <f aca="true">NORMINV(RAND(),0,D$7)</f>
        <v>1.53168882517742</v>
      </c>
      <c r="E652" s="53" t="n">
        <f aca="true">NORMINV(RAND(),0,E$7)</f>
        <v>0.251407158080914</v>
      </c>
      <c r="F652" s="53" t="n">
        <f aca="true">NORMINV(RAND(),0,F$7)</f>
        <v>-0.112596720482027</v>
      </c>
      <c r="G652" s="53" t="n">
        <f aca="true">NORMINV(RAND(),0,G$7)</f>
        <v>0.292042985516726</v>
      </c>
      <c r="H652" s="53" t="n">
        <f aca="true">NORMINV(RAND(),0,H$7)</f>
        <v>0.743644679558687</v>
      </c>
      <c r="I652" s="53" t="n">
        <f aca="false">SUM(B652:H652)</f>
        <v>1.74127533382216</v>
      </c>
      <c r="J652" s="53" t="n">
        <f aca="true">NORMINV(RAND(),0,J$7)</f>
        <v>-3.0934918334297</v>
      </c>
      <c r="K652" s="53" t="n">
        <f aca="true">NORMINV(RAND(),0,K$7)</f>
        <v>0.206373790151311</v>
      </c>
      <c r="L652" s="53" t="n">
        <f aca="true">NORMINV(RAND(),0,L$7)</f>
        <v>0.257824364716564</v>
      </c>
      <c r="M652" s="53" t="n">
        <f aca="true">NORMINV(RAND(),0,M$7)</f>
        <v>0.23651039472034</v>
      </c>
      <c r="N652" s="53" t="n">
        <f aca="true">NORMINV(RAND(),0,N$7)</f>
        <v>0.253983166738425</v>
      </c>
      <c r="O652" s="53" t="n">
        <f aca="false">SUM(J652:N652)</f>
        <v>-2.13880011710306</v>
      </c>
    </row>
    <row r="653" customFormat="false" ht="15" hidden="false" customHeight="false" outlineLevel="0" collapsed="false">
      <c r="A653" s="2" t="n">
        <v>645</v>
      </c>
      <c r="B653" s="53" t="n">
        <f aca="true">NORMINV(RAND(),0,B$7)</f>
        <v>1.40135281918403</v>
      </c>
      <c r="C653" s="53" t="n">
        <f aca="true">NORMINV(RAND(),0,C$7)</f>
        <v>-0.976085360748877</v>
      </c>
      <c r="D653" s="53" t="n">
        <f aca="true">NORMINV(RAND(),0,D$7)</f>
        <v>-0.43930179848241</v>
      </c>
      <c r="E653" s="53" t="n">
        <f aca="true">NORMINV(RAND(),0,E$7)</f>
        <v>-0.166170333937166</v>
      </c>
      <c r="F653" s="53" t="n">
        <f aca="true">NORMINV(RAND(),0,F$7)</f>
        <v>-0.0522600745568662</v>
      </c>
      <c r="G653" s="53" t="n">
        <f aca="true">NORMINV(RAND(),0,G$7)</f>
        <v>0.142020600016825</v>
      </c>
      <c r="H653" s="53" t="n">
        <f aca="true">NORMINV(RAND(),0,H$7)</f>
        <v>0.161764759568739</v>
      </c>
      <c r="I653" s="53" t="n">
        <f aca="false">SUM(B653:H653)</f>
        <v>0.0713206110442689</v>
      </c>
      <c r="J653" s="53" t="n">
        <f aca="true">NORMINV(RAND(),0,J$7)</f>
        <v>0.23527011161259</v>
      </c>
      <c r="K653" s="53" t="n">
        <f aca="true">NORMINV(RAND(),0,K$7)</f>
        <v>-1.06941257225601</v>
      </c>
      <c r="L653" s="53" t="n">
        <f aca="true">NORMINV(RAND(),0,L$7)</f>
        <v>0.236630794148817</v>
      </c>
      <c r="M653" s="53" t="n">
        <f aca="true">NORMINV(RAND(),0,M$7)</f>
        <v>0.0277279395663075</v>
      </c>
      <c r="N653" s="53" t="n">
        <f aca="true">NORMINV(RAND(),0,N$7)</f>
        <v>-0.658191558536888</v>
      </c>
      <c r="O653" s="53" t="n">
        <f aca="false">SUM(J653:N653)</f>
        <v>-1.22797528546518</v>
      </c>
    </row>
    <row r="654" customFormat="false" ht="15" hidden="false" customHeight="false" outlineLevel="0" collapsed="false">
      <c r="A654" s="2" t="n">
        <v>646</v>
      </c>
      <c r="B654" s="53" t="n">
        <f aca="true">NORMINV(RAND(),0,B$7)</f>
        <v>-1.58831095462945</v>
      </c>
      <c r="C654" s="53" t="n">
        <f aca="true">NORMINV(RAND(),0,C$7)</f>
        <v>-2.65536279608129</v>
      </c>
      <c r="D654" s="53" t="n">
        <f aca="true">NORMINV(RAND(),0,D$7)</f>
        <v>-0.288331109984911</v>
      </c>
      <c r="E654" s="53" t="n">
        <f aca="true">NORMINV(RAND(),0,E$7)</f>
        <v>0.115227080209739</v>
      </c>
      <c r="F654" s="53" t="n">
        <f aca="true">NORMINV(RAND(),0,F$7)</f>
        <v>-0.240212015826767</v>
      </c>
      <c r="G654" s="53" t="n">
        <f aca="true">NORMINV(RAND(),0,G$7)</f>
        <v>-2.10483221130205</v>
      </c>
      <c r="H654" s="53" t="n">
        <f aca="true">NORMINV(RAND(),0,H$7)</f>
        <v>-0.211662877426318</v>
      </c>
      <c r="I654" s="53" t="n">
        <f aca="false">SUM(B654:H654)</f>
        <v>-6.97348488504104</v>
      </c>
      <c r="J654" s="53" t="n">
        <f aca="true">NORMINV(RAND(),0,J$7)</f>
        <v>1.56709406451698</v>
      </c>
      <c r="K654" s="53" t="n">
        <f aca="true">NORMINV(RAND(),0,K$7)</f>
        <v>-0.148140455920096</v>
      </c>
      <c r="L654" s="53" t="n">
        <f aca="true">NORMINV(RAND(),0,L$7)</f>
        <v>-0.647974737074928</v>
      </c>
      <c r="M654" s="53" t="n">
        <f aca="true">NORMINV(RAND(),0,M$7)</f>
        <v>0.152525835289383</v>
      </c>
      <c r="N654" s="53" t="n">
        <f aca="true">NORMINV(RAND(),0,N$7)</f>
        <v>0.0964485189632749</v>
      </c>
      <c r="O654" s="53" t="n">
        <f aca="false">SUM(J654:N654)</f>
        <v>1.01995322577461</v>
      </c>
    </row>
    <row r="655" customFormat="false" ht="15" hidden="false" customHeight="false" outlineLevel="0" collapsed="false">
      <c r="A655" s="2" t="n">
        <v>647</v>
      </c>
      <c r="B655" s="53" t="n">
        <f aca="true">NORMINV(RAND(),0,B$7)</f>
        <v>-0.755523999914579</v>
      </c>
      <c r="C655" s="53" t="n">
        <f aca="true">NORMINV(RAND(),0,C$7)</f>
        <v>-0.826721156214169</v>
      </c>
      <c r="D655" s="53" t="n">
        <f aca="true">NORMINV(RAND(),0,D$7)</f>
        <v>0.384099103635448</v>
      </c>
      <c r="E655" s="53" t="n">
        <f aca="true">NORMINV(RAND(),0,E$7)</f>
        <v>0.0883303394889671</v>
      </c>
      <c r="F655" s="53" t="n">
        <f aca="true">NORMINV(RAND(),0,F$7)</f>
        <v>-0.0771264052621693</v>
      </c>
      <c r="G655" s="53" t="n">
        <f aca="true">NORMINV(RAND(),0,G$7)</f>
        <v>0.313298674444809</v>
      </c>
      <c r="H655" s="53" t="n">
        <f aca="true">NORMINV(RAND(),0,H$7)</f>
        <v>0.283832710762386</v>
      </c>
      <c r="I655" s="53" t="n">
        <f aca="false">SUM(B655:H655)</f>
        <v>-0.589810733059307</v>
      </c>
      <c r="J655" s="53" t="n">
        <f aca="true">NORMINV(RAND(),0,J$7)</f>
        <v>0.0036081386130394</v>
      </c>
      <c r="K655" s="53" t="n">
        <f aca="true">NORMINV(RAND(),0,K$7)</f>
        <v>0.288991840509217</v>
      </c>
      <c r="L655" s="53" t="n">
        <f aca="true">NORMINV(RAND(),0,L$7)</f>
        <v>-0.0271028077439335</v>
      </c>
      <c r="M655" s="53" t="n">
        <f aca="true">NORMINV(RAND(),0,M$7)</f>
        <v>0.119739972869115</v>
      </c>
      <c r="N655" s="53" t="n">
        <f aca="true">NORMINV(RAND(),0,N$7)</f>
        <v>-0.807105617091354</v>
      </c>
      <c r="O655" s="53" t="n">
        <f aca="false">SUM(J655:N655)</f>
        <v>-0.421868472843916</v>
      </c>
    </row>
    <row r="656" customFormat="false" ht="15" hidden="false" customHeight="false" outlineLevel="0" collapsed="false">
      <c r="A656" s="2" t="n">
        <v>648</v>
      </c>
      <c r="B656" s="53" t="n">
        <f aca="true">NORMINV(RAND(),0,B$7)</f>
        <v>3.05501020844566</v>
      </c>
      <c r="C656" s="53" t="n">
        <f aca="true">NORMINV(RAND(),0,C$7)</f>
        <v>1.35768905334062</v>
      </c>
      <c r="D656" s="53" t="n">
        <f aca="true">NORMINV(RAND(),0,D$7)</f>
        <v>0.809066257273632</v>
      </c>
      <c r="E656" s="53" t="n">
        <f aca="true">NORMINV(RAND(),0,E$7)</f>
        <v>0.238293508145785</v>
      </c>
      <c r="F656" s="53" t="n">
        <f aca="true">NORMINV(RAND(),0,F$7)</f>
        <v>-0.0459514821719159</v>
      </c>
      <c r="G656" s="53" t="n">
        <f aca="true">NORMINV(RAND(),0,G$7)</f>
        <v>-0.790812319684266</v>
      </c>
      <c r="H656" s="53" t="n">
        <f aca="true">NORMINV(RAND(),0,H$7)</f>
        <v>-0.115227326405481</v>
      </c>
      <c r="I656" s="53" t="n">
        <f aca="false">SUM(B656:H656)</f>
        <v>4.50806789894403</v>
      </c>
      <c r="J656" s="53" t="n">
        <f aca="true">NORMINV(RAND(),0,J$7)</f>
        <v>3.07673618830788</v>
      </c>
      <c r="K656" s="53" t="n">
        <f aca="true">NORMINV(RAND(),0,K$7)</f>
        <v>-0.517076906827292</v>
      </c>
      <c r="L656" s="53" t="n">
        <f aca="true">NORMINV(RAND(),0,L$7)</f>
        <v>-0.285593909988734</v>
      </c>
      <c r="M656" s="53" t="n">
        <f aca="true">NORMINV(RAND(),0,M$7)</f>
        <v>-0.166808230738106</v>
      </c>
      <c r="N656" s="53" t="n">
        <f aca="true">NORMINV(RAND(),0,N$7)</f>
        <v>0.180262806388826</v>
      </c>
      <c r="O656" s="53" t="n">
        <f aca="false">SUM(J656:N656)</f>
        <v>2.28751994714258</v>
      </c>
    </row>
    <row r="657" customFormat="false" ht="15" hidden="false" customHeight="false" outlineLevel="0" collapsed="false">
      <c r="A657" s="2" t="n">
        <v>649</v>
      </c>
      <c r="B657" s="53" t="n">
        <f aca="true">NORMINV(RAND(),0,B$7)</f>
        <v>-0.0758334854424596</v>
      </c>
      <c r="C657" s="53" t="n">
        <f aca="true">NORMINV(RAND(),0,C$7)</f>
        <v>2.76463452940218</v>
      </c>
      <c r="D657" s="53" t="n">
        <f aca="true">NORMINV(RAND(),0,D$7)</f>
        <v>1.8753194835718</v>
      </c>
      <c r="E657" s="53" t="n">
        <f aca="true">NORMINV(RAND(),0,E$7)</f>
        <v>0.0264215473540131</v>
      </c>
      <c r="F657" s="53" t="n">
        <f aca="true">NORMINV(RAND(),0,F$7)</f>
        <v>0.233906930339655</v>
      </c>
      <c r="G657" s="53" t="n">
        <f aca="true">NORMINV(RAND(),0,G$7)</f>
        <v>1.33853750061014</v>
      </c>
      <c r="H657" s="53" t="n">
        <f aca="true">NORMINV(RAND(),0,H$7)</f>
        <v>0.66745669479018</v>
      </c>
      <c r="I657" s="53" t="n">
        <f aca="false">SUM(B657:H657)</f>
        <v>6.8304432006255</v>
      </c>
      <c r="J657" s="53" t="n">
        <f aca="true">NORMINV(RAND(),0,J$7)</f>
        <v>0.557172086599501</v>
      </c>
      <c r="K657" s="53" t="n">
        <f aca="true">NORMINV(RAND(),0,K$7)</f>
        <v>-0.677070927653273</v>
      </c>
      <c r="L657" s="53" t="n">
        <f aca="true">NORMINV(RAND(),0,L$7)</f>
        <v>-0.674998741702847</v>
      </c>
      <c r="M657" s="53" t="n">
        <f aca="true">NORMINV(RAND(),0,M$7)</f>
        <v>0.103429684439113</v>
      </c>
      <c r="N657" s="53" t="n">
        <f aca="true">NORMINV(RAND(),0,N$7)</f>
        <v>0.151764863898985</v>
      </c>
      <c r="O657" s="53" t="n">
        <f aca="false">SUM(J657:N657)</f>
        <v>-0.539703034418522</v>
      </c>
    </row>
    <row r="658" customFormat="false" ht="15" hidden="false" customHeight="false" outlineLevel="0" collapsed="false">
      <c r="A658" s="2" t="n">
        <v>650</v>
      </c>
      <c r="B658" s="53" t="n">
        <f aca="true">NORMINV(RAND(),0,B$7)</f>
        <v>-1.67607446388946</v>
      </c>
      <c r="C658" s="53" t="n">
        <f aca="true">NORMINV(RAND(),0,C$7)</f>
        <v>1.44848052826222</v>
      </c>
      <c r="D658" s="53" t="n">
        <f aca="true">NORMINV(RAND(),0,D$7)</f>
        <v>-1.15462426537861</v>
      </c>
      <c r="E658" s="53" t="n">
        <f aca="true">NORMINV(RAND(),0,E$7)</f>
        <v>-0.24936430479597</v>
      </c>
      <c r="F658" s="53" t="n">
        <f aca="true">NORMINV(RAND(),0,F$7)</f>
        <v>-0.298730089522701</v>
      </c>
      <c r="G658" s="53" t="n">
        <f aca="true">NORMINV(RAND(),0,G$7)</f>
        <v>3.47764963538864</v>
      </c>
      <c r="H658" s="53" t="n">
        <f aca="true">NORMINV(RAND(),0,H$7)</f>
        <v>-0.170867358815862</v>
      </c>
      <c r="I658" s="53" t="n">
        <f aca="false">SUM(B658:H658)</f>
        <v>1.37646968124826</v>
      </c>
      <c r="J658" s="53" t="n">
        <f aca="true">NORMINV(RAND(),0,J$7)</f>
        <v>-4.63431560912515</v>
      </c>
      <c r="K658" s="53" t="n">
        <f aca="true">NORMINV(RAND(),0,K$7)</f>
        <v>-0.847948883442058</v>
      </c>
      <c r="L658" s="53" t="n">
        <f aca="true">NORMINV(RAND(),0,L$7)</f>
        <v>-0.106489189093223</v>
      </c>
      <c r="M658" s="53" t="n">
        <f aca="true">NORMINV(RAND(),0,M$7)</f>
        <v>-0.0893105658652122</v>
      </c>
      <c r="N658" s="53" t="n">
        <f aca="true">NORMINV(RAND(),0,N$7)</f>
        <v>-0.0296302012017781</v>
      </c>
      <c r="O658" s="53" t="n">
        <f aca="false">SUM(J658:N658)</f>
        <v>-5.70769444872742</v>
      </c>
    </row>
    <row r="659" customFormat="false" ht="15" hidden="false" customHeight="false" outlineLevel="0" collapsed="false">
      <c r="A659" s="2" t="n">
        <v>651</v>
      </c>
      <c r="B659" s="53" t="n">
        <f aca="true">NORMINV(RAND(),0,B$7)</f>
        <v>1.99891636057799</v>
      </c>
      <c r="C659" s="53" t="n">
        <f aca="true">NORMINV(RAND(),0,C$7)</f>
        <v>-1.94354554822114</v>
      </c>
      <c r="D659" s="53" t="n">
        <f aca="true">NORMINV(RAND(),0,D$7)</f>
        <v>1.87013057591928</v>
      </c>
      <c r="E659" s="53" t="n">
        <f aca="true">NORMINV(RAND(),0,E$7)</f>
        <v>0.305162888996581</v>
      </c>
      <c r="F659" s="53" t="n">
        <f aca="true">NORMINV(RAND(),0,F$7)</f>
        <v>-0.108118641945767</v>
      </c>
      <c r="G659" s="53" t="n">
        <f aca="true">NORMINV(RAND(),0,G$7)</f>
        <v>-0.552096112028005</v>
      </c>
      <c r="H659" s="53" t="n">
        <f aca="true">NORMINV(RAND(),0,H$7)</f>
        <v>-0.143693556465448</v>
      </c>
      <c r="I659" s="53" t="n">
        <f aca="false">SUM(B659:H659)</f>
        <v>1.42675596683348</v>
      </c>
      <c r="J659" s="53" t="n">
        <f aca="true">NORMINV(RAND(),0,J$7)</f>
        <v>1.17581213710884</v>
      </c>
      <c r="K659" s="53" t="n">
        <f aca="true">NORMINV(RAND(),0,K$7)</f>
        <v>0.500682218197386</v>
      </c>
      <c r="L659" s="53" t="n">
        <f aca="true">NORMINV(RAND(),0,L$7)</f>
        <v>0.167795969295881</v>
      </c>
      <c r="M659" s="53" t="n">
        <f aca="true">NORMINV(RAND(),0,M$7)</f>
        <v>-0.0559596671621517</v>
      </c>
      <c r="N659" s="53" t="n">
        <f aca="true">NORMINV(RAND(),0,N$7)</f>
        <v>-0.382646393578418</v>
      </c>
      <c r="O659" s="53" t="n">
        <f aca="false">SUM(J659:N659)</f>
        <v>1.40568426386154</v>
      </c>
    </row>
    <row r="660" customFormat="false" ht="15" hidden="false" customHeight="false" outlineLevel="0" collapsed="false">
      <c r="A660" s="2" t="n">
        <v>652</v>
      </c>
      <c r="B660" s="53" t="n">
        <f aca="true">NORMINV(RAND(),0,B$7)</f>
        <v>0.333213281643722</v>
      </c>
      <c r="C660" s="53" t="n">
        <f aca="true">NORMINV(RAND(),0,C$7)</f>
        <v>0.369213609878218</v>
      </c>
      <c r="D660" s="53" t="n">
        <f aca="true">NORMINV(RAND(),0,D$7)</f>
        <v>-2.55771412795014</v>
      </c>
      <c r="E660" s="53" t="n">
        <f aca="true">NORMINV(RAND(),0,E$7)</f>
        <v>0.17754137668189</v>
      </c>
      <c r="F660" s="53" t="n">
        <f aca="true">NORMINV(RAND(),0,F$7)</f>
        <v>0.204304904328094</v>
      </c>
      <c r="G660" s="53" t="n">
        <f aca="true">NORMINV(RAND(),0,G$7)</f>
        <v>-2.05549071995358</v>
      </c>
      <c r="H660" s="53" t="n">
        <f aca="true">NORMINV(RAND(),0,H$7)</f>
        <v>0.190105843756734</v>
      </c>
      <c r="I660" s="53" t="n">
        <f aca="false">SUM(B660:H660)</f>
        <v>-3.33882583161506</v>
      </c>
      <c r="J660" s="53" t="n">
        <f aca="true">NORMINV(RAND(),0,J$7)</f>
        <v>2.26041896754022</v>
      </c>
      <c r="K660" s="53" t="n">
        <f aca="true">NORMINV(RAND(),0,K$7)</f>
        <v>-0.703408241824974</v>
      </c>
      <c r="L660" s="53" t="n">
        <f aca="true">NORMINV(RAND(),0,L$7)</f>
        <v>0.539491689129409</v>
      </c>
      <c r="M660" s="53" t="n">
        <f aca="true">NORMINV(RAND(),0,M$7)</f>
        <v>-0.0392551718248024</v>
      </c>
      <c r="N660" s="53" t="n">
        <f aca="true">NORMINV(RAND(),0,N$7)</f>
        <v>0.585772816651125</v>
      </c>
      <c r="O660" s="53" t="n">
        <f aca="false">SUM(J660:N660)</f>
        <v>2.64302005967098</v>
      </c>
    </row>
    <row r="661" customFormat="false" ht="15" hidden="false" customHeight="false" outlineLevel="0" collapsed="false">
      <c r="A661" s="2" t="n">
        <v>653</v>
      </c>
      <c r="B661" s="53" t="n">
        <f aca="true">NORMINV(RAND(),0,B$7)</f>
        <v>-0.662106901289587</v>
      </c>
      <c r="C661" s="53" t="n">
        <f aca="true">NORMINV(RAND(),0,C$7)</f>
        <v>-0.0576571753113501</v>
      </c>
      <c r="D661" s="53" t="n">
        <f aca="true">NORMINV(RAND(),0,D$7)</f>
        <v>0.217555557248607</v>
      </c>
      <c r="E661" s="53" t="n">
        <f aca="true">NORMINV(RAND(),0,E$7)</f>
        <v>0.472412659450811</v>
      </c>
      <c r="F661" s="53" t="n">
        <f aca="true">NORMINV(RAND(),0,F$7)</f>
        <v>0.34216917336412</v>
      </c>
      <c r="G661" s="53" t="n">
        <f aca="true">NORMINV(RAND(),0,G$7)</f>
        <v>1.51533923100528</v>
      </c>
      <c r="H661" s="53" t="n">
        <f aca="true">NORMINV(RAND(),0,H$7)</f>
        <v>-0.633600562424261</v>
      </c>
      <c r="I661" s="53" t="n">
        <f aca="false">SUM(B661:H661)</f>
        <v>1.19411198204362</v>
      </c>
      <c r="J661" s="53" t="n">
        <f aca="true">NORMINV(RAND(),0,J$7)</f>
        <v>2.53530809098303</v>
      </c>
      <c r="K661" s="53" t="n">
        <f aca="true">NORMINV(RAND(),0,K$7)</f>
        <v>-0.500594794359541</v>
      </c>
      <c r="L661" s="53" t="n">
        <f aca="true">NORMINV(RAND(),0,L$7)</f>
        <v>0.205178246923314</v>
      </c>
      <c r="M661" s="53" t="n">
        <f aca="true">NORMINV(RAND(),0,M$7)</f>
        <v>0.282494402287883</v>
      </c>
      <c r="N661" s="53" t="n">
        <f aca="true">NORMINV(RAND(),0,N$7)</f>
        <v>-0.204393925678713</v>
      </c>
      <c r="O661" s="53" t="n">
        <f aca="false">SUM(J661:N661)</f>
        <v>2.31799202015598</v>
      </c>
    </row>
    <row r="662" customFormat="false" ht="15" hidden="false" customHeight="false" outlineLevel="0" collapsed="false">
      <c r="A662" s="2" t="n">
        <v>654</v>
      </c>
      <c r="B662" s="53" t="n">
        <f aca="true">NORMINV(RAND(),0,B$7)</f>
        <v>1.26919979791546</v>
      </c>
      <c r="C662" s="53" t="n">
        <f aca="true">NORMINV(RAND(),0,C$7)</f>
        <v>-1.72672992305951</v>
      </c>
      <c r="D662" s="53" t="n">
        <f aca="true">NORMINV(RAND(),0,D$7)</f>
        <v>2.07148656739434</v>
      </c>
      <c r="E662" s="53" t="n">
        <f aca="true">NORMINV(RAND(),0,E$7)</f>
        <v>0.0105390154211996</v>
      </c>
      <c r="F662" s="53" t="n">
        <f aca="true">NORMINV(RAND(),0,F$7)</f>
        <v>0.171366824786519</v>
      </c>
      <c r="G662" s="53" t="n">
        <f aca="true">NORMINV(RAND(),0,G$7)</f>
        <v>-0.800146908380091</v>
      </c>
      <c r="H662" s="53" t="n">
        <f aca="true">NORMINV(RAND(),0,H$7)</f>
        <v>0.132426121043615</v>
      </c>
      <c r="I662" s="53" t="n">
        <f aca="false">SUM(B662:H662)</f>
        <v>1.12814149512153</v>
      </c>
      <c r="J662" s="53" t="n">
        <f aca="true">NORMINV(RAND(),0,J$7)</f>
        <v>1.53169716412219</v>
      </c>
      <c r="K662" s="53" t="n">
        <f aca="true">NORMINV(RAND(),0,K$7)</f>
        <v>0.092412649177179</v>
      </c>
      <c r="L662" s="53" t="n">
        <f aca="true">NORMINV(RAND(),0,L$7)</f>
        <v>0.338790961684092</v>
      </c>
      <c r="M662" s="53" t="n">
        <f aca="true">NORMINV(RAND(),0,M$7)</f>
        <v>-0.101104579500786</v>
      </c>
      <c r="N662" s="53" t="n">
        <f aca="true">NORMINV(RAND(),0,N$7)</f>
        <v>-0.255267017147119</v>
      </c>
      <c r="O662" s="53" t="n">
        <f aca="false">SUM(J662:N662)</f>
        <v>1.60652917833556</v>
      </c>
    </row>
    <row r="663" customFormat="false" ht="15" hidden="false" customHeight="false" outlineLevel="0" collapsed="false">
      <c r="A663" s="2" t="n">
        <v>655</v>
      </c>
      <c r="B663" s="53" t="n">
        <f aca="true">NORMINV(RAND(),0,B$7)</f>
        <v>1.45386530234524</v>
      </c>
      <c r="C663" s="53" t="n">
        <f aca="true">NORMINV(RAND(),0,C$7)</f>
        <v>2.08486536042473</v>
      </c>
      <c r="D663" s="53" t="n">
        <f aca="true">NORMINV(RAND(),0,D$7)</f>
        <v>1.92619115297677</v>
      </c>
      <c r="E663" s="53" t="n">
        <f aca="true">NORMINV(RAND(),0,E$7)</f>
        <v>-0.492694361566004</v>
      </c>
      <c r="F663" s="53" t="n">
        <f aca="true">NORMINV(RAND(),0,F$7)</f>
        <v>-0.199439385546117</v>
      </c>
      <c r="G663" s="53" t="n">
        <f aca="true">NORMINV(RAND(),0,G$7)</f>
        <v>-1.03944533615073</v>
      </c>
      <c r="H663" s="53" t="n">
        <f aca="true">NORMINV(RAND(),0,H$7)</f>
        <v>-0.242165074795571</v>
      </c>
      <c r="I663" s="53" t="n">
        <f aca="false">SUM(B663:H663)</f>
        <v>3.49117765768832</v>
      </c>
      <c r="J663" s="53" t="n">
        <f aca="true">NORMINV(RAND(),0,J$7)</f>
        <v>-2.99883232207974</v>
      </c>
      <c r="K663" s="53" t="n">
        <f aca="true">NORMINV(RAND(),0,K$7)</f>
        <v>0.375592223153659</v>
      </c>
      <c r="L663" s="53" t="n">
        <f aca="true">NORMINV(RAND(),0,L$7)</f>
        <v>-0.15486359980406</v>
      </c>
      <c r="M663" s="53" t="n">
        <f aca="true">NORMINV(RAND(),0,M$7)</f>
        <v>-0.0887921199550775</v>
      </c>
      <c r="N663" s="53" t="n">
        <f aca="true">NORMINV(RAND(),0,N$7)</f>
        <v>-0.310360917023198</v>
      </c>
      <c r="O663" s="53" t="n">
        <f aca="false">SUM(J663:N663)</f>
        <v>-3.17725673570842</v>
      </c>
    </row>
    <row r="664" customFormat="false" ht="15" hidden="false" customHeight="false" outlineLevel="0" collapsed="false">
      <c r="A664" s="2" t="n">
        <v>656</v>
      </c>
      <c r="B664" s="53" t="n">
        <f aca="true">NORMINV(RAND(),0,B$7)</f>
        <v>-0.112900874186395</v>
      </c>
      <c r="C664" s="53" t="n">
        <f aca="true">NORMINV(RAND(),0,C$7)</f>
        <v>2.98628479061827</v>
      </c>
      <c r="D664" s="53" t="n">
        <f aca="true">NORMINV(RAND(),0,D$7)</f>
        <v>-0.0180076889997337</v>
      </c>
      <c r="E664" s="53" t="n">
        <f aca="true">NORMINV(RAND(),0,E$7)</f>
        <v>0.176501462101177</v>
      </c>
      <c r="F664" s="53" t="n">
        <f aca="true">NORMINV(RAND(),0,F$7)</f>
        <v>0.363864345977472</v>
      </c>
      <c r="G664" s="53" t="n">
        <f aca="true">NORMINV(RAND(),0,G$7)</f>
        <v>0.871920647924553</v>
      </c>
      <c r="H664" s="53" t="n">
        <f aca="true">NORMINV(RAND(),0,H$7)</f>
        <v>0.403027157534041</v>
      </c>
      <c r="I664" s="53" t="n">
        <f aca="false">SUM(B664:H664)</f>
        <v>4.67068984096939</v>
      </c>
      <c r="J664" s="53" t="n">
        <f aca="true">NORMINV(RAND(),0,J$7)</f>
        <v>-0.0668982669351182</v>
      </c>
      <c r="K664" s="53" t="n">
        <f aca="true">NORMINV(RAND(),0,K$7)</f>
        <v>-0.874594713677346</v>
      </c>
      <c r="L664" s="53" t="n">
        <f aca="true">NORMINV(RAND(),0,L$7)</f>
        <v>-0.114762150470045</v>
      </c>
      <c r="M664" s="53" t="n">
        <f aca="true">NORMINV(RAND(),0,M$7)</f>
        <v>0.0538724387343662</v>
      </c>
      <c r="N664" s="53" t="n">
        <f aca="true">NORMINV(RAND(),0,N$7)</f>
        <v>-0.138186982664395</v>
      </c>
      <c r="O664" s="53" t="n">
        <f aca="false">SUM(J664:N664)</f>
        <v>-1.14056967501254</v>
      </c>
    </row>
    <row r="665" customFormat="false" ht="15" hidden="false" customHeight="false" outlineLevel="0" collapsed="false">
      <c r="A665" s="2" t="n">
        <v>657</v>
      </c>
      <c r="B665" s="53" t="n">
        <f aca="true">NORMINV(RAND(),0,B$7)</f>
        <v>-0.918381540576035</v>
      </c>
      <c r="C665" s="53" t="n">
        <f aca="true">NORMINV(RAND(),0,C$7)</f>
        <v>-0.44713835457875</v>
      </c>
      <c r="D665" s="53" t="n">
        <f aca="true">NORMINV(RAND(),0,D$7)</f>
        <v>2.382478341325</v>
      </c>
      <c r="E665" s="53" t="n">
        <f aca="true">NORMINV(RAND(),0,E$7)</f>
        <v>0.595232633535507</v>
      </c>
      <c r="F665" s="53" t="n">
        <f aca="true">NORMINV(RAND(),0,F$7)</f>
        <v>-0.218697047251918</v>
      </c>
      <c r="G665" s="53" t="n">
        <f aca="true">NORMINV(RAND(),0,G$7)</f>
        <v>1.86721314350909</v>
      </c>
      <c r="H665" s="53" t="n">
        <f aca="true">NORMINV(RAND(),0,H$7)</f>
        <v>0.00432226924841172</v>
      </c>
      <c r="I665" s="53" t="n">
        <f aca="false">SUM(B665:H665)</f>
        <v>3.26502944521131</v>
      </c>
      <c r="J665" s="53" t="n">
        <f aca="true">NORMINV(RAND(),0,J$7)</f>
        <v>-0.0818378536855923</v>
      </c>
      <c r="K665" s="53" t="n">
        <f aca="true">NORMINV(RAND(),0,K$7)</f>
        <v>-0.493002524347841</v>
      </c>
      <c r="L665" s="53" t="n">
        <f aca="true">NORMINV(RAND(),0,L$7)</f>
        <v>-0.101072880533461</v>
      </c>
      <c r="M665" s="53" t="n">
        <f aca="true">NORMINV(RAND(),0,M$7)</f>
        <v>0.0488967450557142</v>
      </c>
      <c r="N665" s="53" t="n">
        <f aca="true">NORMINV(RAND(),0,N$7)</f>
        <v>0.104010735093244</v>
      </c>
      <c r="O665" s="53" t="n">
        <f aca="false">SUM(J665:N665)</f>
        <v>-0.523005778417935</v>
      </c>
    </row>
    <row r="666" customFormat="false" ht="15" hidden="false" customHeight="false" outlineLevel="0" collapsed="false">
      <c r="A666" s="2" t="n">
        <v>658</v>
      </c>
      <c r="B666" s="53" t="n">
        <f aca="true">NORMINV(RAND(),0,B$7)</f>
        <v>-0.357422851681076</v>
      </c>
      <c r="C666" s="53" t="n">
        <f aca="true">NORMINV(RAND(),0,C$7)</f>
        <v>0.497285566782013</v>
      </c>
      <c r="D666" s="53" t="n">
        <f aca="true">NORMINV(RAND(),0,D$7)</f>
        <v>-1.62101864440975</v>
      </c>
      <c r="E666" s="53" t="n">
        <f aca="true">NORMINV(RAND(),0,E$7)</f>
        <v>0.21240320444264</v>
      </c>
      <c r="F666" s="53" t="n">
        <f aca="true">NORMINV(RAND(),0,F$7)</f>
        <v>-0.255755102771996</v>
      </c>
      <c r="G666" s="53" t="n">
        <f aca="true">NORMINV(RAND(),0,G$7)</f>
        <v>-0.131302457837897</v>
      </c>
      <c r="H666" s="53" t="n">
        <f aca="true">NORMINV(RAND(),0,H$7)</f>
        <v>-0.3247884499997</v>
      </c>
      <c r="I666" s="53" t="n">
        <f aca="false">SUM(B666:H666)</f>
        <v>-1.98059873547576</v>
      </c>
      <c r="J666" s="53" t="n">
        <f aca="true">NORMINV(RAND(),0,J$7)</f>
        <v>1.69530187531548</v>
      </c>
      <c r="K666" s="53" t="n">
        <f aca="true">NORMINV(RAND(),0,K$7)</f>
        <v>-0.423300357603639</v>
      </c>
      <c r="L666" s="53" t="n">
        <f aca="true">NORMINV(RAND(),0,L$7)</f>
        <v>-0.6038616801804</v>
      </c>
      <c r="M666" s="53" t="n">
        <f aca="true">NORMINV(RAND(),0,M$7)</f>
        <v>-0.0447339449643297</v>
      </c>
      <c r="N666" s="53" t="n">
        <f aca="true">NORMINV(RAND(),0,N$7)</f>
        <v>-0.158591197674823</v>
      </c>
      <c r="O666" s="53" t="n">
        <f aca="false">SUM(J666:N666)</f>
        <v>0.464814694892285</v>
      </c>
    </row>
    <row r="667" customFormat="false" ht="15" hidden="false" customHeight="false" outlineLevel="0" collapsed="false">
      <c r="A667" s="2" t="n">
        <v>659</v>
      </c>
      <c r="B667" s="53" t="n">
        <f aca="true">NORMINV(RAND(),0,B$7)</f>
        <v>0.378559197610923</v>
      </c>
      <c r="C667" s="53" t="n">
        <f aca="true">NORMINV(RAND(),0,C$7)</f>
        <v>-0.0188562481338934</v>
      </c>
      <c r="D667" s="53" t="n">
        <f aca="true">NORMINV(RAND(),0,D$7)</f>
        <v>2.00273127499903</v>
      </c>
      <c r="E667" s="53" t="n">
        <f aca="true">NORMINV(RAND(),0,E$7)</f>
        <v>0.0184337967758557</v>
      </c>
      <c r="F667" s="53" t="n">
        <f aca="true">NORMINV(RAND(),0,F$7)</f>
        <v>-0.0674485511243427</v>
      </c>
      <c r="G667" s="53" t="n">
        <f aca="true">NORMINV(RAND(),0,G$7)</f>
        <v>0.195608077802169</v>
      </c>
      <c r="H667" s="53" t="n">
        <f aca="true">NORMINV(RAND(),0,H$7)</f>
        <v>0.133470220600873</v>
      </c>
      <c r="I667" s="53" t="n">
        <f aca="false">SUM(B667:H667)</f>
        <v>2.64249776853062</v>
      </c>
      <c r="J667" s="53" t="n">
        <f aca="true">NORMINV(RAND(),0,J$7)</f>
        <v>5.3460124631088</v>
      </c>
      <c r="K667" s="53" t="n">
        <f aca="true">NORMINV(RAND(),0,K$7)</f>
        <v>0.939367832990548</v>
      </c>
      <c r="L667" s="53" t="n">
        <f aca="true">NORMINV(RAND(),0,L$7)</f>
        <v>0.246758719766438</v>
      </c>
      <c r="M667" s="53" t="n">
        <f aca="true">NORMINV(RAND(),0,M$7)</f>
        <v>0.155256778991993</v>
      </c>
      <c r="N667" s="53" t="n">
        <f aca="true">NORMINV(RAND(),0,N$7)</f>
        <v>-0.222424900391713</v>
      </c>
      <c r="O667" s="53" t="n">
        <f aca="false">SUM(J667:N667)</f>
        <v>6.46497089446607</v>
      </c>
    </row>
    <row r="668" customFormat="false" ht="15" hidden="false" customHeight="false" outlineLevel="0" collapsed="false">
      <c r="A668" s="2" t="n">
        <v>660</v>
      </c>
      <c r="B668" s="53" t="n">
        <f aca="true">NORMINV(RAND(),0,B$7)</f>
        <v>2.46146416423722</v>
      </c>
      <c r="C668" s="53" t="n">
        <f aca="true">NORMINV(RAND(),0,C$7)</f>
        <v>2.04055176349473</v>
      </c>
      <c r="D668" s="53" t="n">
        <f aca="true">NORMINV(RAND(),0,D$7)</f>
        <v>-0.132255366887765</v>
      </c>
      <c r="E668" s="53" t="n">
        <f aca="true">NORMINV(RAND(),0,E$7)</f>
        <v>-0.429036147113632</v>
      </c>
      <c r="F668" s="53" t="n">
        <f aca="true">NORMINV(RAND(),0,F$7)</f>
        <v>-0.522959089645837</v>
      </c>
      <c r="G668" s="53" t="n">
        <f aca="true">NORMINV(RAND(),0,G$7)</f>
        <v>0.226844479581251</v>
      </c>
      <c r="H668" s="53" t="n">
        <f aca="true">NORMINV(RAND(),0,H$7)</f>
        <v>0.0874827368959074</v>
      </c>
      <c r="I668" s="53" t="n">
        <f aca="false">SUM(B668:H668)</f>
        <v>3.73209254056187</v>
      </c>
      <c r="J668" s="53" t="n">
        <f aca="true">NORMINV(RAND(),0,J$7)</f>
        <v>-0.412034662365092</v>
      </c>
      <c r="K668" s="53" t="n">
        <f aca="true">NORMINV(RAND(),0,K$7)</f>
        <v>-0.797687268011724</v>
      </c>
      <c r="L668" s="53" t="n">
        <f aca="true">NORMINV(RAND(),0,L$7)</f>
        <v>0.0351924234473508</v>
      </c>
      <c r="M668" s="53" t="n">
        <f aca="true">NORMINV(RAND(),0,M$7)</f>
        <v>0.158367929195836</v>
      </c>
      <c r="N668" s="53" t="n">
        <f aca="true">NORMINV(RAND(),0,N$7)</f>
        <v>-0.0343433213358173</v>
      </c>
      <c r="O668" s="53" t="n">
        <f aca="false">SUM(J668:N668)</f>
        <v>-1.05050489906945</v>
      </c>
    </row>
    <row r="669" customFormat="false" ht="15" hidden="false" customHeight="false" outlineLevel="0" collapsed="false">
      <c r="A669" s="2" t="n">
        <v>661</v>
      </c>
      <c r="B669" s="53" t="n">
        <f aca="true">NORMINV(RAND(),0,B$7)</f>
        <v>1.89420820721199</v>
      </c>
      <c r="C669" s="53" t="n">
        <f aca="true">NORMINV(RAND(),0,C$7)</f>
        <v>1.22874799982975</v>
      </c>
      <c r="D669" s="53" t="n">
        <f aca="true">NORMINV(RAND(),0,D$7)</f>
        <v>0.799458490328578</v>
      </c>
      <c r="E669" s="53" t="n">
        <f aca="true">NORMINV(RAND(),0,E$7)</f>
        <v>-0.115366223294737</v>
      </c>
      <c r="F669" s="53" t="n">
        <f aca="true">NORMINV(RAND(),0,F$7)</f>
        <v>-0.0655990931212554</v>
      </c>
      <c r="G669" s="53" t="n">
        <f aca="true">NORMINV(RAND(),0,G$7)</f>
        <v>0.807230746426029</v>
      </c>
      <c r="H669" s="53" t="n">
        <f aca="true">NORMINV(RAND(),0,H$7)</f>
        <v>0.317441341066059</v>
      </c>
      <c r="I669" s="53" t="n">
        <f aca="false">SUM(B669:H669)</f>
        <v>4.86612146844641</v>
      </c>
      <c r="J669" s="53" t="n">
        <f aca="true">NORMINV(RAND(),0,J$7)</f>
        <v>1.16425050767839</v>
      </c>
      <c r="K669" s="53" t="n">
        <f aca="true">NORMINV(RAND(),0,K$7)</f>
        <v>-0.834470641989691</v>
      </c>
      <c r="L669" s="53" t="n">
        <f aca="true">NORMINV(RAND(),0,L$7)</f>
        <v>-0.348365260198837</v>
      </c>
      <c r="M669" s="53" t="n">
        <f aca="true">NORMINV(RAND(),0,M$7)</f>
        <v>-0.0491235647938724</v>
      </c>
      <c r="N669" s="53" t="n">
        <f aca="true">NORMINV(RAND(),0,N$7)</f>
        <v>0.0379599351988768</v>
      </c>
      <c r="O669" s="53" t="n">
        <f aca="false">SUM(J669:N669)</f>
        <v>-0.0297490241051306</v>
      </c>
    </row>
    <row r="670" customFormat="false" ht="15" hidden="false" customHeight="false" outlineLevel="0" collapsed="false">
      <c r="A670" s="2" t="n">
        <v>662</v>
      </c>
      <c r="B670" s="53" t="n">
        <f aca="true">NORMINV(RAND(),0,B$7)</f>
        <v>1.62382448555664</v>
      </c>
      <c r="C670" s="53" t="n">
        <f aca="true">NORMINV(RAND(),0,C$7)</f>
        <v>-1.21399729938929</v>
      </c>
      <c r="D670" s="53" t="n">
        <f aca="true">NORMINV(RAND(),0,D$7)</f>
        <v>1.86989741050596</v>
      </c>
      <c r="E670" s="53" t="n">
        <f aca="true">NORMINV(RAND(),0,E$7)</f>
        <v>0.114036893341719</v>
      </c>
      <c r="F670" s="53" t="n">
        <f aca="true">NORMINV(RAND(),0,F$7)</f>
        <v>0.337695884090816</v>
      </c>
      <c r="G670" s="53" t="n">
        <f aca="true">NORMINV(RAND(),0,G$7)</f>
        <v>-1.80115148740098</v>
      </c>
      <c r="H670" s="53" t="n">
        <f aca="true">NORMINV(RAND(),0,H$7)</f>
        <v>-0.293288059151745</v>
      </c>
      <c r="I670" s="53" t="n">
        <f aca="false">SUM(B670:H670)</f>
        <v>0.637017827553129</v>
      </c>
      <c r="J670" s="53" t="n">
        <f aca="true">NORMINV(RAND(),0,J$7)</f>
        <v>-2.57900966311496</v>
      </c>
      <c r="K670" s="53" t="n">
        <f aca="true">NORMINV(RAND(),0,K$7)</f>
        <v>1.24519872587032</v>
      </c>
      <c r="L670" s="53" t="n">
        <f aca="true">NORMINV(RAND(),0,L$7)</f>
        <v>0.457589117717552</v>
      </c>
      <c r="M670" s="53" t="n">
        <f aca="true">NORMINV(RAND(),0,M$7)</f>
        <v>-0.126766017466554</v>
      </c>
      <c r="N670" s="53" t="n">
        <f aca="true">NORMINV(RAND(),0,N$7)</f>
        <v>-0.315851254733058</v>
      </c>
      <c r="O670" s="53" t="n">
        <f aca="false">SUM(J670:N670)</f>
        <v>-1.3188390917267</v>
      </c>
    </row>
    <row r="671" customFormat="false" ht="15" hidden="false" customHeight="false" outlineLevel="0" collapsed="false">
      <c r="A671" s="2" t="n">
        <v>663</v>
      </c>
      <c r="B671" s="53" t="n">
        <f aca="true">NORMINV(RAND(),0,B$7)</f>
        <v>0.917436116120655</v>
      </c>
      <c r="C671" s="53" t="n">
        <f aca="true">NORMINV(RAND(),0,C$7)</f>
        <v>-0.752635422073389</v>
      </c>
      <c r="D671" s="53" t="n">
        <f aca="true">NORMINV(RAND(),0,D$7)</f>
        <v>0.887991260540811</v>
      </c>
      <c r="E671" s="53" t="n">
        <f aca="true">NORMINV(RAND(),0,E$7)</f>
        <v>0.489063058987502</v>
      </c>
      <c r="F671" s="53" t="n">
        <f aca="true">NORMINV(RAND(),0,F$7)</f>
        <v>-0.496539777533269</v>
      </c>
      <c r="G671" s="53" t="n">
        <f aca="true">NORMINV(RAND(),0,G$7)</f>
        <v>-0.00408910713238524</v>
      </c>
      <c r="H671" s="53" t="n">
        <f aca="true">NORMINV(RAND(),0,H$7)</f>
        <v>-0.460012334905585</v>
      </c>
      <c r="I671" s="53" t="n">
        <f aca="false">SUM(B671:H671)</f>
        <v>0.581213794004339</v>
      </c>
      <c r="J671" s="53" t="n">
        <f aca="true">NORMINV(RAND(),0,J$7)</f>
        <v>-3.04517403348822</v>
      </c>
      <c r="K671" s="53" t="n">
        <f aca="true">NORMINV(RAND(),0,K$7)</f>
        <v>0.557612391581125</v>
      </c>
      <c r="L671" s="53" t="n">
        <f aca="true">NORMINV(RAND(),0,L$7)</f>
        <v>0.449771950857088</v>
      </c>
      <c r="M671" s="53" t="n">
        <f aca="true">NORMINV(RAND(),0,M$7)</f>
        <v>-0.103222088053726</v>
      </c>
      <c r="N671" s="53" t="n">
        <f aca="true">NORMINV(RAND(),0,N$7)</f>
        <v>0.280217780686132</v>
      </c>
      <c r="O671" s="53" t="n">
        <f aca="false">SUM(J671:N671)</f>
        <v>-1.8607939984176</v>
      </c>
    </row>
    <row r="672" customFormat="false" ht="15" hidden="false" customHeight="false" outlineLevel="0" collapsed="false">
      <c r="A672" s="2" t="n">
        <v>664</v>
      </c>
      <c r="B672" s="53" t="n">
        <f aca="true">NORMINV(RAND(),0,B$7)</f>
        <v>3.01369508945949</v>
      </c>
      <c r="C672" s="53" t="n">
        <f aca="true">NORMINV(RAND(),0,C$7)</f>
        <v>1.03918854642094</v>
      </c>
      <c r="D672" s="53" t="n">
        <f aca="true">NORMINV(RAND(),0,D$7)</f>
        <v>0.537154986678522</v>
      </c>
      <c r="E672" s="53" t="n">
        <f aca="true">NORMINV(RAND(),0,E$7)</f>
        <v>0.0749834685070063</v>
      </c>
      <c r="F672" s="53" t="n">
        <f aca="true">NORMINV(RAND(),0,F$7)</f>
        <v>-0.0433472884201169</v>
      </c>
      <c r="G672" s="53" t="n">
        <f aca="true">NORMINV(RAND(),0,G$7)</f>
        <v>-2.04739750134886</v>
      </c>
      <c r="H672" s="53" t="n">
        <f aca="true">NORMINV(RAND(),0,H$7)</f>
        <v>0.0861198752029863</v>
      </c>
      <c r="I672" s="53" t="n">
        <f aca="false">SUM(B672:H672)</f>
        <v>2.66039717649997</v>
      </c>
      <c r="J672" s="53" t="n">
        <f aca="true">NORMINV(RAND(),0,J$7)</f>
        <v>0.147752213906235</v>
      </c>
      <c r="K672" s="53" t="n">
        <f aca="true">NORMINV(RAND(),0,K$7)</f>
        <v>-0.626936323740697</v>
      </c>
      <c r="L672" s="53" t="n">
        <f aca="true">NORMINV(RAND(),0,L$7)</f>
        <v>-0.286788131268372</v>
      </c>
      <c r="M672" s="53" t="n">
        <f aca="true">NORMINV(RAND(),0,M$7)</f>
        <v>0.0605539674304179</v>
      </c>
      <c r="N672" s="53" t="n">
        <f aca="true">NORMINV(RAND(),0,N$7)</f>
        <v>-0.451920951354604</v>
      </c>
      <c r="O672" s="53" t="n">
        <f aca="false">SUM(J672:N672)</f>
        <v>-1.15733922502702</v>
      </c>
    </row>
    <row r="673" customFormat="false" ht="15" hidden="false" customHeight="false" outlineLevel="0" collapsed="false">
      <c r="A673" s="2" t="n">
        <v>665</v>
      </c>
      <c r="B673" s="53" t="n">
        <f aca="true">NORMINV(RAND(),0,B$7)</f>
        <v>2.14992634683462</v>
      </c>
      <c r="C673" s="53" t="n">
        <f aca="true">NORMINV(RAND(),0,C$7)</f>
        <v>-2.46176859936347</v>
      </c>
      <c r="D673" s="53" t="n">
        <f aca="true">NORMINV(RAND(),0,D$7)</f>
        <v>0.350638935054159</v>
      </c>
      <c r="E673" s="53" t="n">
        <f aca="true">NORMINV(RAND(),0,E$7)</f>
        <v>-0.00360786064335879</v>
      </c>
      <c r="F673" s="53" t="n">
        <f aca="true">NORMINV(RAND(),0,F$7)</f>
        <v>-0.118209815348536</v>
      </c>
      <c r="G673" s="53" t="n">
        <f aca="true">NORMINV(RAND(),0,G$7)</f>
        <v>0.793635030040602</v>
      </c>
      <c r="H673" s="53" t="n">
        <f aca="true">NORMINV(RAND(),0,H$7)</f>
        <v>0.412271694491678</v>
      </c>
      <c r="I673" s="53" t="n">
        <f aca="false">SUM(B673:H673)</f>
        <v>1.12288573106569</v>
      </c>
      <c r="J673" s="53" t="n">
        <f aca="true">NORMINV(RAND(),0,J$7)</f>
        <v>-1.15857888664879</v>
      </c>
      <c r="K673" s="53" t="n">
        <f aca="true">NORMINV(RAND(),0,K$7)</f>
        <v>1.02772113591082</v>
      </c>
      <c r="L673" s="53" t="n">
        <f aca="true">NORMINV(RAND(),0,L$7)</f>
        <v>-0.153822160933459</v>
      </c>
      <c r="M673" s="53" t="n">
        <f aca="true">NORMINV(RAND(),0,M$7)</f>
        <v>0.218339310090232</v>
      </c>
      <c r="N673" s="53" t="n">
        <f aca="true">NORMINV(RAND(),0,N$7)</f>
        <v>0.408288959168923</v>
      </c>
      <c r="O673" s="53" t="n">
        <f aca="false">SUM(J673:N673)</f>
        <v>0.34194835758772</v>
      </c>
    </row>
    <row r="674" customFormat="false" ht="15" hidden="false" customHeight="false" outlineLevel="0" collapsed="false">
      <c r="A674" s="2" t="n">
        <v>666</v>
      </c>
      <c r="B674" s="53" t="n">
        <f aca="true">NORMINV(RAND(),0,B$7)</f>
        <v>-2.35265019149647</v>
      </c>
      <c r="C674" s="53" t="n">
        <f aca="true">NORMINV(RAND(),0,C$7)</f>
        <v>-2.13958719862923</v>
      </c>
      <c r="D674" s="53" t="n">
        <f aca="true">NORMINV(RAND(),0,D$7)</f>
        <v>0.759806960208168</v>
      </c>
      <c r="E674" s="53" t="n">
        <f aca="true">NORMINV(RAND(),0,E$7)</f>
        <v>0.142228899050564</v>
      </c>
      <c r="F674" s="53" t="n">
        <f aca="true">NORMINV(RAND(),0,F$7)</f>
        <v>0.0122523163216103</v>
      </c>
      <c r="G674" s="53" t="n">
        <f aca="true">NORMINV(RAND(),0,G$7)</f>
        <v>1.05317547771883</v>
      </c>
      <c r="H674" s="53" t="n">
        <f aca="true">NORMINV(RAND(),0,H$7)</f>
        <v>-0.177814457650884</v>
      </c>
      <c r="I674" s="53" t="n">
        <f aca="false">SUM(B674:H674)</f>
        <v>-2.70258819447741</v>
      </c>
      <c r="J674" s="53" t="n">
        <f aca="true">NORMINV(RAND(),0,J$7)</f>
        <v>2.49518101010021</v>
      </c>
      <c r="K674" s="53" t="n">
        <f aca="true">NORMINV(RAND(),0,K$7)</f>
        <v>-1.03459504734137</v>
      </c>
      <c r="L674" s="53" t="n">
        <f aca="true">NORMINV(RAND(),0,L$7)</f>
        <v>-0.28824425794204</v>
      </c>
      <c r="M674" s="53" t="n">
        <f aca="true">NORMINV(RAND(),0,M$7)</f>
        <v>0.020496332672713</v>
      </c>
      <c r="N674" s="53" t="n">
        <f aca="true">NORMINV(RAND(),0,N$7)</f>
        <v>0.650983347876625</v>
      </c>
      <c r="O674" s="53" t="n">
        <f aca="false">SUM(J674:N674)</f>
        <v>1.84382138536614</v>
      </c>
    </row>
    <row r="675" customFormat="false" ht="15" hidden="false" customHeight="false" outlineLevel="0" collapsed="false">
      <c r="A675" s="2" t="n">
        <v>667</v>
      </c>
      <c r="B675" s="53" t="n">
        <f aca="true">NORMINV(RAND(),0,B$7)</f>
        <v>0.967571412191175</v>
      </c>
      <c r="C675" s="53" t="n">
        <f aca="true">NORMINV(RAND(),0,C$7)</f>
        <v>-0.408880153205577</v>
      </c>
      <c r="D675" s="53" t="n">
        <f aca="true">NORMINV(RAND(),0,D$7)</f>
        <v>1.82992818295097</v>
      </c>
      <c r="E675" s="53" t="n">
        <f aca="true">NORMINV(RAND(),0,E$7)</f>
        <v>-0.185137842337669</v>
      </c>
      <c r="F675" s="53" t="n">
        <f aca="true">NORMINV(RAND(),0,F$7)</f>
        <v>0.154052527302597</v>
      </c>
      <c r="G675" s="53" t="n">
        <f aca="true">NORMINV(RAND(),0,G$7)</f>
        <v>0.552360629678805</v>
      </c>
      <c r="H675" s="53" t="n">
        <f aca="true">NORMINV(RAND(),0,H$7)</f>
        <v>0.0460379330702494</v>
      </c>
      <c r="I675" s="53" t="n">
        <f aca="false">SUM(B675:H675)</f>
        <v>2.95593268965055</v>
      </c>
      <c r="J675" s="53" t="n">
        <f aca="true">NORMINV(RAND(),0,J$7)</f>
        <v>2.02225378457973</v>
      </c>
      <c r="K675" s="53" t="n">
        <f aca="true">NORMINV(RAND(),0,K$7)</f>
        <v>-0.340594566180507</v>
      </c>
      <c r="L675" s="53" t="n">
        <f aca="true">NORMINV(RAND(),0,L$7)</f>
        <v>-0.118564379956848</v>
      </c>
      <c r="M675" s="53" t="n">
        <f aca="true">NORMINV(RAND(),0,M$7)</f>
        <v>-0.208968770416972</v>
      </c>
      <c r="N675" s="53" t="n">
        <f aca="true">NORMINV(RAND(),0,N$7)</f>
        <v>-0.00276886698490771</v>
      </c>
      <c r="O675" s="53" t="n">
        <f aca="false">SUM(J675:N675)</f>
        <v>1.3513572010405</v>
      </c>
    </row>
    <row r="676" customFormat="false" ht="15" hidden="false" customHeight="false" outlineLevel="0" collapsed="false">
      <c r="A676" s="2" t="n">
        <v>668</v>
      </c>
      <c r="B676" s="53" t="n">
        <f aca="true">NORMINV(RAND(),0,B$7)</f>
        <v>0.767488213572421</v>
      </c>
      <c r="C676" s="53" t="n">
        <f aca="true">NORMINV(RAND(),0,C$7)</f>
        <v>-0.401042726785222</v>
      </c>
      <c r="D676" s="53" t="n">
        <f aca="true">NORMINV(RAND(),0,D$7)</f>
        <v>-1.79594335974754</v>
      </c>
      <c r="E676" s="53" t="n">
        <f aca="true">NORMINV(RAND(),0,E$7)</f>
        <v>0.310310031599902</v>
      </c>
      <c r="F676" s="53" t="n">
        <f aca="true">NORMINV(RAND(),0,F$7)</f>
        <v>0.0767540908413118</v>
      </c>
      <c r="G676" s="53" t="n">
        <f aca="true">NORMINV(RAND(),0,G$7)</f>
        <v>-1.15436230441605</v>
      </c>
      <c r="H676" s="53" t="n">
        <f aca="true">NORMINV(RAND(),0,H$7)</f>
        <v>-0.282901443907008</v>
      </c>
      <c r="I676" s="53" t="n">
        <f aca="false">SUM(B676:H676)</f>
        <v>-2.47969749884219</v>
      </c>
      <c r="J676" s="53" t="n">
        <f aca="true">NORMINV(RAND(),0,J$7)</f>
        <v>0.859117466467542</v>
      </c>
      <c r="K676" s="53" t="n">
        <f aca="true">NORMINV(RAND(),0,K$7)</f>
        <v>0.304948052909626</v>
      </c>
      <c r="L676" s="53" t="n">
        <f aca="true">NORMINV(RAND(),0,L$7)</f>
        <v>-0.104613092560437</v>
      </c>
      <c r="M676" s="53" t="n">
        <f aca="true">NORMINV(RAND(),0,M$7)</f>
        <v>0.369546346706507</v>
      </c>
      <c r="N676" s="53" t="n">
        <f aca="true">NORMINV(RAND(),0,N$7)</f>
        <v>-0.318901233221819</v>
      </c>
      <c r="O676" s="53" t="n">
        <f aca="false">SUM(J676:N676)</f>
        <v>1.11009754030142</v>
      </c>
    </row>
    <row r="677" customFormat="false" ht="15" hidden="false" customHeight="false" outlineLevel="0" collapsed="false">
      <c r="A677" s="2" t="n">
        <v>669</v>
      </c>
      <c r="B677" s="53" t="n">
        <f aca="true">NORMINV(RAND(),0,B$7)</f>
        <v>-0.336117851887889</v>
      </c>
      <c r="C677" s="53" t="n">
        <f aca="true">NORMINV(RAND(),0,C$7)</f>
        <v>-0.55944536522699</v>
      </c>
      <c r="D677" s="53" t="n">
        <f aca="true">NORMINV(RAND(),0,D$7)</f>
        <v>-2.34249474060061</v>
      </c>
      <c r="E677" s="53" t="n">
        <f aca="true">NORMINV(RAND(),0,E$7)</f>
        <v>-0.166827987418657</v>
      </c>
      <c r="F677" s="53" t="n">
        <f aca="true">NORMINV(RAND(),0,F$7)</f>
        <v>0.570454023760084</v>
      </c>
      <c r="G677" s="53" t="n">
        <f aca="true">NORMINV(RAND(),0,G$7)</f>
        <v>0.554645179644907</v>
      </c>
      <c r="H677" s="53" t="n">
        <f aca="true">NORMINV(RAND(),0,H$7)</f>
        <v>-0.312011426955484</v>
      </c>
      <c r="I677" s="53" t="n">
        <f aca="false">SUM(B677:H677)</f>
        <v>-2.59179816868464</v>
      </c>
      <c r="J677" s="53" t="n">
        <f aca="true">NORMINV(RAND(),0,J$7)</f>
        <v>0.112312305120147</v>
      </c>
      <c r="K677" s="53" t="n">
        <f aca="true">NORMINV(RAND(),0,K$7)</f>
        <v>-0.246507511599773</v>
      </c>
      <c r="L677" s="53" t="n">
        <f aca="true">NORMINV(RAND(),0,L$7)</f>
        <v>0.379244979163951</v>
      </c>
      <c r="M677" s="53" t="n">
        <f aca="true">NORMINV(RAND(),0,M$7)</f>
        <v>0.0684101924171956</v>
      </c>
      <c r="N677" s="53" t="n">
        <f aca="true">NORMINV(RAND(),0,N$7)</f>
        <v>-0.0279090685181002</v>
      </c>
      <c r="O677" s="53" t="n">
        <f aca="false">SUM(J677:N677)</f>
        <v>0.28555089658342</v>
      </c>
    </row>
    <row r="678" customFormat="false" ht="15" hidden="false" customHeight="false" outlineLevel="0" collapsed="false">
      <c r="A678" s="2" t="n">
        <v>670</v>
      </c>
      <c r="B678" s="53" t="n">
        <f aca="true">NORMINV(RAND(),0,B$7)</f>
        <v>0.923783394333256</v>
      </c>
      <c r="C678" s="53" t="n">
        <f aca="true">NORMINV(RAND(),0,C$7)</f>
        <v>-1.82758104359806</v>
      </c>
      <c r="D678" s="53" t="n">
        <f aca="true">NORMINV(RAND(),0,D$7)</f>
        <v>0.0174172903809807</v>
      </c>
      <c r="E678" s="53" t="n">
        <f aca="true">NORMINV(RAND(),0,E$7)</f>
        <v>-0.09456880226527</v>
      </c>
      <c r="F678" s="53" t="n">
        <f aca="true">NORMINV(RAND(),0,F$7)</f>
        <v>0.0269455634460149</v>
      </c>
      <c r="G678" s="53" t="n">
        <f aca="true">NORMINV(RAND(),0,G$7)</f>
        <v>1.27444484784788</v>
      </c>
      <c r="H678" s="53" t="n">
        <f aca="true">NORMINV(RAND(),0,H$7)</f>
        <v>-0.0811673234742951</v>
      </c>
      <c r="I678" s="53" t="n">
        <f aca="false">SUM(B678:H678)</f>
        <v>0.239273926670501</v>
      </c>
      <c r="J678" s="53" t="n">
        <f aca="true">NORMINV(RAND(),0,J$7)</f>
        <v>0.290264833134012</v>
      </c>
      <c r="K678" s="53" t="n">
        <f aca="true">NORMINV(RAND(),0,K$7)</f>
        <v>-0.610259532207028</v>
      </c>
      <c r="L678" s="53" t="n">
        <f aca="true">NORMINV(RAND(),0,L$7)</f>
        <v>0.38672024162124</v>
      </c>
      <c r="M678" s="53" t="n">
        <f aca="true">NORMINV(RAND(),0,M$7)</f>
        <v>0.117922038062358</v>
      </c>
      <c r="N678" s="53" t="n">
        <f aca="true">NORMINV(RAND(),0,N$7)</f>
        <v>-0.393167701351149</v>
      </c>
      <c r="O678" s="53" t="n">
        <f aca="false">SUM(J678:N678)</f>
        <v>-0.208520120740567</v>
      </c>
    </row>
    <row r="679" customFormat="false" ht="15" hidden="false" customHeight="false" outlineLevel="0" collapsed="false">
      <c r="A679" s="2" t="n">
        <v>671</v>
      </c>
      <c r="B679" s="53" t="n">
        <f aca="true">NORMINV(RAND(),0,B$7)</f>
        <v>2.02884090473498</v>
      </c>
      <c r="C679" s="53" t="n">
        <f aca="true">NORMINV(RAND(),0,C$7)</f>
        <v>1.24082715804428</v>
      </c>
      <c r="D679" s="53" t="n">
        <f aca="true">NORMINV(RAND(),0,D$7)</f>
        <v>0.774860285497421</v>
      </c>
      <c r="E679" s="53" t="n">
        <f aca="true">NORMINV(RAND(),0,E$7)</f>
        <v>-0.588846518084586</v>
      </c>
      <c r="F679" s="53" t="n">
        <f aca="true">NORMINV(RAND(),0,F$7)</f>
        <v>-0.22170005688285</v>
      </c>
      <c r="G679" s="53" t="n">
        <f aca="true">NORMINV(RAND(),0,G$7)</f>
        <v>0.151566474080918</v>
      </c>
      <c r="H679" s="53" t="n">
        <f aca="true">NORMINV(RAND(),0,H$7)</f>
        <v>-0.205031347516366</v>
      </c>
      <c r="I679" s="53" t="n">
        <f aca="false">SUM(B679:H679)</f>
        <v>3.1805168998738</v>
      </c>
      <c r="J679" s="53" t="n">
        <f aca="true">NORMINV(RAND(),0,J$7)</f>
        <v>-0.422962639666814</v>
      </c>
      <c r="K679" s="53" t="n">
        <f aca="true">NORMINV(RAND(),0,K$7)</f>
        <v>0.521647089621633</v>
      </c>
      <c r="L679" s="53" t="n">
        <f aca="true">NORMINV(RAND(),0,L$7)</f>
        <v>0.553237680558432</v>
      </c>
      <c r="M679" s="53" t="n">
        <f aca="true">NORMINV(RAND(),0,M$7)</f>
        <v>-0.352616106038021</v>
      </c>
      <c r="N679" s="53" t="n">
        <f aca="true">NORMINV(RAND(),0,N$7)</f>
        <v>0.211909848576183</v>
      </c>
      <c r="O679" s="53" t="n">
        <f aca="false">SUM(J679:N679)</f>
        <v>0.511215873051413</v>
      </c>
    </row>
    <row r="680" customFormat="false" ht="15" hidden="false" customHeight="false" outlineLevel="0" collapsed="false">
      <c r="A680" s="2" t="n">
        <v>672</v>
      </c>
      <c r="B680" s="53" t="n">
        <f aca="true">NORMINV(RAND(),0,B$7)</f>
        <v>-1.0997833005221</v>
      </c>
      <c r="C680" s="53" t="n">
        <f aca="true">NORMINV(RAND(),0,C$7)</f>
        <v>3.72085964229417</v>
      </c>
      <c r="D680" s="53" t="n">
        <f aca="true">NORMINV(RAND(),0,D$7)</f>
        <v>2.77550912649283</v>
      </c>
      <c r="E680" s="53" t="n">
        <f aca="true">NORMINV(RAND(),0,E$7)</f>
        <v>0.396168150997348</v>
      </c>
      <c r="F680" s="53" t="n">
        <f aca="true">NORMINV(RAND(),0,F$7)</f>
        <v>0.559251806907117</v>
      </c>
      <c r="G680" s="53" t="n">
        <f aca="true">NORMINV(RAND(),0,G$7)</f>
        <v>1.80440523105566</v>
      </c>
      <c r="H680" s="53" t="n">
        <f aca="true">NORMINV(RAND(),0,H$7)</f>
        <v>-0.289903984909017</v>
      </c>
      <c r="I680" s="53" t="n">
        <f aca="false">SUM(B680:H680)</f>
        <v>7.86650667231602</v>
      </c>
      <c r="J680" s="53" t="n">
        <f aca="true">NORMINV(RAND(),0,J$7)</f>
        <v>-2.09184937980437</v>
      </c>
      <c r="K680" s="53" t="n">
        <f aca="true">NORMINV(RAND(),0,K$7)</f>
        <v>0.565641008478265</v>
      </c>
      <c r="L680" s="53" t="n">
        <f aca="true">NORMINV(RAND(),0,L$7)</f>
        <v>0.389707123329639</v>
      </c>
      <c r="M680" s="53" t="n">
        <f aca="true">NORMINV(RAND(),0,M$7)</f>
        <v>0.423650314958806</v>
      </c>
      <c r="N680" s="53" t="n">
        <f aca="true">NORMINV(RAND(),0,N$7)</f>
        <v>0.181268040050678</v>
      </c>
      <c r="O680" s="53" t="n">
        <f aca="false">SUM(J680:N680)</f>
        <v>-0.531582892986988</v>
      </c>
    </row>
    <row r="681" customFormat="false" ht="15" hidden="false" customHeight="false" outlineLevel="0" collapsed="false">
      <c r="A681" s="2" t="n">
        <v>673</v>
      </c>
      <c r="B681" s="53" t="n">
        <f aca="true">NORMINV(RAND(),0,B$7)</f>
        <v>1.37818320014069</v>
      </c>
      <c r="C681" s="53" t="n">
        <f aca="true">NORMINV(RAND(),0,C$7)</f>
        <v>1.54215493988438</v>
      </c>
      <c r="D681" s="53" t="n">
        <f aca="true">NORMINV(RAND(),0,D$7)</f>
        <v>2.60598361875924</v>
      </c>
      <c r="E681" s="53" t="n">
        <f aca="true">NORMINV(RAND(),0,E$7)</f>
        <v>-0.348925620374835</v>
      </c>
      <c r="F681" s="53" t="n">
        <f aca="true">NORMINV(RAND(),0,F$7)</f>
        <v>0.31805469620902</v>
      </c>
      <c r="G681" s="53" t="n">
        <f aca="true">NORMINV(RAND(),0,G$7)</f>
        <v>-1.71216083633683</v>
      </c>
      <c r="H681" s="53" t="n">
        <f aca="true">NORMINV(RAND(),0,H$7)</f>
        <v>-0.444656627172163</v>
      </c>
      <c r="I681" s="53" t="n">
        <f aca="false">SUM(B681:H681)</f>
        <v>3.33863337110951</v>
      </c>
      <c r="J681" s="53" t="n">
        <f aca="true">NORMINV(RAND(),0,J$7)</f>
        <v>2.60991067459969</v>
      </c>
      <c r="K681" s="53" t="n">
        <f aca="true">NORMINV(RAND(),0,K$7)</f>
        <v>0.381322328875831</v>
      </c>
      <c r="L681" s="53" t="n">
        <f aca="true">NORMINV(RAND(),0,L$7)</f>
        <v>-0.00750135490018806</v>
      </c>
      <c r="M681" s="53" t="n">
        <f aca="true">NORMINV(RAND(),0,M$7)</f>
        <v>-0.0671201260576579</v>
      </c>
      <c r="N681" s="53" t="n">
        <f aca="true">NORMINV(RAND(),0,N$7)</f>
        <v>-0.590511032038139</v>
      </c>
      <c r="O681" s="53" t="n">
        <f aca="false">SUM(J681:N681)</f>
        <v>2.32610049047953</v>
      </c>
    </row>
    <row r="682" customFormat="false" ht="15" hidden="false" customHeight="false" outlineLevel="0" collapsed="false">
      <c r="A682" s="2" t="n">
        <v>674</v>
      </c>
      <c r="B682" s="53" t="n">
        <f aca="true">NORMINV(RAND(),0,B$7)</f>
        <v>0.524345724601478</v>
      </c>
      <c r="C682" s="53" t="n">
        <f aca="true">NORMINV(RAND(),0,C$7)</f>
        <v>0.824903293019515</v>
      </c>
      <c r="D682" s="53" t="n">
        <f aca="true">NORMINV(RAND(),0,D$7)</f>
        <v>-1.50002576925742</v>
      </c>
      <c r="E682" s="53" t="n">
        <f aca="true">NORMINV(RAND(),0,E$7)</f>
        <v>-0.0195194354082887</v>
      </c>
      <c r="F682" s="53" t="n">
        <f aca="true">NORMINV(RAND(),0,F$7)</f>
        <v>0.402455482083169</v>
      </c>
      <c r="G682" s="53" t="n">
        <f aca="true">NORMINV(RAND(),0,G$7)</f>
        <v>1.15829327835231</v>
      </c>
      <c r="H682" s="53" t="n">
        <f aca="true">NORMINV(RAND(),0,H$7)</f>
        <v>-0.238533861963184</v>
      </c>
      <c r="I682" s="53" t="n">
        <f aca="false">SUM(B682:H682)</f>
        <v>1.15191871142758</v>
      </c>
      <c r="J682" s="53" t="n">
        <f aca="true">NORMINV(RAND(),0,J$7)</f>
        <v>-0.183303618957776</v>
      </c>
      <c r="K682" s="53" t="n">
        <f aca="true">NORMINV(RAND(),0,K$7)</f>
        <v>0.71157785530555</v>
      </c>
      <c r="L682" s="53" t="n">
        <f aca="true">NORMINV(RAND(),0,L$7)</f>
        <v>0.0654009961328722</v>
      </c>
      <c r="M682" s="53" t="n">
        <f aca="true">NORMINV(RAND(),0,M$7)</f>
        <v>-0.110277226957949</v>
      </c>
      <c r="N682" s="53" t="n">
        <f aca="true">NORMINV(RAND(),0,N$7)</f>
        <v>-0.166150549497275</v>
      </c>
      <c r="O682" s="53" t="n">
        <f aca="false">SUM(J682:N682)</f>
        <v>0.317247456025422</v>
      </c>
    </row>
    <row r="683" customFormat="false" ht="15" hidden="false" customHeight="false" outlineLevel="0" collapsed="false">
      <c r="A683" s="2" t="n">
        <v>675</v>
      </c>
      <c r="B683" s="53" t="n">
        <f aca="true">NORMINV(RAND(),0,B$7)</f>
        <v>-1.04649762347978</v>
      </c>
      <c r="C683" s="53" t="n">
        <f aca="true">NORMINV(RAND(),0,C$7)</f>
        <v>-0.54234463378386</v>
      </c>
      <c r="D683" s="53" t="n">
        <f aca="true">NORMINV(RAND(),0,D$7)</f>
        <v>-3.23683926216791</v>
      </c>
      <c r="E683" s="53" t="n">
        <f aca="true">NORMINV(RAND(),0,E$7)</f>
        <v>0.347713761630115</v>
      </c>
      <c r="F683" s="53" t="n">
        <f aca="true">NORMINV(RAND(),0,F$7)</f>
        <v>0.0200364384890713</v>
      </c>
      <c r="G683" s="53" t="n">
        <f aca="true">NORMINV(RAND(),0,G$7)</f>
        <v>-0.43604402599392</v>
      </c>
      <c r="H683" s="53" t="n">
        <f aca="true">NORMINV(RAND(),0,H$7)</f>
        <v>-0.500719095976336</v>
      </c>
      <c r="I683" s="53" t="n">
        <f aca="false">SUM(B683:H683)</f>
        <v>-5.39469444128262</v>
      </c>
      <c r="J683" s="53" t="n">
        <f aca="true">NORMINV(RAND(),0,J$7)</f>
        <v>0.78337978747519</v>
      </c>
      <c r="K683" s="53" t="n">
        <f aca="true">NORMINV(RAND(),0,K$7)</f>
        <v>-1.07689620989102</v>
      </c>
      <c r="L683" s="53" t="n">
        <f aca="true">NORMINV(RAND(),0,L$7)</f>
        <v>-0.667442805320847</v>
      </c>
      <c r="M683" s="53" t="n">
        <f aca="true">NORMINV(RAND(),0,M$7)</f>
        <v>-0.188725113742222</v>
      </c>
      <c r="N683" s="53" t="n">
        <f aca="true">NORMINV(RAND(),0,N$7)</f>
        <v>-0.457497026320904</v>
      </c>
      <c r="O683" s="53" t="n">
        <f aca="false">SUM(J683:N683)</f>
        <v>-1.60718136779981</v>
      </c>
    </row>
    <row r="684" customFormat="false" ht="15" hidden="false" customHeight="false" outlineLevel="0" collapsed="false">
      <c r="A684" s="2" t="n">
        <v>676</v>
      </c>
      <c r="B684" s="53" t="n">
        <f aca="true">NORMINV(RAND(),0,B$7)</f>
        <v>-1.3529618369406</v>
      </c>
      <c r="C684" s="53" t="n">
        <f aca="true">NORMINV(RAND(),0,C$7)</f>
        <v>-1.28368393543778</v>
      </c>
      <c r="D684" s="53" t="n">
        <f aca="true">NORMINV(RAND(),0,D$7)</f>
        <v>-1.05797986114972</v>
      </c>
      <c r="E684" s="53" t="n">
        <f aca="true">NORMINV(RAND(),0,E$7)</f>
        <v>0.0068814315169144</v>
      </c>
      <c r="F684" s="53" t="n">
        <f aca="true">NORMINV(RAND(),0,F$7)</f>
        <v>-0.237724063989728</v>
      </c>
      <c r="G684" s="53" t="n">
        <f aca="true">NORMINV(RAND(),0,G$7)</f>
        <v>0.42936454601566</v>
      </c>
      <c r="H684" s="53" t="n">
        <f aca="true">NORMINV(RAND(),0,H$7)</f>
        <v>-0.38180498150964</v>
      </c>
      <c r="I684" s="53" t="n">
        <f aca="false">SUM(B684:H684)</f>
        <v>-3.87790870149489</v>
      </c>
      <c r="J684" s="53" t="n">
        <f aca="true">NORMINV(RAND(),0,J$7)</f>
        <v>0.202263010267972</v>
      </c>
      <c r="K684" s="53" t="n">
        <f aca="true">NORMINV(RAND(),0,K$7)</f>
        <v>-0.544972294771289</v>
      </c>
      <c r="L684" s="53" t="n">
        <f aca="true">NORMINV(RAND(),0,L$7)</f>
        <v>0.172533518062055</v>
      </c>
      <c r="M684" s="53" t="n">
        <f aca="true">NORMINV(RAND(),0,M$7)</f>
        <v>-0.172406794242641</v>
      </c>
      <c r="N684" s="53" t="n">
        <f aca="true">NORMINV(RAND(),0,N$7)</f>
        <v>0.413676838333191</v>
      </c>
      <c r="O684" s="53" t="n">
        <f aca="false">SUM(J684:N684)</f>
        <v>0.0710942776492874</v>
      </c>
    </row>
    <row r="685" customFormat="false" ht="15" hidden="false" customHeight="false" outlineLevel="0" collapsed="false">
      <c r="A685" s="2" t="n">
        <v>677</v>
      </c>
      <c r="B685" s="53" t="n">
        <f aca="true">NORMINV(RAND(),0,B$7)</f>
        <v>3.14021913736664</v>
      </c>
      <c r="C685" s="53" t="n">
        <f aca="true">NORMINV(RAND(),0,C$7)</f>
        <v>3.5652770869277</v>
      </c>
      <c r="D685" s="53" t="n">
        <f aca="true">NORMINV(RAND(),0,D$7)</f>
        <v>0.145727183024262</v>
      </c>
      <c r="E685" s="53" t="n">
        <f aca="true">NORMINV(RAND(),0,E$7)</f>
        <v>0.17770862318759</v>
      </c>
      <c r="F685" s="53" t="n">
        <f aca="true">NORMINV(RAND(),0,F$7)</f>
        <v>-0.132827524492663</v>
      </c>
      <c r="G685" s="53" t="n">
        <f aca="true">NORMINV(RAND(),0,G$7)</f>
        <v>0.698317966604964</v>
      </c>
      <c r="H685" s="53" t="n">
        <f aca="true">NORMINV(RAND(),0,H$7)</f>
        <v>0.658093356519139</v>
      </c>
      <c r="I685" s="53" t="n">
        <f aca="false">SUM(B685:H685)</f>
        <v>8.25251582913764</v>
      </c>
      <c r="J685" s="53" t="n">
        <f aca="true">NORMINV(RAND(),0,J$7)</f>
        <v>3.95304880305462</v>
      </c>
      <c r="K685" s="53" t="n">
        <f aca="true">NORMINV(RAND(),0,K$7)</f>
        <v>0.546954504120715</v>
      </c>
      <c r="L685" s="53" t="n">
        <f aca="true">NORMINV(RAND(),0,L$7)</f>
        <v>-0.0581541569739561</v>
      </c>
      <c r="M685" s="53" t="n">
        <f aca="true">NORMINV(RAND(),0,M$7)</f>
        <v>0.594454216663708</v>
      </c>
      <c r="N685" s="53" t="n">
        <f aca="true">NORMINV(RAND(),0,N$7)</f>
        <v>-0.168949721400989</v>
      </c>
      <c r="O685" s="53" t="n">
        <f aca="false">SUM(J685:N685)</f>
        <v>4.8673536454641</v>
      </c>
    </row>
    <row r="686" customFormat="false" ht="15" hidden="false" customHeight="false" outlineLevel="0" collapsed="false">
      <c r="A686" s="2" t="n">
        <v>678</v>
      </c>
      <c r="B686" s="53" t="n">
        <f aca="true">NORMINV(RAND(),0,B$7)</f>
        <v>-0.785652962076154</v>
      </c>
      <c r="C686" s="53" t="n">
        <f aca="true">NORMINV(RAND(),0,C$7)</f>
        <v>1.97360987976812</v>
      </c>
      <c r="D686" s="53" t="n">
        <f aca="true">NORMINV(RAND(),0,D$7)</f>
        <v>0.982241641078811</v>
      </c>
      <c r="E686" s="53" t="n">
        <f aca="true">NORMINV(RAND(),0,E$7)</f>
        <v>0.33240930590171</v>
      </c>
      <c r="F686" s="53" t="n">
        <f aca="true">NORMINV(RAND(),0,F$7)</f>
        <v>0.0424644157671343</v>
      </c>
      <c r="G686" s="53" t="n">
        <f aca="true">NORMINV(RAND(),0,G$7)</f>
        <v>1.55671545550876</v>
      </c>
      <c r="H686" s="53" t="n">
        <f aca="true">NORMINV(RAND(),0,H$7)</f>
        <v>-0.158183510839318</v>
      </c>
      <c r="I686" s="53" t="n">
        <f aca="false">SUM(B686:H686)</f>
        <v>3.94360422510907</v>
      </c>
      <c r="J686" s="53" t="n">
        <f aca="true">NORMINV(RAND(),0,J$7)</f>
        <v>-0.699736816961851</v>
      </c>
      <c r="K686" s="53" t="n">
        <f aca="true">NORMINV(RAND(),0,K$7)</f>
        <v>0.0852822935566848</v>
      </c>
      <c r="L686" s="53" t="n">
        <f aca="true">NORMINV(RAND(),0,L$7)</f>
        <v>-0.347878489431487</v>
      </c>
      <c r="M686" s="53" t="n">
        <f aca="true">NORMINV(RAND(),0,M$7)</f>
        <v>0.254080504768355</v>
      </c>
      <c r="N686" s="53" t="n">
        <f aca="true">NORMINV(RAND(),0,N$7)</f>
        <v>-0.0104224567221524</v>
      </c>
      <c r="O686" s="53" t="n">
        <f aca="false">SUM(J686:N686)</f>
        <v>-0.71867496479045</v>
      </c>
    </row>
    <row r="687" customFormat="false" ht="15" hidden="false" customHeight="false" outlineLevel="0" collapsed="false">
      <c r="A687" s="2" t="n">
        <v>679</v>
      </c>
      <c r="B687" s="53" t="n">
        <f aca="true">NORMINV(RAND(),0,B$7)</f>
        <v>1.19656095055787</v>
      </c>
      <c r="C687" s="53" t="n">
        <f aca="true">NORMINV(RAND(),0,C$7)</f>
        <v>-0.333653667494554</v>
      </c>
      <c r="D687" s="53" t="n">
        <f aca="true">NORMINV(RAND(),0,D$7)</f>
        <v>-4.00849197139328</v>
      </c>
      <c r="E687" s="53" t="n">
        <f aca="true">NORMINV(RAND(),0,E$7)</f>
        <v>0.102070910249306</v>
      </c>
      <c r="F687" s="53" t="n">
        <f aca="true">NORMINV(RAND(),0,F$7)</f>
        <v>0.120992984287886</v>
      </c>
      <c r="G687" s="53" t="n">
        <f aca="true">NORMINV(RAND(),0,G$7)</f>
        <v>1.31338734786083</v>
      </c>
      <c r="H687" s="53" t="n">
        <f aca="true">NORMINV(RAND(),0,H$7)</f>
        <v>0.149612667735165</v>
      </c>
      <c r="I687" s="53" t="n">
        <f aca="false">SUM(B687:H687)</f>
        <v>-1.45952077819677</v>
      </c>
      <c r="J687" s="53" t="n">
        <f aca="true">NORMINV(RAND(),0,J$7)</f>
        <v>0.716011571032405</v>
      </c>
      <c r="K687" s="53" t="n">
        <f aca="true">NORMINV(RAND(),0,K$7)</f>
        <v>0.209458074686285</v>
      </c>
      <c r="L687" s="53" t="n">
        <f aca="true">NORMINV(RAND(),0,L$7)</f>
        <v>-0.17729864109435</v>
      </c>
      <c r="M687" s="53" t="n">
        <f aca="true">NORMINV(RAND(),0,M$7)</f>
        <v>-0.0310662297637347</v>
      </c>
      <c r="N687" s="53" t="n">
        <f aca="true">NORMINV(RAND(),0,N$7)</f>
        <v>0.461804450771476</v>
      </c>
      <c r="O687" s="53" t="n">
        <f aca="false">SUM(J687:N687)</f>
        <v>1.17890922563208</v>
      </c>
    </row>
    <row r="688" customFormat="false" ht="15" hidden="false" customHeight="false" outlineLevel="0" collapsed="false">
      <c r="A688" s="2" t="n">
        <v>680</v>
      </c>
      <c r="B688" s="53" t="n">
        <f aca="true">NORMINV(RAND(),0,B$7)</f>
        <v>0.0499959943956102</v>
      </c>
      <c r="C688" s="53" t="n">
        <f aca="true">NORMINV(RAND(),0,C$7)</f>
        <v>-1.61658027661962</v>
      </c>
      <c r="D688" s="53" t="n">
        <f aca="true">NORMINV(RAND(),0,D$7)</f>
        <v>0.508911212327453</v>
      </c>
      <c r="E688" s="53" t="n">
        <f aca="true">NORMINV(RAND(),0,E$7)</f>
        <v>0.494049517901308</v>
      </c>
      <c r="F688" s="53" t="n">
        <f aca="true">NORMINV(RAND(),0,F$7)</f>
        <v>0.310509081702062</v>
      </c>
      <c r="G688" s="53" t="n">
        <f aca="true">NORMINV(RAND(),0,G$7)</f>
        <v>0.364205050726784</v>
      </c>
      <c r="H688" s="53" t="n">
        <f aca="true">NORMINV(RAND(),0,H$7)</f>
        <v>0.343687761542188</v>
      </c>
      <c r="I688" s="53" t="n">
        <f aca="false">SUM(B688:H688)</f>
        <v>0.454778341975782</v>
      </c>
      <c r="J688" s="53" t="n">
        <f aca="true">NORMINV(RAND(),0,J$7)</f>
        <v>-1.05530057213929</v>
      </c>
      <c r="K688" s="53" t="n">
        <f aca="true">NORMINV(RAND(),0,K$7)</f>
        <v>0.0650505795442716</v>
      </c>
      <c r="L688" s="53" t="n">
        <f aca="true">NORMINV(RAND(),0,L$7)</f>
        <v>-0.312161687264006</v>
      </c>
      <c r="M688" s="53" t="n">
        <f aca="true">NORMINV(RAND(),0,M$7)</f>
        <v>-0.126248038033337</v>
      </c>
      <c r="N688" s="53" t="n">
        <f aca="true">NORMINV(RAND(),0,N$7)</f>
        <v>0.173294061451365</v>
      </c>
      <c r="O688" s="53" t="n">
        <f aca="false">SUM(J688:N688)</f>
        <v>-1.255365656441</v>
      </c>
    </row>
    <row r="689" customFormat="false" ht="15" hidden="false" customHeight="false" outlineLevel="0" collapsed="false">
      <c r="A689" s="2" t="n">
        <v>681</v>
      </c>
      <c r="B689" s="53" t="n">
        <f aca="true">NORMINV(RAND(),0,B$7)</f>
        <v>-0.584913475785394</v>
      </c>
      <c r="C689" s="53" t="n">
        <f aca="true">NORMINV(RAND(),0,C$7)</f>
        <v>0.0885165743338833</v>
      </c>
      <c r="D689" s="53" t="n">
        <f aca="true">NORMINV(RAND(),0,D$7)</f>
        <v>0.856642074666967</v>
      </c>
      <c r="E689" s="53" t="n">
        <f aca="true">NORMINV(RAND(),0,E$7)</f>
        <v>-0.0763788446306955</v>
      </c>
      <c r="F689" s="53" t="n">
        <f aca="true">NORMINV(RAND(),0,F$7)</f>
        <v>0.00231787877681518</v>
      </c>
      <c r="G689" s="53" t="n">
        <f aca="true">NORMINV(RAND(),0,G$7)</f>
        <v>0.93239756005893</v>
      </c>
      <c r="H689" s="53" t="n">
        <f aca="true">NORMINV(RAND(),0,H$7)</f>
        <v>-0.109550829710962</v>
      </c>
      <c r="I689" s="53" t="n">
        <f aca="false">SUM(B689:H689)</f>
        <v>1.10903093770954</v>
      </c>
      <c r="J689" s="53" t="n">
        <f aca="true">NORMINV(RAND(),0,J$7)</f>
        <v>-1.17274177177011</v>
      </c>
      <c r="K689" s="53" t="n">
        <f aca="true">NORMINV(RAND(),0,K$7)</f>
        <v>-0.393572574875368</v>
      </c>
      <c r="L689" s="53" t="n">
        <f aca="true">NORMINV(RAND(),0,L$7)</f>
        <v>-0.440590628621504</v>
      </c>
      <c r="M689" s="53" t="n">
        <f aca="true">NORMINV(RAND(),0,M$7)</f>
        <v>0.245516666936024</v>
      </c>
      <c r="N689" s="53" t="n">
        <f aca="true">NORMINV(RAND(),0,N$7)</f>
        <v>-0.874584880167213</v>
      </c>
      <c r="O689" s="53" t="n">
        <f aca="false">SUM(J689:N689)</f>
        <v>-2.63597318849817</v>
      </c>
    </row>
    <row r="690" customFormat="false" ht="15" hidden="false" customHeight="false" outlineLevel="0" collapsed="false">
      <c r="A690" s="2" t="n">
        <v>682</v>
      </c>
      <c r="B690" s="53" t="n">
        <f aca="true">NORMINV(RAND(),0,B$7)</f>
        <v>1.47241123594758</v>
      </c>
      <c r="C690" s="53" t="n">
        <f aca="true">NORMINV(RAND(),0,C$7)</f>
        <v>-0.428145258819986</v>
      </c>
      <c r="D690" s="53" t="n">
        <f aca="true">NORMINV(RAND(),0,D$7)</f>
        <v>-0.0134165836097895</v>
      </c>
      <c r="E690" s="53" t="n">
        <f aca="true">NORMINV(RAND(),0,E$7)</f>
        <v>0.180824376167811</v>
      </c>
      <c r="F690" s="53" t="n">
        <f aca="true">NORMINV(RAND(),0,F$7)</f>
        <v>0.00672814202917213</v>
      </c>
      <c r="G690" s="53" t="n">
        <f aca="true">NORMINV(RAND(),0,G$7)</f>
        <v>-1.34730069957475</v>
      </c>
      <c r="H690" s="53" t="n">
        <f aca="true">NORMINV(RAND(),0,H$7)</f>
        <v>-0.10190851873708</v>
      </c>
      <c r="I690" s="53" t="n">
        <f aca="false">SUM(B690:H690)</f>
        <v>-0.230807306597039</v>
      </c>
      <c r="J690" s="53" t="n">
        <f aca="true">NORMINV(RAND(),0,J$7)</f>
        <v>-1.56539494042135</v>
      </c>
      <c r="K690" s="53" t="n">
        <f aca="true">NORMINV(RAND(),0,K$7)</f>
        <v>-0.30645922908868</v>
      </c>
      <c r="L690" s="53" t="n">
        <f aca="true">NORMINV(RAND(),0,L$7)</f>
        <v>-0.358380181925</v>
      </c>
      <c r="M690" s="53" t="n">
        <f aca="true">NORMINV(RAND(),0,M$7)</f>
        <v>0.13896688726091</v>
      </c>
      <c r="N690" s="53" t="n">
        <f aca="true">NORMINV(RAND(),0,N$7)</f>
        <v>0.163567525272706</v>
      </c>
      <c r="O690" s="53" t="n">
        <f aca="false">SUM(J690:N690)</f>
        <v>-1.92769993890141</v>
      </c>
    </row>
    <row r="691" customFormat="false" ht="15" hidden="false" customHeight="false" outlineLevel="0" collapsed="false">
      <c r="A691" s="2" t="n">
        <v>683</v>
      </c>
      <c r="B691" s="53" t="n">
        <f aca="true">NORMINV(RAND(),0,B$7)</f>
        <v>-0.146639295178607</v>
      </c>
      <c r="C691" s="53" t="n">
        <f aca="true">NORMINV(RAND(),0,C$7)</f>
        <v>0.986168301261687</v>
      </c>
      <c r="D691" s="53" t="n">
        <f aca="true">NORMINV(RAND(),0,D$7)</f>
        <v>-1.35173305928099</v>
      </c>
      <c r="E691" s="53" t="n">
        <f aca="true">NORMINV(RAND(),0,E$7)</f>
        <v>-0.0710478663292851</v>
      </c>
      <c r="F691" s="53" t="n">
        <f aca="true">NORMINV(RAND(),0,F$7)</f>
        <v>-0.0478587791368941</v>
      </c>
      <c r="G691" s="53" t="n">
        <f aca="true">NORMINV(RAND(),0,G$7)</f>
        <v>-2.32161342523852</v>
      </c>
      <c r="H691" s="53" t="n">
        <f aca="true">NORMINV(RAND(),0,H$7)</f>
        <v>0.344342068770582</v>
      </c>
      <c r="I691" s="53" t="n">
        <f aca="false">SUM(B691:H691)</f>
        <v>-2.60838205513203</v>
      </c>
      <c r="J691" s="53" t="n">
        <f aca="true">NORMINV(RAND(),0,J$7)</f>
        <v>-3.84222537242892</v>
      </c>
      <c r="K691" s="53" t="n">
        <f aca="true">NORMINV(RAND(),0,K$7)</f>
        <v>0.239137373373266</v>
      </c>
      <c r="L691" s="53" t="n">
        <f aca="true">NORMINV(RAND(),0,L$7)</f>
        <v>-0.0891874544668218</v>
      </c>
      <c r="M691" s="53" t="n">
        <f aca="true">NORMINV(RAND(),0,M$7)</f>
        <v>0.501589283033764</v>
      </c>
      <c r="N691" s="53" t="n">
        <f aca="true">NORMINV(RAND(),0,N$7)</f>
        <v>-0.110008574662566</v>
      </c>
      <c r="O691" s="53" t="n">
        <f aca="false">SUM(J691:N691)</f>
        <v>-3.30069474515128</v>
      </c>
    </row>
    <row r="692" customFormat="false" ht="15" hidden="false" customHeight="false" outlineLevel="0" collapsed="false">
      <c r="A692" s="2" t="n">
        <v>684</v>
      </c>
      <c r="B692" s="53" t="n">
        <f aca="true">NORMINV(RAND(),0,B$7)</f>
        <v>-1.19508934188628</v>
      </c>
      <c r="C692" s="53" t="n">
        <f aca="true">NORMINV(RAND(),0,C$7)</f>
        <v>0.979124985001837</v>
      </c>
      <c r="D692" s="53" t="n">
        <f aca="true">NORMINV(RAND(),0,D$7)</f>
        <v>0.417894884677121</v>
      </c>
      <c r="E692" s="53" t="n">
        <f aca="true">NORMINV(RAND(),0,E$7)</f>
        <v>-0.303548840147233</v>
      </c>
      <c r="F692" s="53" t="n">
        <f aca="true">NORMINV(RAND(),0,F$7)</f>
        <v>0.259207031787045</v>
      </c>
      <c r="G692" s="53" t="n">
        <f aca="true">NORMINV(RAND(),0,G$7)</f>
        <v>-1.01734499260604</v>
      </c>
      <c r="H692" s="53" t="n">
        <f aca="true">NORMINV(RAND(),0,H$7)</f>
        <v>0.192084679120082</v>
      </c>
      <c r="I692" s="53" t="n">
        <f aca="false">SUM(B692:H692)</f>
        <v>-0.667671594053467</v>
      </c>
      <c r="J692" s="53" t="n">
        <f aca="true">NORMINV(RAND(),0,J$7)</f>
        <v>-0.52266466329753</v>
      </c>
      <c r="K692" s="53" t="n">
        <f aca="true">NORMINV(RAND(),0,K$7)</f>
        <v>-0.536500054495572</v>
      </c>
      <c r="L692" s="53" t="n">
        <f aca="true">NORMINV(RAND(),0,L$7)</f>
        <v>0.711612244424008</v>
      </c>
      <c r="M692" s="53" t="n">
        <f aca="true">NORMINV(RAND(),0,M$7)</f>
        <v>0.235396915475528</v>
      </c>
      <c r="N692" s="53" t="n">
        <f aca="true">NORMINV(RAND(),0,N$7)</f>
        <v>-0.121126992215755</v>
      </c>
      <c r="O692" s="53" t="n">
        <f aca="false">SUM(J692:N692)</f>
        <v>-0.233282550109322</v>
      </c>
    </row>
    <row r="693" customFormat="false" ht="15" hidden="false" customHeight="false" outlineLevel="0" collapsed="false">
      <c r="A693" s="2" t="n">
        <v>685</v>
      </c>
      <c r="B693" s="53" t="n">
        <f aca="true">NORMINV(RAND(),0,B$7)</f>
        <v>2.01639172751494</v>
      </c>
      <c r="C693" s="53" t="n">
        <f aca="true">NORMINV(RAND(),0,C$7)</f>
        <v>2.74295325393631</v>
      </c>
      <c r="D693" s="53" t="n">
        <f aca="true">NORMINV(RAND(),0,D$7)</f>
        <v>-1.13525426114752</v>
      </c>
      <c r="E693" s="53" t="n">
        <f aca="true">NORMINV(RAND(),0,E$7)</f>
        <v>-0.0222647786750844</v>
      </c>
      <c r="F693" s="53" t="n">
        <f aca="true">NORMINV(RAND(),0,F$7)</f>
        <v>-0.317195472845785</v>
      </c>
      <c r="G693" s="53" t="n">
        <f aca="true">NORMINV(RAND(),0,G$7)</f>
        <v>0.129271584380745</v>
      </c>
      <c r="H693" s="53" t="n">
        <f aca="true">NORMINV(RAND(),0,H$7)</f>
        <v>0.0606210864663307</v>
      </c>
      <c r="I693" s="53" t="n">
        <f aca="false">SUM(B693:H693)</f>
        <v>3.47452313962994</v>
      </c>
      <c r="J693" s="53" t="n">
        <f aca="true">NORMINV(RAND(),0,J$7)</f>
        <v>-1.45255984676333</v>
      </c>
      <c r="K693" s="53" t="n">
        <f aca="true">NORMINV(RAND(),0,K$7)</f>
        <v>-0.194213710203231</v>
      </c>
      <c r="L693" s="53" t="n">
        <f aca="true">NORMINV(RAND(),0,L$7)</f>
        <v>0.356575925482845</v>
      </c>
      <c r="M693" s="53" t="n">
        <f aca="true">NORMINV(RAND(),0,M$7)</f>
        <v>-0.159968037276888</v>
      </c>
      <c r="N693" s="53" t="n">
        <f aca="true">NORMINV(RAND(),0,N$7)</f>
        <v>0.190820190872258</v>
      </c>
      <c r="O693" s="53" t="n">
        <f aca="false">SUM(J693:N693)</f>
        <v>-1.25934547788835</v>
      </c>
    </row>
    <row r="694" customFormat="false" ht="15" hidden="false" customHeight="false" outlineLevel="0" collapsed="false">
      <c r="A694" s="2" t="n">
        <v>686</v>
      </c>
      <c r="B694" s="53" t="n">
        <f aca="true">NORMINV(RAND(),0,B$7)</f>
        <v>0.241162897305411</v>
      </c>
      <c r="C694" s="53" t="n">
        <f aca="true">NORMINV(RAND(),0,C$7)</f>
        <v>0.703108882001598</v>
      </c>
      <c r="D694" s="53" t="n">
        <f aca="true">NORMINV(RAND(),0,D$7)</f>
        <v>1.05635884807402</v>
      </c>
      <c r="E694" s="53" t="n">
        <f aca="true">NORMINV(RAND(),0,E$7)</f>
        <v>0.392699804079275</v>
      </c>
      <c r="F694" s="53" t="n">
        <f aca="true">NORMINV(RAND(),0,F$7)</f>
        <v>-0.0120670799531186</v>
      </c>
      <c r="G694" s="53" t="n">
        <f aca="true">NORMINV(RAND(),0,G$7)</f>
        <v>-0.21858028956621</v>
      </c>
      <c r="H694" s="53" t="n">
        <f aca="true">NORMINV(RAND(),0,H$7)</f>
        <v>-0.157952002470119</v>
      </c>
      <c r="I694" s="53" t="n">
        <f aca="false">SUM(B694:H694)</f>
        <v>2.00473105947086</v>
      </c>
      <c r="J694" s="53" t="n">
        <f aca="true">NORMINV(RAND(),0,J$7)</f>
        <v>-0.0539570682064032</v>
      </c>
      <c r="K694" s="53" t="n">
        <f aca="true">NORMINV(RAND(),0,K$7)</f>
        <v>0.192751965235909</v>
      </c>
      <c r="L694" s="53" t="n">
        <f aca="true">NORMINV(RAND(),0,L$7)</f>
        <v>0.0249084178074283</v>
      </c>
      <c r="M694" s="53" t="n">
        <f aca="true">NORMINV(RAND(),0,M$7)</f>
        <v>-0.0338962155165959</v>
      </c>
      <c r="N694" s="53" t="n">
        <f aca="true">NORMINV(RAND(),0,N$7)</f>
        <v>-0.0440958255985519</v>
      </c>
      <c r="O694" s="53" t="n">
        <f aca="false">SUM(J694:N694)</f>
        <v>0.0857112737217867</v>
      </c>
    </row>
    <row r="695" customFormat="false" ht="15" hidden="false" customHeight="false" outlineLevel="0" collapsed="false">
      <c r="A695" s="2" t="n">
        <v>687</v>
      </c>
      <c r="B695" s="53" t="n">
        <f aca="true">NORMINV(RAND(),0,B$7)</f>
        <v>0.482652111478125</v>
      </c>
      <c r="C695" s="53" t="n">
        <f aca="true">NORMINV(RAND(),0,C$7)</f>
        <v>-0.183210275678624</v>
      </c>
      <c r="D695" s="53" t="n">
        <f aca="true">NORMINV(RAND(),0,D$7)</f>
        <v>3.5988499716053</v>
      </c>
      <c r="E695" s="53" t="n">
        <f aca="true">NORMINV(RAND(),0,E$7)</f>
        <v>-0.00957294318350366</v>
      </c>
      <c r="F695" s="53" t="n">
        <f aca="true">NORMINV(RAND(),0,F$7)</f>
        <v>0.0667005952368057</v>
      </c>
      <c r="G695" s="53" t="n">
        <f aca="true">NORMINV(RAND(),0,G$7)</f>
        <v>-0.156386496326033</v>
      </c>
      <c r="H695" s="53" t="n">
        <f aca="true">NORMINV(RAND(),0,H$7)</f>
        <v>-0.0316852026487193</v>
      </c>
      <c r="I695" s="53" t="n">
        <f aca="false">SUM(B695:H695)</f>
        <v>3.76734776048335</v>
      </c>
      <c r="J695" s="53" t="n">
        <f aca="true">NORMINV(RAND(),0,J$7)</f>
        <v>-1.98264068261691</v>
      </c>
      <c r="K695" s="53" t="n">
        <f aca="true">NORMINV(RAND(),0,K$7)</f>
        <v>-0.0460911959031978</v>
      </c>
      <c r="L695" s="53" t="n">
        <f aca="true">NORMINV(RAND(),0,L$7)</f>
        <v>-0.378869325507264</v>
      </c>
      <c r="M695" s="53" t="n">
        <f aca="true">NORMINV(RAND(),0,M$7)</f>
        <v>-0.130533341214043</v>
      </c>
      <c r="N695" s="53" t="n">
        <f aca="true">NORMINV(RAND(),0,N$7)</f>
        <v>-0.305957592857843</v>
      </c>
      <c r="O695" s="53" t="n">
        <f aca="false">SUM(J695:N695)</f>
        <v>-2.84409213809926</v>
      </c>
    </row>
    <row r="696" customFormat="false" ht="15" hidden="false" customHeight="false" outlineLevel="0" collapsed="false">
      <c r="A696" s="2" t="n">
        <v>688</v>
      </c>
      <c r="B696" s="53" t="n">
        <f aca="true">NORMINV(RAND(),0,B$7)</f>
        <v>0.178985634624858</v>
      </c>
      <c r="C696" s="53" t="n">
        <f aca="true">NORMINV(RAND(),0,C$7)</f>
        <v>0.588123928244901</v>
      </c>
      <c r="D696" s="53" t="n">
        <f aca="true">NORMINV(RAND(),0,D$7)</f>
        <v>-0.994696152603518</v>
      </c>
      <c r="E696" s="53" t="n">
        <f aca="true">NORMINV(RAND(),0,E$7)</f>
        <v>-0.662493464156108</v>
      </c>
      <c r="F696" s="53" t="n">
        <f aca="true">NORMINV(RAND(),0,F$7)</f>
        <v>0.173310830722208</v>
      </c>
      <c r="G696" s="53" t="n">
        <f aca="true">NORMINV(RAND(),0,G$7)</f>
        <v>-0.110892684969213</v>
      </c>
      <c r="H696" s="53" t="n">
        <f aca="true">NORMINV(RAND(),0,H$7)</f>
        <v>-0.0776145041497208</v>
      </c>
      <c r="I696" s="53" t="n">
        <f aca="false">SUM(B696:H696)</f>
        <v>-0.905276412286592</v>
      </c>
      <c r="J696" s="53" t="n">
        <f aca="true">NORMINV(RAND(),0,J$7)</f>
        <v>0.950932149812164</v>
      </c>
      <c r="K696" s="53" t="n">
        <f aca="true">NORMINV(RAND(),0,K$7)</f>
        <v>0.925428800832097</v>
      </c>
      <c r="L696" s="53" t="n">
        <f aca="true">NORMINV(RAND(),0,L$7)</f>
        <v>-0.0369952285234339</v>
      </c>
      <c r="M696" s="53" t="n">
        <f aca="true">NORMINV(RAND(),0,M$7)</f>
        <v>0.0475539731292253</v>
      </c>
      <c r="N696" s="53" t="n">
        <f aca="true">NORMINV(RAND(),0,N$7)</f>
        <v>-0.443618854169009</v>
      </c>
      <c r="O696" s="53" t="n">
        <f aca="false">SUM(J696:N696)</f>
        <v>1.44330084108104</v>
      </c>
    </row>
    <row r="697" customFormat="false" ht="15" hidden="false" customHeight="false" outlineLevel="0" collapsed="false">
      <c r="A697" s="2" t="n">
        <v>689</v>
      </c>
      <c r="B697" s="53" t="n">
        <f aca="true">NORMINV(RAND(),0,B$7)</f>
        <v>0.423112897318697</v>
      </c>
      <c r="C697" s="53" t="n">
        <f aca="true">NORMINV(RAND(),0,C$7)</f>
        <v>-0.0899989366867019</v>
      </c>
      <c r="D697" s="53" t="n">
        <f aca="true">NORMINV(RAND(),0,D$7)</f>
        <v>-2.00222518584741</v>
      </c>
      <c r="E697" s="53" t="n">
        <f aca="true">NORMINV(RAND(),0,E$7)</f>
        <v>-0.229913660349458</v>
      </c>
      <c r="F697" s="53" t="n">
        <f aca="true">NORMINV(RAND(),0,F$7)</f>
        <v>0.286071250043956</v>
      </c>
      <c r="G697" s="53" t="n">
        <f aca="true">NORMINV(RAND(),0,G$7)</f>
        <v>1.36649142643049</v>
      </c>
      <c r="H697" s="53" t="n">
        <f aca="true">NORMINV(RAND(),0,H$7)</f>
        <v>0.241412134862147</v>
      </c>
      <c r="I697" s="53" t="n">
        <f aca="false">SUM(B697:H697)</f>
        <v>-0.00505007422828108</v>
      </c>
      <c r="J697" s="53" t="n">
        <f aca="true">NORMINV(RAND(),0,J$7)</f>
        <v>-0.997269552351956</v>
      </c>
      <c r="K697" s="53" t="n">
        <f aca="true">NORMINV(RAND(),0,K$7)</f>
        <v>0.448650385980328</v>
      </c>
      <c r="L697" s="53" t="n">
        <f aca="true">NORMINV(RAND(),0,L$7)</f>
        <v>0.746419341808362</v>
      </c>
      <c r="M697" s="53" t="n">
        <f aca="true">NORMINV(RAND(),0,M$7)</f>
        <v>0.119656014637187</v>
      </c>
      <c r="N697" s="53" t="n">
        <f aca="true">NORMINV(RAND(),0,N$7)</f>
        <v>0.185906059111593</v>
      </c>
      <c r="O697" s="53" t="n">
        <f aca="false">SUM(J697:N697)</f>
        <v>0.503362249185514</v>
      </c>
    </row>
    <row r="698" customFormat="false" ht="15" hidden="false" customHeight="false" outlineLevel="0" collapsed="false">
      <c r="A698" s="2" t="n">
        <v>690</v>
      </c>
      <c r="B698" s="53" t="n">
        <f aca="true">NORMINV(RAND(),0,B$7)</f>
        <v>0.510036554706116</v>
      </c>
      <c r="C698" s="53" t="n">
        <f aca="true">NORMINV(RAND(),0,C$7)</f>
        <v>0.833867066562439</v>
      </c>
      <c r="D698" s="53" t="n">
        <f aca="true">NORMINV(RAND(),0,D$7)</f>
        <v>-1.15578053442573</v>
      </c>
      <c r="E698" s="53" t="n">
        <f aca="true">NORMINV(RAND(),0,E$7)</f>
        <v>0.191207506373144</v>
      </c>
      <c r="F698" s="53" t="n">
        <f aca="true">NORMINV(RAND(),0,F$7)</f>
        <v>0.0794335262588881</v>
      </c>
      <c r="G698" s="53" t="n">
        <f aca="true">NORMINV(RAND(),0,G$7)</f>
        <v>-1.51945908814435</v>
      </c>
      <c r="H698" s="53" t="n">
        <f aca="true">NORMINV(RAND(),0,H$7)</f>
        <v>-0.594873480483683</v>
      </c>
      <c r="I698" s="53" t="n">
        <f aca="false">SUM(B698:H698)</f>
        <v>-1.65556844915317</v>
      </c>
      <c r="J698" s="53" t="n">
        <f aca="true">NORMINV(RAND(),0,J$7)</f>
        <v>-1.95352104161467</v>
      </c>
      <c r="K698" s="53" t="n">
        <f aca="true">NORMINV(RAND(),0,K$7)</f>
        <v>0.50757463193748</v>
      </c>
      <c r="L698" s="53" t="n">
        <f aca="true">NORMINV(RAND(),0,L$7)</f>
        <v>-0.244291328645758</v>
      </c>
      <c r="M698" s="53" t="n">
        <f aca="true">NORMINV(RAND(),0,M$7)</f>
        <v>0.149255522092414</v>
      </c>
      <c r="N698" s="53" t="n">
        <f aca="true">NORMINV(RAND(),0,N$7)</f>
        <v>-0.0601992004457552</v>
      </c>
      <c r="O698" s="53" t="n">
        <f aca="false">SUM(J698:N698)</f>
        <v>-1.60118141667629</v>
      </c>
    </row>
    <row r="699" customFormat="false" ht="15" hidden="false" customHeight="false" outlineLevel="0" collapsed="false">
      <c r="A699" s="2" t="n">
        <v>691</v>
      </c>
      <c r="B699" s="53" t="n">
        <f aca="true">NORMINV(RAND(),0,B$7)</f>
        <v>0.681221972894151</v>
      </c>
      <c r="C699" s="53" t="n">
        <f aca="true">NORMINV(RAND(),0,C$7)</f>
        <v>-2.14443487564922</v>
      </c>
      <c r="D699" s="53" t="n">
        <f aca="true">NORMINV(RAND(),0,D$7)</f>
        <v>1.55977869698632</v>
      </c>
      <c r="E699" s="53" t="n">
        <f aca="true">NORMINV(RAND(),0,E$7)</f>
        <v>0.186343942237645</v>
      </c>
      <c r="F699" s="53" t="n">
        <f aca="true">NORMINV(RAND(),0,F$7)</f>
        <v>-0.312186399151786</v>
      </c>
      <c r="G699" s="53" t="n">
        <f aca="true">NORMINV(RAND(),0,G$7)</f>
        <v>0.334335798147395</v>
      </c>
      <c r="H699" s="53" t="n">
        <f aca="true">NORMINV(RAND(),0,H$7)</f>
        <v>-0.123085547916332</v>
      </c>
      <c r="I699" s="53" t="n">
        <f aca="false">SUM(B699:H699)</f>
        <v>0.181973587548168</v>
      </c>
      <c r="J699" s="53" t="n">
        <f aca="true">NORMINV(RAND(),0,J$7)</f>
        <v>0.0883941622200143</v>
      </c>
      <c r="K699" s="53" t="n">
        <f aca="true">NORMINV(RAND(),0,K$7)</f>
        <v>-0.00587354995839728</v>
      </c>
      <c r="L699" s="53" t="n">
        <f aca="true">NORMINV(RAND(),0,L$7)</f>
        <v>0.741303488586979</v>
      </c>
      <c r="M699" s="53" t="n">
        <f aca="true">NORMINV(RAND(),0,M$7)</f>
        <v>-0.422517388783248</v>
      </c>
      <c r="N699" s="53" t="n">
        <f aca="true">NORMINV(RAND(),0,N$7)</f>
        <v>0.300340648753467</v>
      </c>
      <c r="O699" s="53" t="n">
        <f aca="false">SUM(J699:N699)</f>
        <v>0.701647360818815</v>
      </c>
    </row>
    <row r="700" customFormat="false" ht="15" hidden="false" customHeight="false" outlineLevel="0" collapsed="false">
      <c r="A700" s="2" t="n">
        <v>692</v>
      </c>
      <c r="B700" s="53" t="n">
        <f aca="true">NORMINV(RAND(),0,B$7)</f>
        <v>-0.782509161462632</v>
      </c>
      <c r="C700" s="53" t="n">
        <f aca="true">NORMINV(RAND(),0,C$7)</f>
        <v>0.345687764974927</v>
      </c>
      <c r="D700" s="53" t="n">
        <f aca="true">NORMINV(RAND(),0,D$7)</f>
        <v>-0.636959013898864</v>
      </c>
      <c r="E700" s="53" t="n">
        <f aca="true">NORMINV(RAND(),0,E$7)</f>
        <v>0.0887784996161426</v>
      </c>
      <c r="F700" s="53" t="n">
        <f aca="true">NORMINV(RAND(),0,F$7)</f>
        <v>-0.233959750460761</v>
      </c>
      <c r="G700" s="53" t="n">
        <f aca="true">NORMINV(RAND(),0,G$7)</f>
        <v>-0.825341261556016</v>
      </c>
      <c r="H700" s="53" t="n">
        <f aca="true">NORMINV(RAND(),0,H$7)</f>
        <v>-0.434279663379914</v>
      </c>
      <c r="I700" s="53" t="n">
        <f aca="false">SUM(B700:H700)</f>
        <v>-2.47858258616712</v>
      </c>
      <c r="J700" s="53" t="n">
        <f aca="true">NORMINV(RAND(),0,J$7)</f>
        <v>-1.7121031468219</v>
      </c>
      <c r="K700" s="53" t="n">
        <f aca="true">NORMINV(RAND(),0,K$7)</f>
        <v>1.32526785174352</v>
      </c>
      <c r="L700" s="53" t="n">
        <f aca="true">NORMINV(RAND(),0,L$7)</f>
        <v>0.140433209870151</v>
      </c>
      <c r="M700" s="53" t="n">
        <f aca="true">NORMINV(RAND(),0,M$7)</f>
        <v>-0.0513597886774848</v>
      </c>
      <c r="N700" s="53" t="n">
        <f aca="true">NORMINV(RAND(),0,N$7)</f>
        <v>-0.126011019913287</v>
      </c>
      <c r="O700" s="53" t="n">
        <f aca="false">SUM(J700:N700)</f>
        <v>-0.423772893799002</v>
      </c>
    </row>
    <row r="701" customFormat="false" ht="15" hidden="false" customHeight="false" outlineLevel="0" collapsed="false">
      <c r="A701" s="2" t="n">
        <v>693</v>
      </c>
      <c r="B701" s="53" t="n">
        <f aca="true">NORMINV(RAND(),0,B$7)</f>
        <v>0.539172439766703</v>
      </c>
      <c r="C701" s="53" t="n">
        <f aca="true">NORMINV(RAND(),0,C$7)</f>
        <v>-0.245356068247495</v>
      </c>
      <c r="D701" s="53" t="n">
        <f aca="true">NORMINV(RAND(),0,D$7)</f>
        <v>-2.99845467456078</v>
      </c>
      <c r="E701" s="53" t="n">
        <f aca="true">NORMINV(RAND(),0,E$7)</f>
        <v>-0.146145440631752</v>
      </c>
      <c r="F701" s="53" t="n">
        <f aca="true">NORMINV(RAND(),0,F$7)</f>
        <v>0.1831324453518</v>
      </c>
      <c r="G701" s="53" t="n">
        <f aca="true">NORMINV(RAND(),0,G$7)</f>
        <v>-0.175847640710619</v>
      </c>
      <c r="H701" s="53" t="n">
        <f aca="true">NORMINV(RAND(),0,H$7)</f>
        <v>-0.117522867269465</v>
      </c>
      <c r="I701" s="53" t="n">
        <f aca="false">SUM(B701:H701)</f>
        <v>-2.9610218063016</v>
      </c>
      <c r="J701" s="53" t="n">
        <f aca="true">NORMINV(RAND(),0,J$7)</f>
        <v>-0.522811918701917</v>
      </c>
      <c r="K701" s="53" t="n">
        <f aca="true">NORMINV(RAND(),0,K$7)</f>
        <v>-1.89861827888496</v>
      </c>
      <c r="L701" s="53" t="n">
        <f aca="true">NORMINV(RAND(),0,L$7)</f>
        <v>-0.539666186533635</v>
      </c>
      <c r="M701" s="53" t="n">
        <f aca="true">NORMINV(RAND(),0,M$7)</f>
        <v>0.043156454660987</v>
      </c>
      <c r="N701" s="53" t="n">
        <f aca="true">NORMINV(RAND(),0,N$7)</f>
        <v>0.0666309838107881</v>
      </c>
      <c r="O701" s="53" t="n">
        <f aca="false">SUM(J701:N701)</f>
        <v>-2.85130894564874</v>
      </c>
    </row>
    <row r="702" customFormat="false" ht="15" hidden="false" customHeight="false" outlineLevel="0" collapsed="false">
      <c r="A702" s="2" t="n">
        <v>694</v>
      </c>
      <c r="B702" s="53" t="n">
        <f aca="true">NORMINV(RAND(),0,B$7)</f>
        <v>1.53364979372347</v>
      </c>
      <c r="C702" s="53" t="n">
        <f aca="true">NORMINV(RAND(),0,C$7)</f>
        <v>1.0454965267126</v>
      </c>
      <c r="D702" s="53" t="n">
        <f aca="true">NORMINV(RAND(),0,D$7)</f>
        <v>0.580750500785753</v>
      </c>
      <c r="E702" s="53" t="n">
        <f aca="true">NORMINV(RAND(),0,E$7)</f>
        <v>0.195950116105304</v>
      </c>
      <c r="F702" s="53" t="n">
        <f aca="true">NORMINV(RAND(),0,F$7)</f>
        <v>-0.0908742108905636</v>
      </c>
      <c r="G702" s="53" t="n">
        <f aca="true">NORMINV(RAND(),0,G$7)</f>
        <v>1.03318393334574</v>
      </c>
      <c r="H702" s="53" t="n">
        <f aca="true">NORMINV(RAND(),0,H$7)</f>
        <v>0.146340190978064</v>
      </c>
      <c r="I702" s="53" t="n">
        <f aca="false">SUM(B702:H702)</f>
        <v>4.44449685076036</v>
      </c>
      <c r="J702" s="53" t="n">
        <f aca="true">NORMINV(RAND(),0,J$7)</f>
        <v>0.55994727199892</v>
      </c>
      <c r="K702" s="53" t="n">
        <f aca="true">NORMINV(RAND(),0,K$7)</f>
        <v>-0.464324112383475</v>
      </c>
      <c r="L702" s="53" t="n">
        <f aca="true">NORMINV(RAND(),0,L$7)</f>
        <v>-0.521521853116265</v>
      </c>
      <c r="M702" s="53" t="n">
        <f aca="true">NORMINV(RAND(),0,M$7)</f>
        <v>0.331791954290797</v>
      </c>
      <c r="N702" s="53" t="n">
        <f aca="true">NORMINV(RAND(),0,N$7)</f>
        <v>0.252792056490685</v>
      </c>
      <c r="O702" s="53" t="n">
        <f aca="false">SUM(J702:N702)</f>
        <v>0.158685317280662</v>
      </c>
    </row>
    <row r="703" customFormat="false" ht="15" hidden="false" customHeight="false" outlineLevel="0" collapsed="false">
      <c r="A703" s="2" t="n">
        <v>695</v>
      </c>
      <c r="B703" s="53" t="n">
        <f aca="true">NORMINV(RAND(),0,B$7)</f>
        <v>1.2594571395804</v>
      </c>
      <c r="C703" s="53" t="n">
        <f aca="true">NORMINV(RAND(),0,C$7)</f>
        <v>2.1840730571673</v>
      </c>
      <c r="D703" s="53" t="n">
        <f aca="true">NORMINV(RAND(),0,D$7)</f>
        <v>-1.1113342068598</v>
      </c>
      <c r="E703" s="53" t="n">
        <f aca="true">NORMINV(RAND(),0,E$7)</f>
        <v>-0.48695913519128</v>
      </c>
      <c r="F703" s="53" t="n">
        <f aca="true">NORMINV(RAND(),0,F$7)</f>
        <v>0.23126081833329</v>
      </c>
      <c r="G703" s="53" t="n">
        <f aca="true">NORMINV(RAND(),0,G$7)</f>
        <v>0.9910663106367</v>
      </c>
      <c r="H703" s="53" t="n">
        <f aca="true">NORMINV(RAND(),0,H$7)</f>
        <v>-1.229873831913</v>
      </c>
      <c r="I703" s="53" t="n">
        <f aca="false">SUM(B703:H703)</f>
        <v>1.83769015175361</v>
      </c>
      <c r="J703" s="53" t="n">
        <f aca="true">NORMINV(RAND(),0,J$7)</f>
        <v>-1.31061691476031</v>
      </c>
      <c r="K703" s="53" t="n">
        <f aca="true">NORMINV(RAND(),0,K$7)</f>
        <v>-0.586548282581178</v>
      </c>
      <c r="L703" s="53" t="n">
        <f aca="true">NORMINV(RAND(),0,L$7)</f>
        <v>0.415158413214235</v>
      </c>
      <c r="M703" s="53" t="n">
        <f aca="true">NORMINV(RAND(),0,M$7)</f>
        <v>0.218421507814153</v>
      </c>
      <c r="N703" s="53" t="n">
        <f aca="true">NORMINV(RAND(),0,N$7)</f>
        <v>-0.140186772978034</v>
      </c>
      <c r="O703" s="53" t="n">
        <f aca="false">SUM(J703:N703)</f>
        <v>-1.40377204929113</v>
      </c>
    </row>
    <row r="704" customFormat="false" ht="15" hidden="false" customHeight="false" outlineLevel="0" collapsed="false">
      <c r="A704" s="2" t="n">
        <v>696</v>
      </c>
      <c r="B704" s="53" t="n">
        <f aca="true">NORMINV(RAND(),0,B$7)</f>
        <v>-0.168683257587165</v>
      </c>
      <c r="C704" s="53" t="n">
        <f aca="true">NORMINV(RAND(),0,C$7)</f>
        <v>-0.245898320347867</v>
      </c>
      <c r="D704" s="53" t="n">
        <f aca="true">NORMINV(RAND(),0,D$7)</f>
        <v>2.6143093252341</v>
      </c>
      <c r="E704" s="53" t="n">
        <f aca="true">NORMINV(RAND(),0,E$7)</f>
        <v>0.324717427524838</v>
      </c>
      <c r="F704" s="53" t="n">
        <f aca="true">NORMINV(RAND(),0,F$7)</f>
        <v>0.0480636201751958</v>
      </c>
      <c r="G704" s="53" t="n">
        <f aca="true">NORMINV(RAND(),0,G$7)</f>
        <v>1.74047855680254</v>
      </c>
      <c r="H704" s="53" t="n">
        <f aca="true">NORMINV(RAND(),0,H$7)</f>
        <v>0.187874556009953</v>
      </c>
      <c r="I704" s="53" t="n">
        <f aca="false">SUM(B704:H704)</f>
        <v>4.5008619078116</v>
      </c>
      <c r="J704" s="53" t="n">
        <f aca="true">NORMINV(RAND(),0,J$7)</f>
        <v>2.10559789323243</v>
      </c>
      <c r="K704" s="53" t="n">
        <f aca="true">NORMINV(RAND(),0,K$7)</f>
        <v>0.329470669163574</v>
      </c>
      <c r="L704" s="53" t="n">
        <f aca="true">NORMINV(RAND(),0,L$7)</f>
        <v>0.0961333433870605</v>
      </c>
      <c r="M704" s="53" t="n">
        <f aca="true">NORMINV(RAND(),0,M$7)</f>
        <v>0.178892140910384</v>
      </c>
      <c r="N704" s="53" t="n">
        <f aca="true">NORMINV(RAND(),0,N$7)</f>
        <v>0.35432273539402</v>
      </c>
      <c r="O704" s="53" t="n">
        <f aca="false">SUM(J704:N704)</f>
        <v>3.06441678208746</v>
      </c>
    </row>
    <row r="705" customFormat="false" ht="15" hidden="false" customHeight="false" outlineLevel="0" collapsed="false">
      <c r="A705" s="2" t="n">
        <v>697</v>
      </c>
      <c r="B705" s="53" t="n">
        <f aca="true">NORMINV(RAND(),0,B$7)</f>
        <v>0.273694139999589</v>
      </c>
      <c r="C705" s="53" t="n">
        <f aca="true">NORMINV(RAND(),0,C$7)</f>
        <v>-1.10983717126158</v>
      </c>
      <c r="D705" s="53" t="n">
        <f aca="true">NORMINV(RAND(),0,D$7)</f>
        <v>-1.2798061330599</v>
      </c>
      <c r="E705" s="53" t="n">
        <f aca="true">NORMINV(RAND(),0,E$7)</f>
        <v>0.173407847388292</v>
      </c>
      <c r="F705" s="53" t="n">
        <f aca="true">NORMINV(RAND(),0,F$7)</f>
        <v>5.55664390417042E-005</v>
      </c>
      <c r="G705" s="53" t="n">
        <f aca="true">NORMINV(RAND(),0,G$7)</f>
        <v>0.98254751464513</v>
      </c>
      <c r="H705" s="53" t="n">
        <f aca="true">NORMINV(RAND(),0,H$7)</f>
        <v>0.742179913855955</v>
      </c>
      <c r="I705" s="53" t="n">
        <f aca="false">SUM(B705:H705)</f>
        <v>-0.217758321993475</v>
      </c>
      <c r="J705" s="53" t="n">
        <f aca="true">NORMINV(RAND(),0,J$7)</f>
        <v>-0.108641373988035</v>
      </c>
      <c r="K705" s="53" t="n">
        <f aca="true">NORMINV(RAND(),0,K$7)</f>
        <v>-0.936417966007608</v>
      </c>
      <c r="L705" s="53" t="n">
        <f aca="true">NORMINV(RAND(),0,L$7)</f>
        <v>0.52536368728372</v>
      </c>
      <c r="M705" s="53" t="n">
        <f aca="true">NORMINV(RAND(),0,M$7)</f>
        <v>-0.00828343180624126</v>
      </c>
      <c r="N705" s="53" t="n">
        <f aca="true">NORMINV(RAND(),0,N$7)</f>
        <v>0.499439755507734</v>
      </c>
      <c r="O705" s="53" t="n">
        <f aca="false">SUM(J705:N705)</f>
        <v>-0.0285393290104307</v>
      </c>
    </row>
    <row r="706" customFormat="false" ht="15" hidden="false" customHeight="false" outlineLevel="0" collapsed="false">
      <c r="A706" s="2" t="n">
        <v>698</v>
      </c>
      <c r="B706" s="53" t="n">
        <f aca="true">NORMINV(RAND(),0,B$7)</f>
        <v>0.259587182343751</v>
      </c>
      <c r="C706" s="53" t="n">
        <f aca="true">NORMINV(RAND(),0,C$7)</f>
        <v>0.580958604004238</v>
      </c>
      <c r="D706" s="53" t="n">
        <f aca="true">NORMINV(RAND(),0,D$7)</f>
        <v>-0.824611527434083</v>
      </c>
      <c r="E706" s="53" t="n">
        <f aca="true">NORMINV(RAND(),0,E$7)</f>
        <v>0.411817567297755</v>
      </c>
      <c r="F706" s="53" t="n">
        <f aca="true">NORMINV(RAND(),0,F$7)</f>
        <v>-0.524218564058085</v>
      </c>
      <c r="G706" s="53" t="n">
        <f aca="true">NORMINV(RAND(),0,G$7)</f>
        <v>-0.655070135212248</v>
      </c>
      <c r="H706" s="53" t="n">
        <f aca="true">NORMINV(RAND(),0,H$7)</f>
        <v>-0.594000025919706</v>
      </c>
      <c r="I706" s="53" t="n">
        <f aca="false">SUM(B706:H706)</f>
        <v>-1.34553689897838</v>
      </c>
      <c r="J706" s="53" t="n">
        <f aca="true">NORMINV(RAND(),0,J$7)</f>
        <v>2.89487171785858</v>
      </c>
      <c r="K706" s="53" t="n">
        <f aca="true">NORMINV(RAND(),0,K$7)</f>
        <v>0.560434226392942</v>
      </c>
      <c r="L706" s="53" t="n">
        <f aca="true">NORMINV(RAND(),0,L$7)</f>
        <v>0.104972057659932</v>
      </c>
      <c r="M706" s="53" t="n">
        <f aca="true">NORMINV(RAND(),0,M$7)</f>
        <v>0.164998223963829</v>
      </c>
      <c r="N706" s="53" t="n">
        <f aca="true">NORMINV(RAND(),0,N$7)</f>
        <v>0.132320277354476</v>
      </c>
      <c r="O706" s="53" t="n">
        <f aca="false">SUM(J706:N706)</f>
        <v>3.85759650322976</v>
      </c>
    </row>
    <row r="707" customFormat="false" ht="15" hidden="false" customHeight="false" outlineLevel="0" collapsed="false">
      <c r="A707" s="2" t="n">
        <v>699</v>
      </c>
      <c r="B707" s="53" t="n">
        <f aca="true">NORMINV(RAND(),0,B$7)</f>
        <v>0.98881585707244</v>
      </c>
      <c r="C707" s="53" t="n">
        <f aca="true">NORMINV(RAND(),0,C$7)</f>
        <v>-0.5233604018003</v>
      </c>
      <c r="D707" s="53" t="n">
        <f aca="true">NORMINV(RAND(),0,D$7)</f>
        <v>0.193645908189163</v>
      </c>
      <c r="E707" s="53" t="n">
        <f aca="true">NORMINV(RAND(),0,E$7)</f>
        <v>-0.466091504045901</v>
      </c>
      <c r="F707" s="53" t="n">
        <f aca="true">NORMINV(RAND(),0,F$7)</f>
        <v>0.086002799938013</v>
      </c>
      <c r="G707" s="53" t="n">
        <f aca="true">NORMINV(RAND(),0,G$7)</f>
        <v>-0.710939652167931</v>
      </c>
      <c r="H707" s="53" t="n">
        <f aca="true">NORMINV(RAND(),0,H$7)</f>
        <v>0.212667933323548</v>
      </c>
      <c r="I707" s="53" t="n">
        <f aca="false">SUM(B707:H707)</f>
        <v>-0.219259059490968</v>
      </c>
      <c r="J707" s="53" t="n">
        <f aca="true">NORMINV(RAND(),0,J$7)</f>
        <v>-0.106309957682567</v>
      </c>
      <c r="K707" s="53" t="n">
        <f aca="true">NORMINV(RAND(),0,K$7)</f>
        <v>-0.0674870906627173</v>
      </c>
      <c r="L707" s="53" t="n">
        <f aca="true">NORMINV(RAND(),0,L$7)</f>
        <v>-0.330393866639664</v>
      </c>
      <c r="M707" s="53" t="n">
        <f aca="true">NORMINV(RAND(),0,M$7)</f>
        <v>0.309967163331433</v>
      </c>
      <c r="N707" s="53" t="n">
        <f aca="true">NORMINV(RAND(),0,N$7)</f>
        <v>0.00783488328150504</v>
      </c>
      <c r="O707" s="53" t="n">
        <f aca="false">SUM(J707:N707)</f>
        <v>-0.186388868372011</v>
      </c>
    </row>
    <row r="708" customFormat="false" ht="15" hidden="false" customHeight="false" outlineLevel="0" collapsed="false">
      <c r="A708" s="2" t="n">
        <v>700</v>
      </c>
      <c r="B708" s="53" t="n">
        <f aca="true">NORMINV(RAND(),0,B$7)</f>
        <v>0.672835969166197</v>
      </c>
      <c r="C708" s="53" t="n">
        <f aca="true">NORMINV(RAND(),0,C$7)</f>
        <v>0.349349354049066</v>
      </c>
      <c r="D708" s="53" t="n">
        <f aca="true">NORMINV(RAND(),0,D$7)</f>
        <v>0.151653179305438</v>
      </c>
      <c r="E708" s="53" t="n">
        <f aca="true">NORMINV(RAND(),0,E$7)</f>
        <v>-0.14434205271397</v>
      </c>
      <c r="F708" s="53" t="n">
        <f aca="true">NORMINV(RAND(),0,F$7)</f>
        <v>0.224083876641713</v>
      </c>
      <c r="G708" s="53" t="n">
        <f aca="true">NORMINV(RAND(),0,G$7)</f>
        <v>1.17579626924272</v>
      </c>
      <c r="H708" s="53" t="n">
        <f aca="true">NORMINV(RAND(),0,H$7)</f>
        <v>-0.145830654301817</v>
      </c>
      <c r="I708" s="53" t="n">
        <f aca="false">SUM(B708:H708)</f>
        <v>2.28354594138935</v>
      </c>
      <c r="J708" s="53" t="n">
        <f aca="true">NORMINV(RAND(),0,J$7)</f>
        <v>-0.845092086505882</v>
      </c>
      <c r="K708" s="53" t="n">
        <f aca="true">NORMINV(RAND(),0,K$7)</f>
        <v>0.675750976835934</v>
      </c>
      <c r="L708" s="53" t="n">
        <f aca="true">NORMINV(RAND(),0,L$7)</f>
        <v>0.243468050095668</v>
      </c>
      <c r="M708" s="53" t="n">
        <f aca="true">NORMINV(RAND(),0,M$7)</f>
        <v>0.21417031339481</v>
      </c>
      <c r="N708" s="53" t="n">
        <f aca="true">NORMINV(RAND(),0,N$7)</f>
        <v>0.0203736301046603</v>
      </c>
      <c r="O708" s="53" t="n">
        <f aca="false">SUM(J708:N708)</f>
        <v>0.30867088392519</v>
      </c>
    </row>
    <row r="709" customFormat="false" ht="15" hidden="false" customHeight="false" outlineLevel="0" collapsed="false">
      <c r="A709" s="2" t="n">
        <v>701</v>
      </c>
      <c r="B709" s="53" t="n">
        <f aca="true">NORMINV(RAND(),0,B$7)</f>
        <v>0.0999050983671219</v>
      </c>
      <c r="C709" s="53" t="n">
        <f aca="true">NORMINV(RAND(),0,C$7)</f>
        <v>-1.36988887717858</v>
      </c>
      <c r="D709" s="53" t="n">
        <f aca="true">NORMINV(RAND(),0,D$7)</f>
        <v>1.45184194789328</v>
      </c>
      <c r="E709" s="53" t="n">
        <f aca="true">NORMINV(RAND(),0,E$7)</f>
        <v>0.51685728246872</v>
      </c>
      <c r="F709" s="53" t="n">
        <f aca="true">NORMINV(RAND(),0,F$7)</f>
        <v>-0.219032157804531</v>
      </c>
      <c r="G709" s="53" t="n">
        <f aca="true">NORMINV(RAND(),0,G$7)</f>
        <v>2.80102826555746</v>
      </c>
      <c r="H709" s="53" t="n">
        <f aca="true">NORMINV(RAND(),0,H$7)</f>
        <v>-0.276596993749423</v>
      </c>
      <c r="I709" s="53" t="n">
        <f aca="false">SUM(B709:H709)</f>
        <v>3.00411456555404</v>
      </c>
      <c r="J709" s="53" t="n">
        <f aca="true">NORMINV(RAND(),0,J$7)</f>
        <v>2.39771250844136</v>
      </c>
      <c r="K709" s="53" t="n">
        <f aca="true">NORMINV(RAND(),0,K$7)</f>
        <v>0.520546230635838</v>
      </c>
      <c r="L709" s="53" t="n">
        <f aca="true">NORMINV(RAND(),0,L$7)</f>
        <v>-0.06634988212099</v>
      </c>
      <c r="M709" s="53" t="n">
        <f aca="true">NORMINV(RAND(),0,M$7)</f>
        <v>0.0310196566793398</v>
      </c>
      <c r="N709" s="53" t="n">
        <f aca="true">NORMINV(RAND(),0,N$7)</f>
        <v>0.176586622673239</v>
      </c>
      <c r="O709" s="53" t="n">
        <f aca="false">SUM(J709:N709)</f>
        <v>3.05951513630879</v>
      </c>
    </row>
    <row r="710" customFormat="false" ht="15" hidden="false" customHeight="false" outlineLevel="0" collapsed="false">
      <c r="A710" s="2" t="n">
        <v>702</v>
      </c>
      <c r="B710" s="53" t="n">
        <f aca="true">NORMINV(RAND(),0,B$7)</f>
        <v>-2.23017945246009</v>
      </c>
      <c r="C710" s="53" t="n">
        <f aca="true">NORMINV(RAND(),0,C$7)</f>
        <v>1.41019143870427</v>
      </c>
      <c r="D710" s="53" t="n">
        <f aca="true">NORMINV(RAND(),0,D$7)</f>
        <v>-1.8458686924521</v>
      </c>
      <c r="E710" s="53" t="n">
        <f aca="true">NORMINV(RAND(),0,E$7)</f>
        <v>-0.433583483563345</v>
      </c>
      <c r="F710" s="53" t="n">
        <f aca="true">NORMINV(RAND(),0,F$7)</f>
        <v>-0.136277534958341</v>
      </c>
      <c r="G710" s="53" t="n">
        <f aca="true">NORMINV(RAND(),0,G$7)</f>
        <v>-1.30499800424559</v>
      </c>
      <c r="H710" s="53" t="n">
        <f aca="true">NORMINV(RAND(),0,H$7)</f>
        <v>-0.200008265082612</v>
      </c>
      <c r="I710" s="53" t="n">
        <f aca="false">SUM(B710:H710)</f>
        <v>-4.74072399405782</v>
      </c>
      <c r="J710" s="53" t="n">
        <f aca="true">NORMINV(RAND(),0,J$7)</f>
        <v>-1.10283169723124</v>
      </c>
      <c r="K710" s="53" t="n">
        <f aca="true">NORMINV(RAND(),0,K$7)</f>
        <v>-0.65965382507659</v>
      </c>
      <c r="L710" s="53" t="n">
        <f aca="true">NORMINV(RAND(),0,L$7)</f>
        <v>0.315638233097778</v>
      </c>
      <c r="M710" s="53" t="n">
        <f aca="true">NORMINV(RAND(),0,M$7)</f>
        <v>0.208085844605955</v>
      </c>
      <c r="N710" s="53" t="n">
        <f aca="true">NORMINV(RAND(),0,N$7)</f>
        <v>-0.153111747283721</v>
      </c>
      <c r="O710" s="53" t="n">
        <f aca="false">SUM(J710:N710)</f>
        <v>-1.39187319188782</v>
      </c>
    </row>
    <row r="711" customFormat="false" ht="15" hidden="false" customHeight="false" outlineLevel="0" collapsed="false">
      <c r="A711" s="2" t="n">
        <v>703</v>
      </c>
      <c r="B711" s="53" t="n">
        <f aca="true">NORMINV(RAND(),0,B$7)</f>
        <v>-2.14451948573188</v>
      </c>
      <c r="C711" s="53" t="n">
        <f aca="true">NORMINV(RAND(),0,C$7)</f>
        <v>1.77945291455346</v>
      </c>
      <c r="D711" s="53" t="n">
        <f aca="true">NORMINV(RAND(),0,D$7)</f>
        <v>4.4570943565399</v>
      </c>
      <c r="E711" s="53" t="n">
        <f aca="true">NORMINV(RAND(),0,E$7)</f>
        <v>0.680200766647455</v>
      </c>
      <c r="F711" s="53" t="n">
        <f aca="true">NORMINV(RAND(),0,F$7)</f>
        <v>-0.434903535834819</v>
      </c>
      <c r="G711" s="53" t="n">
        <f aca="true">NORMINV(RAND(),0,G$7)</f>
        <v>0.242423552609684</v>
      </c>
      <c r="H711" s="53" t="n">
        <f aca="true">NORMINV(RAND(),0,H$7)</f>
        <v>-0.247148483700584</v>
      </c>
      <c r="I711" s="53" t="n">
        <f aca="false">SUM(B711:H711)</f>
        <v>4.33260008508322</v>
      </c>
      <c r="J711" s="53" t="n">
        <f aca="true">NORMINV(RAND(),0,J$7)</f>
        <v>-0.387854882097307</v>
      </c>
      <c r="K711" s="53" t="n">
        <f aca="true">NORMINV(RAND(),0,K$7)</f>
        <v>-0.0959183677570885</v>
      </c>
      <c r="L711" s="53" t="n">
        <f aca="true">NORMINV(RAND(),0,L$7)</f>
        <v>-0.450679837249108</v>
      </c>
      <c r="M711" s="53" t="n">
        <f aca="true">NORMINV(RAND(),0,M$7)</f>
        <v>-0.152246434341839</v>
      </c>
      <c r="N711" s="53" t="n">
        <f aca="true">NORMINV(RAND(),0,N$7)</f>
        <v>-0.0489972114619475</v>
      </c>
      <c r="O711" s="53" t="n">
        <f aca="false">SUM(J711:N711)</f>
        <v>-1.13569673290729</v>
      </c>
    </row>
    <row r="712" customFormat="false" ht="15" hidden="false" customHeight="false" outlineLevel="0" collapsed="false">
      <c r="A712" s="2" t="n">
        <v>704</v>
      </c>
      <c r="B712" s="53" t="n">
        <f aca="true">NORMINV(RAND(),0,B$7)</f>
        <v>0.983842596492723</v>
      </c>
      <c r="C712" s="53" t="n">
        <f aca="true">NORMINV(RAND(),0,C$7)</f>
        <v>3.19111590707001</v>
      </c>
      <c r="D712" s="53" t="n">
        <f aca="true">NORMINV(RAND(),0,D$7)</f>
        <v>0.621990246210963</v>
      </c>
      <c r="E712" s="53" t="n">
        <f aca="true">NORMINV(RAND(),0,E$7)</f>
        <v>-0.688777112322885</v>
      </c>
      <c r="F712" s="53" t="n">
        <f aca="true">NORMINV(RAND(),0,F$7)</f>
        <v>0.454472927135884</v>
      </c>
      <c r="G712" s="53" t="n">
        <f aca="true">NORMINV(RAND(),0,G$7)</f>
        <v>2.15526653125773</v>
      </c>
      <c r="H712" s="53" t="n">
        <f aca="true">NORMINV(RAND(),0,H$7)</f>
        <v>0.619413232954517</v>
      </c>
      <c r="I712" s="53" t="n">
        <f aca="false">SUM(B712:H712)</f>
        <v>7.33732432879895</v>
      </c>
      <c r="J712" s="53" t="n">
        <f aca="true">NORMINV(RAND(),0,J$7)</f>
        <v>2.09667194317364</v>
      </c>
      <c r="K712" s="53" t="n">
        <f aca="true">NORMINV(RAND(),0,K$7)</f>
        <v>-0.971507979975948</v>
      </c>
      <c r="L712" s="53" t="n">
        <f aca="true">NORMINV(RAND(),0,L$7)</f>
        <v>-0.0655183992595777</v>
      </c>
      <c r="M712" s="53" t="n">
        <f aca="true">NORMINV(RAND(),0,M$7)</f>
        <v>-0.294135116056488</v>
      </c>
      <c r="N712" s="53" t="n">
        <f aca="true">NORMINV(RAND(),0,N$7)</f>
        <v>0.242894273727285</v>
      </c>
      <c r="O712" s="53" t="n">
        <f aca="false">SUM(J712:N712)</f>
        <v>1.00840472160891</v>
      </c>
    </row>
    <row r="713" customFormat="false" ht="15" hidden="false" customHeight="false" outlineLevel="0" collapsed="false">
      <c r="A713" s="2" t="n">
        <v>705</v>
      </c>
      <c r="B713" s="53" t="n">
        <f aca="true">NORMINV(RAND(),0,B$7)</f>
        <v>-0.410609329269113</v>
      </c>
      <c r="C713" s="53" t="n">
        <f aca="true">NORMINV(RAND(),0,C$7)</f>
        <v>-1.77063402446811</v>
      </c>
      <c r="D713" s="53" t="n">
        <f aca="true">NORMINV(RAND(),0,D$7)</f>
        <v>1.98932222290698</v>
      </c>
      <c r="E713" s="53" t="n">
        <f aca="true">NORMINV(RAND(),0,E$7)</f>
        <v>-0.702085242095481</v>
      </c>
      <c r="F713" s="53" t="n">
        <f aca="true">NORMINV(RAND(),0,F$7)</f>
        <v>-0.197142375728267</v>
      </c>
      <c r="G713" s="53" t="n">
        <f aca="true">NORMINV(RAND(),0,G$7)</f>
        <v>0.372145797131965</v>
      </c>
      <c r="H713" s="53" t="n">
        <f aca="true">NORMINV(RAND(),0,H$7)</f>
        <v>0.859920575672203</v>
      </c>
      <c r="I713" s="53" t="n">
        <f aca="false">SUM(B713:H713)</f>
        <v>0.140917624150168</v>
      </c>
      <c r="J713" s="53" t="n">
        <f aca="true">NORMINV(RAND(),0,J$7)</f>
        <v>-0.407594444516372</v>
      </c>
      <c r="K713" s="53" t="n">
        <f aca="true">NORMINV(RAND(),0,K$7)</f>
        <v>0.35351733139403</v>
      </c>
      <c r="L713" s="53" t="n">
        <f aca="true">NORMINV(RAND(),0,L$7)</f>
        <v>0.613870527922687</v>
      </c>
      <c r="M713" s="53" t="n">
        <f aca="true">NORMINV(RAND(),0,M$7)</f>
        <v>0.332280581493923</v>
      </c>
      <c r="N713" s="53" t="n">
        <f aca="true">NORMINV(RAND(),0,N$7)</f>
        <v>-0.0241905515752023</v>
      </c>
      <c r="O713" s="53" t="n">
        <f aca="false">SUM(J713:N713)</f>
        <v>0.867883444719065</v>
      </c>
    </row>
    <row r="714" customFormat="false" ht="15" hidden="false" customHeight="false" outlineLevel="0" collapsed="false">
      <c r="A714" s="2" t="n">
        <v>706</v>
      </c>
      <c r="B714" s="53" t="n">
        <f aca="true">NORMINV(RAND(),0,B$7)</f>
        <v>0.0596350633568901</v>
      </c>
      <c r="C714" s="53" t="n">
        <f aca="true">NORMINV(RAND(),0,C$7)</f>
        <v>-0.745541991433954</v>
      </c>
      <c r="D714" s="53" t="n">
        <f aca="true">NORMINV(RAND(),0,D$7)</f>
        <v>0.79578727321726</v>
      </c>
      <c r="E714" s="53" t="n">
        <f aca="true">NORMINV(RAND(),0,E$7)</f>
        <v>-0.181523718124729</v>
      </c>
      <c r="F714" s="53" t="n">
        <f aca="true">NORMINV(RAND(),0,F$7)</f>
        <v>0.00150032726004819</v>
      </c>
      <c r="G714" s="53" t="n">
        <f aca="true">NORMINV(RAND(),0,G$7)</f>
        <v>0.0478645329253157</v>
      </c>
      <c r="H714" s="53" t="n">
        <f aca="true">NORMINV(RAND(),0,H$7)</f>
        <v>0.0886331436984415</v>
      </c>
      <c r="I714" s="53" t="n">
        <f aca="false">SUM(B714:H714)</f>
        <v>0.0663546308992724</v>
      </c>
      <c r="J714" s="53" t="n">
        <f aca="true">NORMINV(RAND(),0,J$7)</f>
        <v>-2.89243740183269</v>
      </c>
      <c r="K714" s="53" t="n">
        <f aca="true">NORMINV(RAND(),0,K$7)</f>
        <v>0.228348286958941</v>
      </c>
      <c r="L714" s="53" t="n">
        <f aca="true">NORMINV(RAND(),0,L$7)</f>
        <v>0.339980040597232</v>
      </c>
      <c r="M714" s="53" t="n">
        <f aca="true">NORMINV(RAND(),0,M$7)</f>
        <v>0.372658916639514</v>
      </c>
      <c r="N714" s="53" t="n">
        <f aca="true">NORMINV(RAND(),0,N$7)</f>
        <v>-0.141946959287468</v>
      </c>
      <c r="O714" s="53" t="n">
        <f aca="false">SUM(J714:N714)</f>
        <v>-2.09339711692447</v>
      </c>
    </row>
    <row r="715" customFormat="false" ht="15" hidden="false" customHeight="false" outlineLevel="0" collapsed="false">
      <c r="A715" s="2" t="n">
        <v>707</v>
      </c>
      <c r="B715" s="53" t="n">
        <f aca="true">NORMINV(RAND(),0,B$7)</f>
        <v>1.60101981797432</v>
      </c>
      <c r="C715" s="53" t="n">
        <f aca="true">NORMINV(RAND(),0,C$7)</f>
        <v>0.608564339412319</v>
      </c>
      <c r="D715" s="53" t="n">
        <f aca="true">NORMINV(RAND(),0,D$7)</f>
        <v>-0.548858237136196</v>
      </c>
      <c r="E715" s="53" t="n">
        <f aca="true">NORMINV(RAND(),0,E$7)</f>
        <v>0.0471690044206563</v>
      </c>
      <c r="F715" s="53" t="n">
        <f aca="true">NORMINV(RAND(),0,F$7)</f>
        <v>0.243509384895952</v>
      </c>
      <c r="G715" s="53" t="n">
        <f aca="true">NORMINV(RAND(),0,G$7)</f>
        <v>1.54546797646606</v>
      </c>
      <c r="H715" s="53" t="n">
        <f aca="true">NORMINV(RAND(),0,H$7)</f>
        <v>-0.107444268914684</v>
      </c>
      <c r="I715" s="53" t="n">
        <f aca="false">SUM(B715:H715)</f>
        <v>3.38942801711843</v>
      </c>
      <c r="J715" s="53" t="n">
        <f aca="true">NORMINV(RAND(),0,J$7)</f>
        <v>-1.6958931650559</v>
      </c>
      <c r="K715" s="53" t="n">
        <f aca="true">NORMINV(RAND(),0,K$7)</f>
        <v>-0.510703513619924</v>
      </c>
      <c r="L715" s="53" t="n">
        <f aca="true">NORMINV(RAND(),0,L$7)</f>
        <v>0.262317530263224</v>
      </c>
      <c r="M715" s="53" t="n">
        <f aca="true">NORMINV(RAND(),0,M$7)</f>
        <v>-0.204354074310085</v>
      </c>
      <c r="N715" s="53" t="n">
        <f aca="true">NORMINV(RAND(),0,N$7)</f>
        <v>0.106626330520463</v>
      </c>
      <c r="O715" s="53" t="n">
        <f aca="false">SUM(J715:N715)</f>
        <v>-2.04200689220222</v>
      </c>
    </row>
    <row r="716" customFormat="false" ht="15" hidden="false" customHeight="false" outlineLevel="0" collapsed="false">
      <c r="A716" s="2" t="n">
        <v>708</v>
      </c>
      <c r="B716" s="53" t="n">
        <f aca="true">NORMINV(RAND(),0,B$7)</f>
        <v>1.59673121758233</v>
      </c>
      <c r="C716" s="53" t="n">
        <f aca="true">NORMINV(RAND(),0,C$7)</f>
        <v>-1.37013544562873</v>
      </c>
      <c r="D716" s="53" t="n">
        <f aca="true">NORMINV(RAND(),0,D$7)</f>
        <v>0.0686243262956356</v>
      </c>
      <c r="E716" s="53" t="n">
        <f aca="true">NORMINV(RAND(),0,E$7)</f>
        <v>-0.122289513935441</v>
      </c>
      <c r="F716" s="53" t="n">
        <f aca="true">NORMINV(RAND(),0,F$7)</f>
        <v>0.341633343685245</v>
      </c>
      <c r="G716" s="53" t="n">
        <f aca="true">NORMINV(RAND(),0,G$7)</f>
        <v>-3.6245302996542</v>
      </c>
      <c r="H716" s="53" t="n">
        <f aca="true">NORMINV(RAND(),0,H$7)</f>
        <v>-0.288562801509047</v>
      </c>
      <c r="I716" s="53" t="n">
        <f aca="false">SUM(B716:H716)</f>
        <v>-3.39852917316422</v>
      </c>
      <c r="J716" s="53" t="n">
        <f aca="true">NORMINV(RAND(),0,J$7)</f>
        <v>-3.22319554790939</v>
      </c>
      <c r="K716" s="53" t="n">
        <f aca="true">NORMINV(RAND(),0,K$7)</f>
        <v>-0.940853798633525</v>
      </c>
      <c r="L716" s="53" t="n">
        <f aca="true">NORMINV(RAND(),0,L$7)</f>
        <v>0.0321597030467173</v>
      </c>
      <c r="M716" s="53" t="n">
        <f aca="true">NORMINV(RAND(),0,M$7)</f>
        <v>0.0877983312989576</v>
      </c>
      <c r="N716" s="53" t="n">
        <f aca="true">NORMINV(RAND(),0,N$7)</f>
        <v>-0.0367007708392107</v>
      </c>
      <c r="O716" s="53" t="n">
        <f aca="false">SUM(J716:N716)</f>
        <v>-4.08079208303645</v>
      </c>
    </row>
    <row r="717" customFormat="false" ht="15" hidden="false" customHeight="false" outlineLevel="0" collapsed="false">
      <c r="A717" s="2" t="n">
        <v>709</v>
      </c>
      <c r="B717" s="53" t="n">
        <f aca="true">NORMINV(RAND(),0,B$7)</f>
        <v>-0.0931153791132742</v>
      </c>
      <c r="C717" s="53" t="n">
        <f aca="true">NORMINV(RAND(),0,C$7)</f>
        <v>1.14457305983003</v>
      </c>
      <c r="D717" s="53" t="n">
        <f aca="true">NORMINV(RAND(),0,D$7)</f>
        <v>-0.953621923364466</v>
      </c>
      <c r="E717" s="53" t="n">
        <f aca="true">NORMINV(RAND(),0,E$7)</f>
        <v>-0.417990516213962</v>
      </c>
      <c r="F717" s="53" t="n">
        <f aca="true">NORMINV(RAND(),0,F$7)</f>
        <v>0.339146566550163</v>
      </c>
      <c r="G717" s="53" t="n">
        <f aca="true">NORMINV(RAND(),0,G$7)</f>
        <v>-0.925846182768432</v>
      </c>
      <c r="H717" s="53" t="n">
        <f aca="true">NORMINV(RAND(),0,H$7)</f>
        <v>-0.246163716689476</v>
      </c>
      <c r="I717" s="53" t="n">
        <f aca="false">SUM(B717:H717)</f>
        <v>-1.15301809176941</v>
      </c>
      <c r="J717" s="53" t="n">
        <f aca="true">NORMINV(RAND(),0,J$7)</f>
        <v>-2.35817224003051</v>
      </c>
      <c r="K717" s="53" t="n">
        <f aca="true">NORMINV(RAND(),0,K$7)</f>
        <v>0.496055565731996</v>
      </c>
      <c r="L717" s="53" t="n">
        <f aca="true">NORMINV(RAND(),0,L$7)</f>
        <v>0.0149351873693083</v>
      </c>
      <c r="M717" s="53" t="n">
        <f aca="true">NORMINV(RAND(),0,M$7)</f>
        <v>0.0941744796044791</v>
      </c>
      <c r="N717" s="53" t="n">
        <f aca="true">NORMINV(RAND(),0,N$7)</f>
        <v>0.228475486689936</v>
      </c>
      <c r="O717" s="53" t="n">
        <f aca="false">SUM(J717:N717)</f>
        <v>-1.52453152063479</v>
      </c>
    </row>
    <row r="718" customFormat="false" ht="15" hidden="false" customHeight="false" outlineLevel="0" collapsed="false">
      <c r="A718" s="2" t="n">
        <v>710</v>
      </c>
      <c r="B718" s="53" t="n">
        <f aca="true">NORMINV(RAND(),0,B$7)</f>
        <v>2.04216369193098</v>
      </c>
      <c r="C718" s="53" t="n">
        <f aca="true">NORMINV(RAND(),0,C$7)</f>
        <v>2.93165388320895</v>
      </c>
      <c r="D718" s="53" t="n">
        <f aca="true">NORMINV(RAND(),0,D$7)</f>
        <v>1.79734290791472</v>
      </c>
      <c r="E718" s="53" t="n">
        <f aca="true">NORMINV(RAND(),0,E$7)</f>
        <v>0.258239521070405</v>
      </c>
      <c r="F718" s="53" t="n">
        <f aca="true">NORMINV(RAND(),0,F$7)</f>
        <v>-0.100036135570533</v>
      </c>
      <c r="G718" s="53" t="n">
        <f aca="true">NORMINV(RAND(),0,G$7)</f>
        <v>-1.01751921924209</v>
      </c>
      <c r="H718" s="53" t="n">
        <f aca="true">NORMINV(RAND(),0,H$7)</f>
        <v>0.328461842834546</v>
      </c>
      <c r="I718" s="53" t="n">
        <f aca="false">SUM(B718:H718)</f>
        <v>6.24030649214699</v>
      </c>
      <c r="J718" s="53" t="n">
        <f aca="true">NORMINV(RAND(),0,J$7)</f>
        <v>1.55074533688304</v>
      </c>
      <c r="K718" s="53" t="n">
        <f aca="true">NORMINV(RAND(),0,K$7)</f>
        <v>-0.535212517355854</v>
      </c>
      <c r="L718" s="53" t="n">
        <f aca="true">NORMINV(RAND(),0,L$7)</f>
        <v>-0.469903141327576</v>
      </c>
      <c r="M718" s="53" t="n">
        <f aca="true">NORMINV(RAND(),0,M$7)</f>
        <v>-0.0740650311050129</v>
      </c>
      <c r="N718" s="53" t="n">
        <f aca="true">NORMINV(RAND(),0,N$7)</f>
        <v>-0.276583549532268</v>
      </c>
      <c r="O718" s="53" t="n">
        <f aca="false">SUM(J718:N718)</f>
        <v>0.194981097562325</v>
      </c>
    </row>
    <row r="719" customFormat="false" ht="15" hidden="false" customHeight="false" outlineLevel="0" collapsed="false">
      <c r="A719" s="2" t="n">
        <v>711</v>
      </c>
      <c r="B719" s="53" t="n">
        <f aca="true">NORMINV(RAND(),0,B$7)</f>
        <v>0.220385063334212</v>
      </c>
      <c r="C719" s="53" t="n">
        <f aca="true">NORMINV(RAND(),0,C$7)</f>
        <v>0.643729950522413</v>
      </c>
      <c r="D719" s="53" t="n">
        <f aca="true">NORMINV(RAND(),0,D$7)</f>
        <v>-0.56538127134161</v>
      </c>
      <c r="E719" s="53" t="n">
        <f aca="true">NORMINV(RAND(),0,E$7)</f>
        <v>-0.254575951836813</v>
      </c>
      <c r="F719" s="53" t="n">
        <f aca="true">NORMINV(RAND(),0,F$7)</f>
        <v>-0.16106965991826</v>
      </c>
      <c r="G719" s="53" t="n">
        <f aca="true">NORMINV(RAND(),0,G$7)</f>
        <v>-1.26901147145624</v>
      </c>
      <c r="H719" s="53" t="n">
        <f aca="true">NORMINV(RAND(),0,H$7)</f>
        <v>0.0119735303130737</v>
      </c>
      <c r="I719" s="53" t="n">
        <f aca="false">SUM(B719:H719)</f>
        <v>-1.37394981038323</v>
      </c>
      <c r="J719" s="53" t="n">
        <f aca="true">NORMINV(RAND(),0,J$7)</f>
        <v>-2.36948981509553</v>
      </c>
      <c r="K719" s="53" t="n">
        <f aca="true">NORMINV(RAND(),0,K$7)</f>
        <v>-0.720470258239798</v>
      </c>
      <c r="L719" s="53" t="n">
        <f aca="true">NORMINV(RAND(),0,L$7)</f>
        <v>-0.260420099340587</v>
      </c>
      <c r="M719" s="53" t="n">
        <f aca="true">NORMINV(RAND(),0,M$7)</f>
        <v>-0.0503907004176306</v>
      </c>
      <c r="N719" s="53" t="n">
        <f aca="true">NORMINV(RAND(),0,N$7)</f>
        <v>-0.445769355868746</v>
      </c>
      <c r="O719" s="53" t="n">
        <f aca="false">SUM(J719:N719)</f>
        <v>-3.84654022896229</v>
      </c>
    </row>
    <row r="720" customFormat="false" ht="15" hidden="false" customHeight="false" outlineLevel="0" collapsed="false">
      <c r="A720" s="2" t="n">
        <v>712</v>
      </c>
      <c r="B720" s="53" t="n">
        <f aca="true">NORMINV(RAND(),0,B$7)</f>
        <v>0.281762095372649</v>
      </c>
      <c r="C720" s="53" t="n">
        <f aca="true">NORMINV(RAND(),0,C$7)</f>
        <v>-2.34155321132517</v>
      </c>
      <c r="D720" s="53" t="n">
        <f aca="true">NORMINV(RAND(),0,D$7)</f>
        <v>-3.70416168450498</v>
      </c>
      <c r="E720" s="53" t="n">
        <f aca="true">NORMINV(RAND(),0,E$7)</f>
        <v>0.140182833016725</v>
      </c>
      <c r="F720" s="53" t="n">
        <f aca="true">NORMINV(RAND(),0,F$7)</f>
        <v>-0.393017278865981</v>
      </c>
      <c r="G720" s="53" t="n">
        <f aca="true">NORMINV(RAND(),0,G$7)</f>
        <v>2.84688179876943</v>
      </c>
      <c r="H720" s="53" t="n">
        <f aca="true">NORMINV(RAND(),0,H$7)</f>
        <v>-0.0581008276664728</v>
      </c>
      <c r="I720" s="53" t="n">
        <f aca="false">SUM(B720:H720)</f>
        <v>-3.22800627520379</v>
      </c>
      <c r="J720" s="53" t="n">
        <f aca="true">NORMINV(RAND(),0,J$7)</f>
        <v>2.04382629900307</v>
      </c>
      <c r="K720" s="53" t="n">
        <f aca="true">NORMINV(RAND(),0,K$7)</f>
        <v>0.0122237085312948</v>
      </c>
      <c r="L720" s="53" t="n">
        <f aca="true">NORMINV(RAND(),0,L$7)</f>
        <v>-0.228976428579716</v>
      </c>
      <c r="M720" s="53" t="n">
        <f aca="true">NORMINV(RAND(),0,M$7)</f>
        <v>0.2138693289245</v>
      </c>
      <c r="N720" s="53" t="n">
        <f aca="true">NORMINV(RAND(),0,N$7)</f>
        <v>-0.265626295055909</v>
      </c>
      <c r="O720" s="53" t="n">
        <f aca="false">SUM(J720:N720)</f>
        <v>1.77531661282324</v>
      </c>
    </row>
    <row r="721" customFormat="false" ht="15" hidden="false" customHeight="false" outlineLevel="0" collapsed="false">
      <c r="A721" s="2" t="n">
        <v>713</v>
      </c>
      <c r="B721" s="53" t="n">
        <f aca="true">NORMINV(RAND(),0,B$7)</f>
        <v>0.81604666916872</v>
      </c>
      <c r="C721" s="53" t="n">
        <f aca="true">NORMINV(RAND(),0,C$7)</f>
        <v>0.516057227587641</v>
      </c>
      <c r="D721" s="53" t="n">
        <f aca="true">NORMINV(RAND(),0,D$7)</f>
        <v>0.290369552445402</v>
      </c>
      <c r="E721" s="53" t="n">
        <f aca="true">NORMINV(RAND(),0,E$7)</f>
        <v>-0.0441262880960188</v>
      </c>
      <c r="F721" s="53" t="n">
        <f aca="true">NORMINV(RAND(),0,F$7)</f>
        <v>0.0978657475749668</v>
      </c>
      <c r="G721" s="53" t="n">
        <f aca="true">NORMINV(RAND(),0,G$7)</f>
        <v>-1.29060146669498</v>
      </c>
      <c r="H721" s="53" t="n">
        <f aca="true">NORMINV(RAND(),0,H$7)</f>
        <v>-0.0476570291381883</v>
      </c>
      <c r="I721" s="53" t="n">
        <f aca="false">SUM(B721:H721)</f>
        <v>0.337954412847544</v>
      </c>
      <c r="J721" s="53" t="n">
        <f aca="true">NORMINV(RAND(),0,J$7)</f>
        <v>-1.66401842989756</v>
      </c>
      <c r="K721" s="53" t="n">
        <f aca="true">NORMINV(RAND(),0,K$7)</f>
        <v>-0.206439344785182</v>
      </c>
      <c r="L721" s="53" t="n">
        <f aca="true">NORMINV(RAND(),0,L$7)</f>
        <v>0.0322382544098515</v>
      </c>
      <c r="M721" s="53" t="n">
        <f aca="true">NORMINV(RAND(),0,M$7)</f>
        <v>-0.0904921498328659</v>
      </c>
      <c r="N721" s="53" t="n">
        <f aca="true">NORMINV(RAND(),0,N$7)</f>
        <v>0.181555317607587</v>
      </c>
      <c r="O721" s="53" t="n">
        <f aca="false">SUM(J721:N721)</f>
        <v>-1.74715635249817</v>
      </c>
    </row>
    <row r="722" customFormat="false" ht="15" hidden="false" customHeight="false" outlineLevel="0" collapsed="false">
      <c r="A722" s="2" t="n">
        <v>714</v>
      </c>
      <c r="B722" s="53" t="n">
        <f aca="true">NORMINV(RAND(),0,B$7)</f>
        <v>-0.45008662605083</v>
      </c>
      <c r="C722" s="53" t="n">
        <f aca="true">NORMINV(RAND(),0,C$7)</f>
        <v>0.600231781673452</v>
      </c>
      <c r="D722" s="53" t="n">
        <f aca="true">NORMINV(RAND(),0,D$7)</f>
        <v>0.591928372404061</v>
      </c>
      <c r="E722" s="53" t="n">
        <f aca="true">NORMINV(RAND(),0,E$7)</f>
        <v>-0.151590936346761</v>
      </c>
      <c r="F722" s="53" t="n">
        <f aca="true">NORMINV(RAND(),0,F$7)</f>
        <v>0.142072116225517</v>
      </c>
      <c r="G722" s="53" t="n">
        <f aca="true">NORMINV(RAND(),0,G$7)</f>
        <v>0.279133081348613</v>
      </c>
      <c r="H722" s="53" t="n">
        <f aca="true">NORMINV(RAND(),0,H$7)</f>
        <v>-0.359198993880964</v>
      </c>
      <c r="I722" s="53" t="n">
        <f aca="false">SUM(B722:H722)</f>
        <v>0.652488795373087</v>
      </c>
      <c r="J722" s="53" t="n">
        <f aca="true">NORMINV(RAND(),0,J$7)</f>
        <v>-2.82720436167558</v>
      </c>
      <c r="K722" s="53" t="n">
        <f aca="true">NORMINV(RAND(),0,K$7)</f>
        <v>0.749460804008571</v>
      </c>
      <c r="L722" s="53" t="n">
        <f aca="true">NORMINV(RAND(),0,L$7)</f>
        <v>-0.368978090042574</v>
      </c>
      <c r="M722" s="53" t="n">
        <f aca="true">NORMINV(RAND(),0,M$7)</f>
        <v>-0.00415718661332308</v>
      </c>
      <c r="N722" s="53" t="n">
        <f aca="true">NORMINV(RAND(),0,N$7)</f>
        <v>0.0713535438117242</v>
      </c>
      <c r="O722" s="53" t="n">
        <f aca="false">SUM(J722:N722)</f>
        <v>-2.37952529051118</v>
      </c>
    </row>
    <row r="723" customFormat="false" ht="15" hidden="false" customHeight="false" outlineLevel="0" collapsed="false">
      <c r="A723" s="2" t="n">
        <v>715</v>
      </c>
      <c r="B723" s="53" t="n">
        <f aca="true">NORMINV(RAND(),0,B$7)</f>
        <v>-1.07414187554709</v>
      </c>
      <c r="C723" s="53" t="n">
        <f aca="true">NORMINV(RAND(),0,C$7)</f>
        <v>-0.953500037673562</v>
      </c>
      <c r="D723" s="53" t="n">
        <f aca="true">NORMINV(RAND(),0,D$7)</f>
        <v>-0.458591042790656</v>
      </c>
      <c r="E723" s="53" t="n">
        <f aca="true">NORMINV(RAND(),0,E$7)</f>
        <v>-0.175838936745714</v>
      </c>
      <c r="F723" s="53" t="n">
        <f aca="true">NORMINV(RAND(),0,F$7)</f>
        <v>0.249257866577353</v>
      </c>
      <c r="G723" s="53" t="n">
        <f aca="true">NORMINV(RAND(),0,G$7)</f>
        <v>0.675536752676314</v>
      </c>
      <c r="H723" s="53" t="n">
        <f aca="true">NORMINV(RAND(),0,H$7)</f>
        <v>-0.104783740548022</v>
      </c>
      <c r="I723" s="53" t="n">
        <f aca="false">SUM(B723:H723)</f>
        <v>-1.84206101405138</v>
      </c>
      <c r="J723" s="53" t="n">
        <f aca="true">NORMINV(RAND(),0,J$7)</f>
        <v>-0.266316425611255</v>
      </c>
      <c r="K723" s="53" t="n">
        <f aca="true">NORMINV(RAND(),0,K$7)</f>
        <v>-0.784215435310178</v>
      </c>
      <c r="L723" s="53" t="n">
        <f aca="true">NORMINV(RAND(),0,L$7)</f>
        <v>-0.181358691815107</v>
      </c>
      <c r="M723" s="53" t="n">
        <f aca="true">NORMINV(RAND(),0,M$7)</f>
        <v>0.101744971891367</v>
      </c>
      <c r="N723" s="53" t="n">
        <f aca="true">NORMINV(RAND(),0,N$7)</f>
        <v>-0.129239594100235</v>
      </c>
      <c r="O723" s="53" t="n">
        <f aca="false">SUM(J723:N723)</f>
        <v>-1.25938517494541</v>
      </c>
    </row>
    <row r="724" customFormat="false" ht="15" hidden="false" customHeight="false" outlineLevel="0" collapsed="false">
      <c r="A724" s="2" t="n">
        <v>716</v>
      </c>
      <c r="B724" s="53" t="n">
        <f aca="true">NORMINV(RAND(),0,B$7)</f>
        <v>1.52413368864199</v>
      </c>
      <c r="C724" s="53" t="n">
        <f aca="true">NORMINV(RAND(),0,C$7)</f>
        <v>-0.438390837706569</v>
      </c>
      <c r="D724" s="53" t="n">
        <f aca="true">NORMINV(RAND(),0,D$7)</f>
        <v>0.667522324230382</v>
      </c>
      <c r="E724" s="53" t="n">
        <f aca="true">NORMINV(RAND(),0,E$7)</f>
        <v>0.119454962641036</v>
      </c>
      <c r="F724" s="53" t="n">
        <f aca="true">NORMINV(RAND(),0,F$7)</f>
        <v>0.214669018062593</v>
      </c>
      <c r="G724" s="53" t="n">
        <f aca="true">NORMINV(RAND(),0,G$7)</f>
        <v>-0.552158040172257</v>
      </c>
      <c r="H724" s="53" t="n">
        <f aca="true">NORMINV(RAND(),0,H$7)</f>
        <v>-0.0796525475283439</v>
      </c>
      <c r="I724" s="53" t="n">
        <f aca="false">SUM(B724:H724)</f>
        <v>1.45557856816883</v>
      </c>
      <c r="J724" s="53" t="n">
        <f aca="true">NORMINV(RAND(),0,J$7)</f>
        <v>3.16166248594675</v>
      </c>
      <c r="K724" s="53" t="n">
        <f aca="true">NORMINV(RAND(),0,K$7)</f>
        <v>0.200067772659195</v>
      </c>
      <c r="L724" s="53" t="n">
        <f aca="true">NORMINV(RAND(),0,L$7)</f>
        <v>0.662128848016874</v>
      </c>
      <c r="M724" s="53" t="n">
        <f aca="true">NORMINV(RAND(),0,M$7)</f>
        <v>0.0579673419068544</v>
      </c>
      <c r="N724" s="53" t="n">
        <f aca="true">NORMINV(RAND(),0,N$7)</f>
        <v>-0.727080635031441</v>
      </c>
      <c r="O724" s="53" t="n">
        <f aca="false">SUM(J724:N724)</f>
        <v>3.35474581349823</v>
      </c>
    </row>
    <row r="725" customFormat="false" ht="15" hidden="false" customHeight="false" outlineLevel="0" collapsed="false">
      <c r="A725" s="2" t="n">
        <v>717</v>
      </c>
      <c r="B725" s="53" t="n">
        <f aca="true">NORMINV(RAND(),0,B$7)</f>
        <v>1.51353609772468</v>
      </c>
      <c r="C725" s="53" t="n">
        <f aca="true">NORMINV(RAND(),0,C$7)</f>
        <v>-0.821469675562967</v>
      </c>
      <c r="D725" s="53" t="n">
        <f aca="true">NORMINV(RAND(),0,D$7)</f>
        <v>-2.02142342042958</v>
      </c>
      <c r="E725" s="53" t="n">
        <f aca="true">NORMINV(RAND(),0,E$7)</f>
        <v>-0.151201892347054</v>
      </c>
      <c r="F725" s="53" t="n">
        <f aca="true">NORMINV(RAND(),0,F$7)</f>
        <v>-0.51365189967901</v>
      </c>
      <c r="G725" s="53" t="n">
        <f aca="true">NORMINV(RAND(),0,G$7)</f>
        <v>-0.959534476132374</v>
      </c>
      <c r="H725" s="53" t="n">
        <f aca="true">NORMINV(RAND(),0,H$7)</f>
        <v>0.682633456482683</v>
      </c>
      <c r="I725" s="53" t="n">
        <f aca="false">SUM(B725:H725)</f>
        <v>-2.27111180994362</v>
      </c>
      <c r="J725" s="53" t="n">
        <f aca="true">NORMINV(RAND(),0,J$7)</f>
        <v>1.0272336605492</v>
      </c>
      <c r="K725" s="53" t="n">
        <f aca="true">NORMINV(RAND(),0,K$7)</f>
        <v>-0.00838239941303271</v>
      </c>
      <c r="L725" s="53" t="n">
        <f aca="true">NORMINV(RAND(),0,L$7)</f>
        <v>0.455475365751711</v>
      </c>
      <c r="M725" s="53" t="n">
        <f aca="true">NORMINV(RAND(),0,M$7)</f>
        <v>-0.166276534637918</v>
      </c>
      <c r="N725" s="53" t="n">
        <f aca="true">NORMINV(RAND(),0,N$7)</f>
        <v>-0.0927238350918363</v>
      </c>
      <c r="O725" s="53" t="n">
        <f aca="false">SUM(J725:N725)</f>
        <v>1.21532625715813</v>
      </c>
    </row>
    <row r="726" customFormat="false" ht="15" hidden="false" customHeight="false" outlineLevel="0" collapsed="false">
      <c r="A726" s="2" t="n">
        <v>718</v>
      </c>
      <c r="B726" s="53" t="n">
        <f aca="true">NORMINV(RAND(),0,B$7)</f>
        <v>-0.096644842604591</v>
      </c>
      <c r="C726" s="53" t="n">
        <f aca="true">NORMINV(RAND(),0,C$7)</f>
        <v>0.574169611683062</v>
      </c>
      <c r="D726" s="53" t="n">
        <f aca="true">NORMINV(RAND(),0,D$7)</f>
        <v>1.21495064283901</v>
      </c>
      <c r="E726" s="53" t="n">
        <f aca="true">NORMINV(RAND(),0,E$7)</f>
        <v>-0.307345014889579</v>
      </c>
      <c r="F726" s="53" t="n">
        <f aca="true">NORMINV(RAND(),0,F$7)</f>
        <v>-0.129074349750483</v>
      </c>
      <c r="G726" s="53" t="n">
        <f aca="true">NORMINV(RAND(),0,G$7)</f>
        <v>0.629759797471645</v>
      </c>
      <c r="H726" s="53" t="n">
        <f aca="true">NORMINV(RAND(),0,H$7)</f>
        <v>0.0304380881933879</v>
      </c>
      <c r="I726" s="53" t="n">
        <f aca="false">SUM(B726:H726)</f>
        <v>1.91625393294245</v>
      </c>
      <c r="J726" s="53" t="n">
        <f aca="true">NORMINV(RAND(),0,J$7)</f>
        <v>-0.381878298630604</v>
      </c>
      <c r="K726" s="53" t="n">
        <f aca="true">NORMINV(RAND(),0,K$7)</f>
        <v>-0.150202955800054</v>
      </c>
      <c r="L726" s="53" t="n">
        <f aca="true">NORMINV(RAND(),0,L$7)</f>
        <v>-0.852905501089819</v>
      </c>
      <c r="M726" s="53" t="n">
        <f aca="true">NORMINV(RAND(),0,M$7)</f>
        <v>-0.0641037593669337</v>
      </c>
      <c r="N726" s="53" t="n">
        <f aca="true">NORMINV(RAND(),0,N$7)</f>
        <v>-0.256290244266738</v>
      </c>
      <c r="O726" s="53" t="n">
        <f aca="false">SUM(J726:N726)</f>
        <v>-1.70538075915415</v>
      </c>
    </row>
    <row r="727" customFormat="false" ht="15" hidden="false" customHeight="false" outlineLevel="0" collapsed="false">
      <c r="A727" s="2" t="n">
        <v>719</v>
      </c>
      <c r="B727" s="53" t="n">
        <f aca="true">NORMINV(RAND(),0,B$7)</f>
        <v>-0.311836001587737</v>
      </c>
      <c r="C727" s="53" t="n">
        <f aca="true">NORMINV(RAND(),0,C$7)</f>
        <v>2.40099520009136</v>
      </c>
      <c r="D727" s="53" t="n">
        <f aca="true">NORMINV(RAND(),0,D$7)</f>
        <v>1.22545751631464</v>
      </c>
      <c r="E727" s="53" t="n">
        <f aca="true">NORMINV(RAND(),0,E$7)</f>
        <v>0.299577841932047</v>
      </c>
      <c r="F727" s="53" t="n">
        <f aca="true">NORMINV(RAND(),0,F$7)</f>
        <v>0.060668297289857</v>
      </c>
      <c r="G727" s="53" t="n">
        <f aca="true">NORMINV(RAND(),0,G$7)</f>
        <v>-1.84619036009787</v>
      </c>
      <c r="H727" s="53" t="n">
        <f aca="true">NORMINV(RAND(),0,H$7)</f>
        <v>0.00194307987884448</v>
      </c>
      <c r="I727" s="53" t="n">
        <f aca="false">SUM(B727:H727)</f>
        <v>1.83061557382115</v>
      </c>
      <c r="J727" s="53" t="n">
        <f aca="true">NORMINV(RAND(),0,J$7)</f>
        <v>0.756074572445258</v>
      </c>
      <c r="K727" s="53" t="n">
        <f aca="true">NORMINV(RAND(),0,K$7)</f>
        <v>0.781157127485795</v>
      </c>
      <c r="L727" s="53" t="n">
        <f aca="true">NORMINV(RAND(),0,L$7)</f>
        <v>-0.0332529331990182</v>
      </c>
      <c r="M727" s="53" t="n">
        <f aca="true">NORMINV(RAND(),0,M$7)</f>
        <v>0.244133470120586</v>
      </c>
      <c r="N727" s="53" t="n">
        <f aca="true">NORMINV(RAND(),0,N$7)</f>
        <v>-0.323356742497635</v>
      </c>
      <c r="O727" s="53" t="n">
        <f aca="false">SUM(J727:N727)</f>
        <v>1.42475549435499</v>
      </c>
    </row>
    <row r="728" customFormat="false" ht="15" hidden="false" customHeight="false" outlineLevel="0" collapsed="false">
      <c r="A728" s="2" t="n">
        <v>720</v>
      </c>
      <c r="B728" s="53" t="n">
        <f aca="true">NORMINV(RAND(),0,B$7)</f>
        <v>-0.0148055818522024</v>
      </c>
      <c r="C728" s="53" t="n">
        <f aca="true">NORMINV(RAND(),0,C$7)</f>
        <v>0.77088764560586</v>
      </c>
      <c r="D728" s="53" t="n">
        <f aca="true">NORMINV(RAND(),0,D$7)</f>
        <v>0.685627053615427</v>
      </c>
      <c r="E728" s="53" t="n">
        <f aca="true">NORMINV(RAND(),0,E$7)</f>
        <v>0.428244397203353</v>
      </c>
      <c r="F728" s="53" t="n">
        <f aca="true">NORMINV(RAND(),0,F$7)</f>
        <v>0.477314666401512</v>
      </c>
      <c r="G728" s="53" t="n">
        <f aca="true">NORMINV(RAND(),0,G$7)</f>
        <v>1.94881072533225</v>
      </c>
      <c r="H728" s="53" t="n">
        <f aca="true">NORMINV(RAND(),0,H$7)</f>
        <v>0.0612748491598756</v>
      </c>
      <c r="I728" s="53" t="n">
        <f aca="false">SUM(B728:H728)</f>
        <v>4.35735375546608</v>
      </c>
      <c r="J728" s="53" t="n">
        <f aca="true">NORMINV(RAND(),0,J$7)</f>
        <v>-2.36646915459197</v>
      </c>
      <c r="K728" s="53" t="n">
        <f aca="true">NORMINV(RAND(),0,K$7)</f>
        <v>0.0559546606599271</v>
      </c>
      <c r="L728" s="53" t="n">
        <f aca="true">NORMINV(RAND(),0,L$7)</f>
        <v>0.179541980651181</v>
      </c>
      <c r="M728" s="53" t="n">
        <f aca="true">NORMINV(RAND(),0,M$7)</f>
        <v>-0.028065293861414</v>
      </c>
      <c r="N728" s="53" t="n">
        <f aca="true">NORMINV(RAND(),0,N$7)</f>
        <v>-0.52148088489983</v>
      </c>
      <c r="O728" s="53" t="n">
        <f aca="false">SUM(J728:N728)</f>
        <v>-2.6805186920421</v>
      </c>
    </row>
    <row r="729" customFormat="false" ht="15" hidden="false" customHeight="false" outlineLevel="0" collapsed="false">
      <c r="A729" s="2" t="n">
        <v>721</v>
      </c>
      <c r="B729" s="53" t="n">
        <f aca="true">NORMINV(RAND(),0,B$7)</f>
        <v>0.934001128558927</v>
      </c>
      <c r="C729" s="53" t="n">
        <f aca="true">NORMINV(RAND(),0,C$7)</f>
        <v>-1.75900342920058</v>
      </c>
      <c r="D729" s="53" t="n">
        <f aca="true">NORMINV(RAND(),0,D$7)</f>
        <v>1.09812533129612</v>
      </c>
      <c r="E729" s="53" t="n">
        <f aca="true">NORMINV(RAND(),0,E$7)</f>
        <v>0.197112040689796</v>
      </c>
      <c r="F729" s="53" t="n">
        <f aca="true">NORMINV(RAND(),0,F$7)</f>
        <v>0.166692886215033</v>
      </c>
      <c r="G729" s="53" t="n">
        <f aca="true">NORMINV(RAND(),0,G$7)</f>
        <v>-0.371905109403343</v>
      </c>
      <c r="H729" s="53" t="n">
        <f aca="true">NORMINV(RAND(),0,H$7)</f>
        <v>-0.459534767935555</v>
      </c>
      <c r="I729" s="53" t="n">
        <f aca="false">SUM(B729:H729)</f>
        <v>-0.194511919779596</v>
      </c>
      <c r="J729" s="53" t="n">
        <f aca="true">NORMINV(RAND(),0,J$7)</f>
        <v>0.340291847863389</v>
      </c>
      <c r="K729" s="53" t="n">
        <f aca="true">NORMINV(RAND(),0,K$7)</f>
        <v>-0.432682681626394</v>
      </c>
      <c r="L729" s="53" t="n">
        <f aca="true">NORMINV(RAND(),0,L$7)</f>
        <v>-0.448070396969818</v>
      </c>
      <c r="M729" s="53" t="n">
        <f aca="true">NORMINV(RAND(),0,M$7)</f>
        <v>-0.202124468684712</v>
      </c>
      <c r="N729" s="53" t="n">
        <f aca="true">NORMINV(RAND(),0,N$7)</f>
        <v>-0.0256407629307776</v>
      </c>
      <c r="O729" s="53" t="n">
        <f aca="false">SUM(J729:N729)</f>
        <v>-0.768226462348312</v>
      </c>
    </row>
    <row r="730" customFormat="false" ht="15" hidden="false" customHeight="false" outlineLevel="0" collapsed="false">
      <c r="A730" s="2" t="n">
        <v>722</v>
      </c>
      <c r="B730" s="53" t="n">
        <f aca="true">NORMINV(RAND(),0,B$7)</f>
        <v>-4.26357538915525</v>
      </c>
      <c r="C730" s="53" t="n">
        <f aca="true">NORMINV(RAND(),0,C$7)</f>
        <v>0.223873731842366</v>
      </c>
      <c r="D730" s="53" t="n">
        <f aca="true">NORMINV(RAND(),0,D$7)</f>
        <v>2.28401873603598</v>
      </c>
      <c r="E730" s="53" t="n">
        <f aca="true">NORMINV(RAND(),0,E$7)</f>
        <v>0.756786281675515</v>
      </c>
      <c r="F730" s="53" t="n">
        <f aca="true">NORMINV(RAND(),0,F$7)</f>
        <v>0.0268113573185441</v>
      </c>
      <c r="G730" s="53" t="n">
        <f aca="true">NORMINV(RAND(),0,G$7)</f>
        <v>-0.500627918284359</v>
      </c>
      <c r="H730" s="53" t="n">
        <f aca="true">NORMINV(RAND(),0,H$7)</f>
        <v>0.197597327055185</v>
      </c>
      <c r="I730" s="53" t="n">
        <f aca="false">SUM(B730:H730)</f>
        <v>-1.27511587351202</v>
      </c>
      <c r="J730" s="53" t="n">
        <f aca="true">NORMINV(RAND(),0,J$7)</f>
        <v>-0.45542077837439</v>
      </c>
      <c r="K730" s="53" t="n">
        <f aca="true">NORMINV(RAND(),0,K$7)</f>
        <v>1.10118366401389</v>
      </c>
      <c r="L730" s="53" t="n">
        <f aca="true">NORMINV(RAND(),0,L$7)</f>
        <v>-0.369687493995745</v>
      </c>
      <c r="M730" s="53" t="n">
        <f aca="true">NORMINV(RAND(),0,M$7)</f>
        <v>-0.416662287935931</v>
      </c>
      <c r="N730" s="53" t="n">
        <f aca="true">NORMINV(RAND(),0,N$7)</f>
        <v>0.0120028621477335</v>
      </c>
      <c r="O730" s="53" t="n">
        <f aca="false">SUM(J730:N730)</f>
        <v>-0.128584034144445</v>
      </c>
    </row>
    <row r="731" customFormat="false" ht="15" hidden="false" customHeight="false" outlineLevel="0" collapsed="false">
      <c r="A731" s="2" t="n">
        <v>723</v>
      </c>
      <c r="B731" s="53" t="n">
        <f aca="true">NORMINV(RAND(),0,B$7)</f>
        <v>0.120786284511868</v>
      </c>
      <c r="C731" s="53" t="n">
        <f aca="true">NORMINV(RAND(),0,C$7)</f>
        <v>-1.44470302310372</v>
      </c>
      <c r="D731" s="53" t="n">
        <f aca="true">NORMINV(RAND(),0,D$7)</f>
        <v>-4.08754132202206</v>
      </c>
      <c r="E731" s="53" t="n">
        <f aca="true">NORMINV(RAND(),0,E$7)</f>
        <v>0.0612348627244594</v>
      </c>
      <c r="F731" s="53" t="n">
        <f aca="true">NORMINV(RAND(),0,F$7)</f>
        <v>0.194796023259813</v>
      </c>
      <c r="G731" s="53" t="n">
        <f aca="true">NORMINV(RAND(),0,G$7)</f>
        <v>-1.08378856569922</v>
      </c>
      <c r="H731" s="53" t="n">
        <f aca="true">NORMINV(RAND(),0,H$7)</f>
        <v>0.218033496747042</v>
      </c>
      <c r="I731" s="53" t="n">
        <f aca="false">SUM(B731:H731)</f>
        <v>-6.02118224358182</v>
      </c>
      <c r="J731" s="53" t="n">
        <f aca="true">NORMINV(RAND(),0,J$7)</f>
        <v>1.08060150996661</v>
      </c>
      <c r="K731" s="53" t="n">
        <f aca="true">NORMINV(RAND(),0,K$7)</f>
        <v>-0.014690652771537</v>
      </c>
      <c r="L731" s="53" t="n">
        <f aca="true">NORMINV(RAND(),0,L$7)</f>
        <v>-0.805369059180169</v>
      </c>
      <c r="M731" s="53" t="n">
        <f aca="true">NORMINV(RAND(),0,M$7)</f>
        <v>0.157268712461119</v>
      </c>
      <c r="N731" s="53" t="n">
        <f aca="true">NORMINV(RAND(),0,N$7)</f>
        <v>-0.0675417872801417</v>
      </c>
      <c r="O731" s="53" t="n">
        <f aca="false">SUM(J731:N731)</f>
        <v>0.350268723195884</v>
      </c>
    </row>
    <row r="732" customFormat="false" ht="15" hidden="false" customHeight="false" outlineLevel="0" collapsed="false">
      <c r="A732" s="2" t="n">
        <v>724</v>
      </c>
      <c r="B732" s="53" t="n">
        <f aca="true">NORMINV(RAND(),0,B$7)</f>
        <v>1.12870245672329</v>
      </c>
      <c r="C732" s="53" t="n">
        <f aca="true">NORMINV(RAND(),0,C$7)</f>
        <v>2.02166192675232</v>
      </c>
      <c r="D732" s="53" t="n">
        <f aca="true">NORMINV(RAND(),0,D$7)</f>
        <v>-1.49712842198823</v>
      </c>
      <c r="E732" s="53" t="n">
        <f aca="true">NORMINV(RAND(),0,E$7)</f>
        <v>-0.184980182074007</v>
      </c>
      <c r="F732" s="53" t="n">
        <f aca="true">NORMINV(RAND(),0,F$7)</f>
        <v>0.442462003958514</v>
      </c>
      <c r="G732" s="53" t="n">
        <f aca="true">NORMINV(RAND(),0,G$7)</f>
        <v>-2.28899299001805</v>
      </c>
      <c r="H732" s="53" t="n">
        <f aca="true">NORMINV(RAND(),0,H$7)</f>
        <v>0.273377341068779</v>
      </c>
      <c r="I732" s="53" t="n">
        <f aca="false">SUM(B732:H732)</f>
        <v>-0.104897865577391</v>
      </c>
      <c r="J732" s="53" t="n">
        <f aca="true">NORMINV(RAND(),0,J$7)</f>
        <v>0.884777951966813</v>
      </c>
      <c r="K732" s="53" t="n">
        <f aca="true">NORMINV(RAND(),0,K$7)</f>
        <v>0.181877893205341</v>
      </c>
      <c r="L732" s="53" t="n">
        <f aca="true">NORMINV(RAND(),0,L$7)</f>
        <v>-0.47573135412723</v>
      </c>
      <c r="M732" s="53" t="n">
        <f aca="true">NORMINV(RAND(),0,M$7)</f>
        <v>-0.0704332125089527</v>
      </c>
      <c r="N732" s="53" t="n">
        <f aca="true">NORMINV(RAND(),0,N$7)</f>
        <v>-0.284803384959841</v>
      </c>
      <c r="O732" s="53" t="n">
        <f aca="false">SUM(J732:N732)</f>
        <v>0.235687893576131</v>
      </c>
    </row>
    <row r="733" customFormat="false" ht="15" hidden="false" customHeight="false" outlineLevel="0" collapsed="false">
      <c r="A733" s="2" t="n">
        <v>725</v>
      </c>
      <c r="B733" s="53" t="n">
        <f aca="true">NORMINV(RAND(),0,B$7)</f>
        <v>-2.11728735981331</v>
      </c>
      <c r="C733" s="53" t="n">
        <f aca="true">NORMINV(RAND(),0,C$7)</f>
        <v>1.92890909350491</v>
      </c>
      <c r="D733" s="53" t="n">
        <f aca="true">NORMINV(RAND(),0,D$7)</f>
        <v>2.02561836186192</v>
      </c>
      <c r="E733" s="53" t="n">
        <f aca="true">NORMINV(RAND(),0,E$7)</f>
        <v>-0.427569424860546</v>
      </c>
      <c r="F733" s="53" t="n">
        <f aca="true">NORMINV(RAND(),0,F$7)</f>
        <v>-0.135604142777809</v>
      </c>
      <c r="G733" s="53" t="n">
        <f aca="true">NORMINV(RAND(),0,G$7)</f>
        <v>-0.157555597798426</v>
      </c>
      <c r="H733" s="53" t="n">
        <f aca="true">NORMINV(RAND(),0,H$7)</f>
        <v>-0.118894875812994</v>
      </c>
      <c r="I733" s="53" t="n">
        <f aca="false">SUM(B733:H733)</f>
        <v>0.99761605430374</v>
      </c>
      <c r="J733" s="53" t="n">
        <f aca="true">NORMINV(RAND(),0,J$7)</f>
        <v>-1.36123492766095</v>
      </c>
      <c r="K733" s="53" t="n">
        <f aca="true">NORMINV(RAND(),0,K$7)</f>
        <v>-0.225887129074306</v>
      </c>
      <c r="L733" s="53" t="n">
        <f aca="true">NORMINV(RAND(),0,L$7)</f>
        <v>0.639937935771472</v>
      </c>
      <c r="M733" s="53" t="n">
        <f aca="true">NORMINV(RAND(),0,M$7)</f>
        <v>0.128046929135478</v>
      </c>
      <c r="N733" s="53" t="n">
        <f aca="true">NORMINV(RAND(),0,N$7)</f>
        <v>0.199866315715949</v>
      </c>
      <c r="O733" s="53" t="n">
        <f aca="false">SUM(J733:N733)</f>
        <v>-0.619270876112361</v>
      </c>
    </row>
    <row r="734" customFormat="false" ht="15" hidden="false" customHeight="false" outlineLevel="0" collapsed="false">
      <c r="A734" s="2" t="n">
        <v>726</v>
      </c>
      <c r="B734" s="53" t="n">
        <f aca="true">NORMINV(RAND(),0,B$7)</f>
        <v>-0.214868878504695</v>
      </c>
      <c r="C734" s="53" t="n">
        <f aca="true">NORMINV(RAND(),0,C$7)</f>
        <v>-0.334334397594504</v>
      </c>
      <c r="D734" s="53" t="n">
        <f aca="true">NORMINV(RAND(),0,D$7)</f>
        <v>2.16001739566495</v>
      </c>
      <c r="E734" s="53" t="n">
        <f aca="true">NORMINV(RAND(),0,E$7)</f>
        <v>0.296258923858198</v>
      </c>
      <c r="F734" s="53" t="n">
        <f aca="true">NORMINV(RAND(),0,F$7)</f>
        <v>0.183170297236799</v>
      </c>
      <c r="G734" s="53" t="n">
        <f aca="true">NORMINV(RAND(),0,G$7)</f>
        <v>-0.681430429899187</v>
      </c>
      <c r="H734" s="53" t="n">
        <f aca="true">NORMINV(RAND(),0,H$7)</f>
        <v>-0.261865655941035</v>
      </c>
      <c r="I734" s="53" t="n">
        <f aca="false">SUM(B734:H734)</f>
        <v>1.14694725482053</v>
      </c>
      <c r="J734" s="53" t="n">
        <f aca="true">NORMINV(RAND(),0,J$7)</f>
        <v>0.839793833396483</v>
      </c>
      <c r="K734" s="53" t="n">
        <f aca="true">NORMINV(RAND(),0,K$7)</f>
        <v>-0.037737076163326</v>
      </c>
      <c r="L734" s="53" t="n">
        <f aca="true">NORMINV(RAND(),0,L$7)</f>
        <v>0.10453572200627</v>
      </c>
      <c r="M734" s="53" t="n">
        <f aca="true">NORMINV(RAND(),0,M$7)</f>
        <v>0.119952806259635</v>
      </c>
      <c r="N734" s="53" t="n">
        <f aca="true">NORMINV(RAND(),0,N$7)</f>
        <v>-0.0262937242845767</v>
      </c>
      <c r="O734" s="53" t="n">
        <f aca="false">SUM(J734:N734)</f>
        <v>1.00025156121449</v>
      </c>
    </row>
    <row r="735" customFormat="false" ht="15" hidden="false" customHeight="false" outlineLevel="0" collapsed="false">
      <c r="A735" s="2" t="n">
        <v>727</v>
      </c>
      <c r="B735" s="53" t="n">
        <f aca="true">NORMINV(RAND(),0,B$7)</f>
        <v>-0.0571775831521035</v>
      </c>
      <c r="C735" s="53" t="n">
        <f aca="true">NORMINV(RAND(),0,C$7)</f>
        <v>0.867515805629756</v>
      </c>
      <c r="D735" s="53" t="n">
        <f aca="true">NORMINV(RAND(),0,D$7)</f>
        <v>-0.474119362641546</v>
      </c>
      <c r="E735" s="53" t="n">
        <f aca="true">NORMINV(RAND(),0,E$7)</f>
        <v>-0.270343733572206</v>
      </c>
      <c r="F735" s="53" t="n">
        <f aca="true">NORMINV(RAND(),0,F$7)</f>
        <v>-0.130671572728581</v>
      </c>
      <c r="G735" s="53" t="n">
        <f aca="true">NORMINV(RAND(),0,G$7)</f>
        <v>0.143688822513912</v>
      </c>
      <c r="H735" s="53" t="n">
        <f aca="true">NORMINV(RAND(),0,H$7)</f>
        <v>0.671902655354925</v>
      </c>
      <c r="I735" s="53" t="n">
        <f aca="false">SUM(B735:H735)</f>
        <v>0.750795031404157</v>
      </c>
      <c r="J735" s="53" t="n">
        <f aca="true">NORMINV(RAND(),0,J$7)</f>
        <v>-4.05328101874397</v>
      </c>
      <c r="K735" s="53" t="n">
        <f aca="true">NORMINV(RAND(),0,K$7)</f>
        <v>-1.53942848928003</v>
      </c>
      <c r="L735" s="53" t="n">
        <f aca="true">NORMINV(RAND(),0,L$7)</f>
        <v>0.254504407409899</v>
      </c>
      <c r="M735" s="53" t="n">
        <f aca="true">NORMINV(RAND(),0,M$7)</f>
        <v>0.142760361832962</v>
      </c>
      <c r="N735" s="53" t="n">
        <f aca="true">NORMINV(RAND(),0,N$7)</f>
        <v>0.530834627817481</v>
      </c>
      <c r="O735" s="53" t="n">
        <f aca="false">SUM(J735:N735)</f>
        <v>-4.66461011096366</v>
      </c>
    </row>
    <row r="736" customFormat="false" ht="15" hidden="false" customHeight="false" outlineLevel="0" collapsed="false">
      <c r="A736" s="2" t="n">
        <v>728</v>
      </c>
      <c r="B736" s="53" t="n">
        <f aca="true">NORMINV(RAND(),0,B$7)</f>
        <v>0.326340711305476</v>
      </c>
      <c r="C736" s="53" t="n">
        <f aca="true">NORMINV(RAND(),0,C$7)</f>
        <v>-0.843006316079727</v>
      </c>
      <c r="D736" s="53" t="n">
        <f aca="true">NORMINV(RAND(),0,D$7)</f>
        <v>-1.25822433969874</v>
      </c>
      <c r="E736" s="53" t="n">
        <f aca="true">NORMINV(RAND(),0,E$7)</f>
        <v>0.0902033307075136</v>
      </c>
      <c r="F736" s="53" t="n">
        <f aca="true">NORMINV(RAND(),0,F$7)</f>
        <v>-0.550979636798071</v>
      </c>
      <c r="G736" s="53" t="n">
        <f aca="true">NORMINV(RAND(),0,G$7)</f>
        <v>-2.57546473587827</v>
      </c>
      <c r="H736" s="53" t="n">
        <f aca="true">NORMINV(RAND(),0,H$7)</f>
        <v>0.357091075724385</v>
      </c>
      <c r="I736" s="53" t="n">
        <f aca="false">SUM(B736:H736)</f>
        <v>-4.45403991071743</v>
      </c>
      <c r="J736" s="53" t="n">
        <f aca="true">NORMINV(RAND(),0,J$7)</f>
        <v>-1.40716675214146</v>
      </c>
      <c r="K736" s="53" t="n">
        <f aca="true">NORMINV(RAND(),0,K$7)</f>
        <v>0.554259950708902</v>
      </c>
      <c r="L736" s="53" t="n">
        <f aca="true">NORMINV(RAND(),0,L$7)</f>
        <v>0.296847073517186</v>
      </c>
      <c r="M736" s="53" t="n">
        <f aca="true">NORMINV(RAND(),0,M$7)</f>
        <v>-0.0262279965122906</v>
      </c>
      <c r="N736" s="53" t="n">
        <f aca="true">NORMINV(RAND(),0,N$7)</f>
        <v>0.331574380749652</v>
      </c>
      <c r="O736" s="53" t="n">
        <f aca="false">SUM(J736:N736)</f>
        <v>-0.250713343678009</v>
      </c>
    </row>
    <row r="737" customFormat="false" ht="15" hidden="false" customHeight="false" outlineLevel="0" collapsed="false">
      <c r="A737" s="2" t="n">
        <v>729</v>
      </c>
      <c r="B737" s="53" t="n">
        <f aca="true">NORMINV(RAND(),0,B$7)</f>
        <v>-0.210719194091367</v>
      </c>
      <c r="C737" s="53" t="n">
        <f aca="true">NORMINV(RAND(),0,C$7)</f>
        <v>0.356150583758738</v>
      </c>
      <c r="D737" s="53" t="n">
        <f aca="true">NORMINV(RAND(),0,D$7)</f>
        <v>1.26037993615209</v>
      </c>
      <c r="E737" s="53" t="n">
        <f aca="true">NORMINV(RAND(),0,E$7)</f>
        <v>-0.341500252155967</v>
      </c>
      <c r="F737" s="53" t="n">
        <f aca="true">NORMINV(RAND(),0,F$7)</f>
        <v>-0.451231583869956</v>
      </c>
      <c r="G737" s="53" t="n">
        <f aca="true">NORMINV(RAND(),0,G$7)</f>
        <v>1.48958432478334</v>
      </c>
      <c r="H737" s="53" t="n">
        <f aca="true">NORMINV(RAND(),0,H$7)</f>
        <v>-0.0364732144188869</v>
      </c>
      <c r="I737" s="53" t="n">
        <f aca="false">SUM(B737:H737)</f>
        <v>2.06619060015799</v>
      </c>
      <c r="J737" s="53" t="n">
        <f aca="true">NORMINV(RAND(),0,J$7)</f>
        <v>-1.17046041733219</v>
      </c>
      <c r="K737" s="53" t="n">
        <f aca="true">NORMINV(RAND(),0,K$7)</f>
        <v>-0.992023009292937</v>
      </c>
      <c r="L737" s="53" t="n">
        <f aca="true">NORMINV(RAND(),0,L$7)</f>
        <v>0.102807461273414</v>
      </c>
      <c r="M737" s="53" t="n">
        <f aca="true">NORMINV(RAND(),0,M$7)</f>
        <v>0.176517217088667</v>
      </c>
      <c r="N737" s="53" t="n">
        <f aca="true">NORMINV(RAND(),0,N$7)</f>
        <v>-0.35159754021043</v>
      </c>
      <c r="O737" s="53" t="n">
        <f aca="false">SUM(J737:N737)</f>
        <v>-2.23475628847347</v>
      </c>
    </row>
    <row r="738" customFormat="false" ht="15" hidden="false" customHeight="false" outlineLevel="0" collapsed="false">
      <c r="A738" s="2" t="n">
        <v>730</v>
      </c>
      <c r="B738" s="53" t="n">
        <f aca="true">NORMINV(RAND(),0,B$7)</f>
        <v>-0.56448150177253</v>
      </c>
      <c r="C738" s="53" t="n">
        <f aca="true">NORMINV(RAND(),0,C$7)</f>
        <v>2.49087582255123</v>
      </c>
      <c r="D738" s="53" t="n">
        <f aca="true">NORMINV(RAND(),0,D$7)</f>
        <v>1.53439788608056</v>
      </c>
      <c r="E738" s="53" t="n">
        <f aca="true">NORMINV(RAND(),0,E$7)</f>
        <v>-0.424333514062651</v>
      </c>
      <c r="F738" s="53" t="n">
        <f aca="true">NORMINV(RAND(),0,F$7)</f>
        <v>0.0657491665935907</v>
      </c>
      <c r="G738" s="53" t="n">
        <f aca="true">NORMINV(RAND(),0,G$7)</f>
        <v>3.92567566175136</v>
      </c>
      <c r="H738" s="53" t="n">
        <f aca="true">NORMINV(RAND(),0,H$7)</f>
        <v>-0.292561689101106</v>
      </c>
      <c r="I738" s="53" t="n">
        <f aca="false">SUM(B738:H738)</f>
        <v>6.73532183204045</v>
      </c>
      <c r="J738" s="53" t="n">
        <f aca="true">NORMINV(RAND(),0,J$7)</f>
        <v>-0.377576402271899</v>
      </c>
      <c r="K738" s="53" t="n">
        <f aca="true">NORMINV(RAND(),0,K$7)</f>
        <v>0.614899469610162</v>
      </c>
      <c r="L738" s="53" t="n">
        <f aca="true">NORMINV(RAND(),0,L$7)</f>
        <v>-0.348125773065498</v>
      </c>
      <c r="M738" s="53" t="n">
        <f aca="true">NORMINV(RAND(),0,M$7)</f>
        <v>0.000300247194417981</v>
      </c>
      <c r="N738" s="53" t="n">
        <f aca="true">NORMINV(RAND(),0,N$7)</f>
        <v>0.575106503137132</v>
      </c>
      <c r="O738" s="53" t="n">
        <f aca="false">SUM(J738:N738)</f>
        <v>0.464604044604315</v>
      </c>
    </row>
    <row r="739" customFormat="false" ht="15" hidden="false" customHeight="false" outlineLevel="0" collapsed="false">
      <c r="A739" s="2" t="n">
        <v>731</v>
      </c>
      <c r="B739" s="53" t="n">
        <f aca="true">NORMINV(RAND(),0,B$7)</f>
        <v>-2.94716777217003</v>
      </c>
      <c r="C739" s="53" t="n">
        <f aca="true">NORMINV(RAND(),0,C$7)</f>
        <v>0.189608979604544</v>
      </c>
      <c r="D739" s="53" t="n">
        <f aca="true">NORMINV(RAND(),0,D$7)</f>
        <v>2.69230483575815</v>
      </c>
      <c r="E739" s="53" t="n">
        <f aca="true">NORMINV(RAND(),0,E$7)</f>
        <v>0.023776517488156</v>
      </c>
      <c r="F739" s="53" t="n">
        <f aca="true">NORMINV(RAND(),0,F$7)</f>
        <v>-0.292990807307186</v>
      </c>
      <c r="G739" s="53" t="n">
        <f aca="true">NORMINV(RAND(),0,G$7)</f>
        <v>0.984373893929245</v>
      </c>
      <c r="H739" s="53" t="n">
        <f aca="true">NORMINV(RAND(),0,H$7)</f>
        <v>-0.185963797316961</v>
      </c>
      <c r="I739" s="53" t="n">
        <f aca="false">SUM(B739:H739)</f>
        <v>0.463941849985922</v>
      </c>
      <c r="J739" s="53" t="n">
        <f aca="true">NORMINV(RAND(),0,J$7)</f>
        <v>-0.260164196873545</v>
      </c>
      <c r="K739" s="53" t="n">
        <f aca="true">NORMINV(RAND(),0,K$7)</f>
        <v>0.473593524639536</v>
      </c>
      <c r="L739" s="53" t="n">
        <f aca="true">NORMINV(RAND(),0,L$7)</f>
        <v>0.336804445865899</v>
      </c>
      <c r="M739" s="53" t="n">
        <f aca="true">NORMINV(RAND(),0,M$7)</f>
        <v>0.119471268815674</v>
      </c>
      <c r="N739" s="53" t="n">
        <f aca="true">NORMINV(RAND(),0,N$7)</f>
        <v>0.0528970542833629</v>
      </c>
      <c r="O739" s="53" t="n">
        <f aca="false">SUM(J739:N739)</f>
        <v>0.722602096730927</v>
      </c>
    </row>
    <row r="740" customFormat="false" ht="15" hidden="false" customHeight="false" outlineLevel="0" collapsed="false">
      <c r="A740" s="2" t="n">
        <v>732</v>
      </c>
      <c r="B740" s="53" t="n">
        <f aca="true">NORMINV(RAND(),0,B$7)</f>
        <v>-2.14773402662044</v>
      </c>
      <c r="C740" s="53" t="n">
        <f aca="true">NORMINV(RAND(),0,C$7)</f>
        <v>-0.937678259760294</v>
      </c>
      <c r="D740" s="53" t="n">
        <f aca="true">NORMINV(RAND(),0,D$7)</f>
        <v>0.261937904257599</v>
      </c>
      <c r="E740" s="53" t="n">
        <f aca="true">NORMINV(RAND(),0,E$7)</f>
        <v>0.481988457040421</v>
      </c>
      <c r="F740" s="53" t="n">
        <f aca="true">NORMINV(RAND(),0,F$7)</f>
        <v>0.674492744481537</v>
      </c>
      <c r="G740" s="53" t="n">
        <f aca="true">NORMINV(RAND(),0,G$7)</f>
        <v>0.284874582064313</v>
      </c>
      <c r="H740" s="53" t="n">
        <f aca="true">NORMINV(RAND(),0,H$7)</f>
        <v>0.149742892389432</v>
      </c>
      <c r="I740" s="53" t="n">
        <f aca="false">SUM(B740:H740)</f>
        <v>-1.23237570614743</v>
      </c>
      <c r="J740" s="53" t="n">
        <f aca="true">NORMINV(RAND(),0,J$7)</f>
        <v>2.01922325826744</v>
      </c>
      <c r="K740" s="53" t="n">
        <f aca="true">NORMINV(RAND(),0,K$7)</f>
        <v>-0.231411782674004</v>
      </c>
      <c r="L740" s="53" t="n">
        <f aca="true">NORMINV(RAND(),0,L$7)</f>
        <v>-0.182668884516836</v>
      </c>
      <c r="M740" s="53" t="n">
        <f aca="true">NORMINV(RAND(),0,M$7)</f>
        <v>0.1224906063094</v>
      </c>
      <c r="N740" s="53" t="n">
        <f aca="true">NORMINV(RAND(),0,N$7)</f>
        <v>-0.117597954234014</v>
      </c>
      <c r="O740" s="53" t="n">
        <f aca="false">SUM(J740:N740)</f>
        <v>1.61003524315199</v>
      </c>
    </row>
    <row r="741" customFormat="false" ht="15" hidden="false" customHeight="false" outlineLevel="0" collapsed="false">
      <c r="A741" s="2" t="n">
        <v>733</v>
      </c>
      <c r="B741" s="53" t="n">
        <f aca="true">NORMINV(RAND(),0,B$7)</f>
        <v>-0.0642555440524383</v>
      </c>
      <c r="C741" s="53" t="n">
        <f aca="true">NORMINV(RAND(),0,C$7)</f>
        <v>-1.56224001869996</v>
      </c>
      <c r="D741" s="53" t="n">
        <f aca="true">NORMINV(RAND(),0,D$7)</f>
        <v>-2.98576190380052</v>
      </c>
      <c r="E741" s="53" t="n">
        <f aca="true">NORMINV(RAND(),0,E$7)</f>
        <v>0.560268469205006</v>
      </c>
      <c r="F741" s="53" t="n">
        <f aca="true">NORMINV(RAND(),0,F$7)</f>
        <v>0.423003003037193</v>
      </c>
      <c r="G741" s="53" t="n">
        <f aca="true">NORMINV(RAND(),0,G$7)</f>
        <v>0.0743853497304972</v>
      </c>
      <c r="H741" s="53" t="n">
        <f aca="true">NORMINV(RAND(),0,H$7)</f>
        <v>-0.100953941887856</v>
      </c>
      <c r="I741" s="53" t="n">
        <f aca="false">SUM(B741:H741)</f>
        <v>-3.65555458646808</v>
      </c>
      <c r="J741" s="53" t="n">
        <f aca="true">NORMINV(RAND(),0,J$7)</f>
        <v>-2.35735301209026</v>
      </c>
      <c r="K741" s="53" t="n">
        <f aca="true">NORMINV(RAND(),0,K$7)</f>
        <v>-1.38967357293946</v>
      </c>
      <c r="L741" s="53" t="n">
        <f aca="true">NORMINV(RAND(),0,L$7)</f>
        <v>0.197997992524875</v>
      </c>
      <c r="M741" s="53" t="n">
        <f aca="true">NORMINV(RAND(),0,M$7)</f>
        <v>-0.189887316898601</v>
      </c>
      <c r="N741" s="53" t="n">
        <f aca="true">NORMINV(RAND(),0,N$7)</f>
        <v>-0.282454957455834</v>
      </c>
      <c r="O741" s="53" t="n">
        <f aca="false">SUM(J741:N741)</f>
        <v>-4.02137086685928</v>
      </c>
    </row>
    <row r="742" customFormat="false" ht="15" hidden="false" customHeight="false" outlineLevel="0" collapsed="false">
      <c r="A742" s="2" t="n">
        <v>734</v>
      </c>
      <c r="B742" s="53" t="n">
        <f aca="true">NORMINV(RAND(),0,B$7)</f>
        <v>-0.00746386809720734</v>
      </c>
      <c r="C742" s="53" t="n">
        <f aca="true">NORMINV(RAND(),0,C$7)</f>
        <v>-0.0636847263417043</v>
      </c>
      <c r="D742" s="53" t="n">
        <f aca="true">NORMINV(RAND(),0,D$7)</f>
        <v>0.0771759276031077</v>
      </c>
      <c r="E742" s="53" t="n">
        <f aca="true">NORMINV(RAND(),0,E$7)</f>
        <v>-0.0594280498649293</v>
      </c>
      <c r="F742" s="53" t="n">
        <f aca="true">NORMINV(RAND(),0,F$7)</f>
        <v>-0.0975021355399583</v>
      </c>
      <c r="G742" s="53" t="n">
        <f aca="true">NORMINV(RAND(),0,G$7)</f>
        <v>-0.288398818303143</v>
      </c>
      <c r="H742" s="53" t="n">
        <f aca="true">NORMINV(RAND(),0,H$7)</f>
        <v>-0.052385211563659</v>
      </c>
      <c r="I742" s="53" t="n">
        <f aca="false">SUM(B742:H742)</f>
        <v>-0.491686882107493</v>
      </c>
      <c r="J742" s="53" t="n">
        <f aca="true">NORMINV(RAND(),0,J$7)</f>
        <v>3.27165524183462</v>
      </c>
      <c r="K742" s="53" t="n">
        <f aca="true">NORMINV(RAND(),0,K$7)</f>
        <v>-0.173202567115157</v>
      </c>
      <c r="L742" s="53" t="n">
        <f aca="true">NORMINV(RAND(),0,L$7)</f>
        <v>0.0513290214401627</v>
      </c>
      <c r="M742" s="53" t="n">
        <f aca="true">NORMINV(RAND(),0,M$7)</f>
        <v>-0.00912501995362734</v>
      </c>
      <c r="N742" s="53" t="n">
        <f aca="true">NORMINV(RAND(),0,N$7)</f>
        <v>0.0604976552186723</v>
      </c>
      <c r="O742" s="53" t="n">
        <f aca="false">SUM(J742:N742)</f>
        <v>3.20115433142467</v>
      </c>
    </row>
    <row r="743" customFormat="false" ht="15" hidden="false" customHeight="false" outlineLevel="0" collapsed="false">
      <c r="A743" s="2" t="n">
        <v>735</v>
      </c>
      <c r="B743" s="53" t="n">
        <f aca="true">NORMINV(RAND(),0,B$7)</f>
        <v>-2.62588767012598</v>
      </c>
      <c r="C743" s="53" t="n">
        <f aca="true">NORMINV(RAND(),0,C$7)</f>
        <v>0.600767890512148</v>
      </c>
      <c r="D743" s="53" t="n">
        <f aca="true">NORMINV(RAND(),0,D$7)</f>
        <v>-3.96436156434356</v>
      </c>
      <c r="E743" s="53" t="n">
        <f aca="true">NORMINV(RAND(),0,E$7)</f>
        <v>0.153594913939773</v>
      </c>
      <c r="F743" s="53" t="n">
        <f aca="true">NORMINV(RAND(),0,F$7)</f>
        <v>0.113522151966918</v>
      </c>
      <c r="G743" s="53" t="n">
        <f aca="true">NORMINV(RAND(),0,G$7)</f>
        <v>-1.71919388661437</v>
      </c>
      <c r="H743" s="53" t="n">
        <f aca="true">NORMINV(RAND(),0,H$7)</f>
        <v>-0.164061439289667</v>
      </c>
      <c r="I743" s="53" t="n">
        <f aca="false">SUM(B743:H743)</f>
        <v>-7.60561960395473</v>
      </c>
      <c r="J743" s="53" t="n">
        <f aca="true">NORMINV(RAND(),0,J$7)</f>
        <v>-1.92379519240426</v>
      </c>
      <c r="K743" s="53" t="n">
        <f aca="true">NORMINV(RAND(),0,K$7)</f>
        <v>0.0153225940682476</v>
      </c>
      <c r="L743" s="53" t="n">
        <f aca="true">NORMINV(RAND(),0,L$7)</f>
        <v>-0.785618704700184</v>
      </c>
      <c r="M743" s="53" t="n">
        <f aca="true">NORMINV(RAND(),0,M$7)</f>
        <v>-0.197015444285015</v>
      </c>
      <c r="N743" s="53" t="n">
        <f aca="true">NORMINV(RAND(),0,N$7)</f>
        <v>-0.491657531870058</v>
      </c>
      <c r="O743" s="53" t="n">
        <f aca="false">SUM(J743:N743)</f>
        <v>-3.38276427919127</v>
      </c>
    </row>
    <row r="744" customFormat="false" ht="15" hidden="false" customHeight="false" outlineLevel="0" collapsed="false">
      <c r="A744" s="2" t="n">
        <v>736</v>
      </c>
      <c r="B744" s="53" t="n">
        <f aca="true">NORMINV(RAND(),0,B$7)</f>
        <v>-0.510051081295697</v>
      </c>
      <c r="C744" s="53" t="n">
        <f aca="true">NORMINV(RAND(),0,C$7)</f>
        <v>-0.957952596980701</v>
      </c>
      <c r="D744" s="53" t="n">
        <f aca="true">NORMINV(RAND(),0,D$7)</f>
        <v>1.37069374110066</v>
      </c>
      <c r="E744" s="53" t="n">
        <f aca="true">NORMINV(RAND(),0,E$7)</f>
        <v>0.707741831818162</v>
      </c>
      <c r="F744" s="53" t="n">
        <f aca="true">NORMINV(RAND(),0,F$7)</f>
        <v>-0.383777918830018</v>
      </c>
      <c r="G744" s="53" t="n">
        <f aca="true">NORMINV(RAND(),0,G$7)</f>
        <v>2.49920200775468</v>
      </c>
      <c r="H744" s="53" t="n">
        <f aca="true">NORMINV(RAND(),0,H$7)</f>
        <v>0.933057879071023</v>
      </c>
      <c r="I744" s="53" t="n">
        <f aca="false">SUM(B744:H744)</f>
        <v>3.6589138626381</v>
      </c>
      <c r="J744" s="53" t="n">
        <f aca="true">NORMINV(RAND(),0,J$7)</f>
        <v>2.06714442481703</v>
      </c>
      <c r="K744" s="53" t="n">
        <f aca="true">NORMINV(RAND(),0,K$7)</f>
        <v>-0.309059854606143</v>
      </c>
      <c r="L744" s="53" t="n">
        <f aca="true">NORMINV(RAND(),0,L$7)</f>
        <v>-0.403261925318844</v>
      </c>
      <c r="M744" s="53" t="n">
        <f aca="true">NORMINV(RAND(),0,M$7)</f>
        <v>0.20786234299503</v>
      </c>
      <c r="N744" s="53" t="n">
        <f aca="true">NORMINV(RAND(),0,N$7)</f>
        <v>-0.826320952449778</v>
      </c>
      <c r="O744" s="53" t="n">
        <f aca="false">SUM(J744:N744)</f>
        <v>0.736364035437295</v>
      </c>
    </row>
    <row r="745" customFormat="false" ht="15" hidden="false" customHeight="false" outlineLevel="0" collapsed="false">
      <c r="A745" s="2" t="n">
        <v>737</v>
      </c>
      <c r="B745" s="53" t="n">
        <f aca="true">NORMINV(RAND(),0,B$7)</f>
        <v>0.242252304895047</v>
      </c>
      <c r="C745" s="53" t="n">
        <f aca="true">NORMINV(RAND(),0,C$7)</f>
        <v>-0.464472522063951</v>
      </c>
      <c r="D745" s="53" t="n">
        <f aca="true">NORMINV(RAND(),0,D$7)</f>
        <v>0.928865682434204</v>
      </c>
      <c r="E745" s="53" t="n">
        <f aca="true">NORMINV(RAND(),0,E$7)</f>
        <v>1.02568536384945</v>
      </c>
      <c r="F745" s="53" t="n">
        <f aca="true">NORMINV(RAND(),0,F$7)</f>
        <v>0.0465521813537504</v>
      </c>
      <c r="G745" s="53" t="n">
        <f aca="true">NORMINV(RAND(),0,G$7)</f>
        <v>1.46373344538265</v>
      </c>
      <c r="H745" s="53" t="n">
        <f aca="true">NORMINV(RAND(),0,H$7)</f>
        <v>-0.407134451858089</v>
      </c>
      <c r="I745" s="53" t="n">
        <f aca="false">SUM(B745:H745)</f>
        <v>2.83548200399306</v>
      </c>
      <c r="J745" s="53" t="n">
        <f aca="true">NORMINV(RAND(),0,J$7)</f>
        <v>-2.13098412866219</v>
      </c>
      <c r="K745" s="53" t="n">
        <f aca="true">NORMINV(RAND(),0,K$7)</f>
        <v>0.0878248880666042</v>
      </c>
      <c r="L745" s="53" t="n">
        <f aca="true">NORMINV(RAND(),0,L$7)</f>
        <v>0.120035285167053</v>
      </c>
      <c r="M745" s="53" t="n">
        <f aca="true">NORMINV(RAND(),0,M$7)</f>
        <v>-0.107757753351204</v>
      </c>
      <c r="N745" s="53" t="n">
        <f aca="true">NORMINV(RAND(),0,N$7)</f>
        <v>0.0699115859746733</v>
      </c>
      <c r="O745" s="53" t="n">
        <f aca="false">SUM(J745:N745)</f>
        <v>-1.96097012280506</v>
      </c>
    </row>
    <row r="746" customFormat="false" ht="15" hidden="false" customHeight="false" outlineLevel="0" collapsed="false">
      <c r="A746" s="2" t="n">
        <v>738</v>
      </c>
      <c r="B746" s="53" t="n">
        <f aca="true">NORMINV(RAND(),0,B$7)</f>
        <v>-0.644697881847945</v>
      </c>
      <c r="C746" s="53" t="n">
        <f aca="true">NORMINV(RAND(),0,C$7)</f>
        <v>0.182789727489434</v>
      </c>
      <c r="D746" s="53" t="n">
        <f aca="true">NORMINV(RAND(),0,D$7)</f>
        <v>2.25544586213633</v>
      </c>
      <c r="E746" s="53" t="n">
        <f aca="true">NORMINV(RAND(),0,E$7)</f>
        <v>0.0873632928517791</v>
      </c>
      <c r="F746" s="53" t="n">
        <f aca="true">NORMINV(RAND(),0,F$7)</f>
        <v>-0.428593398616102</v>
      </c>
      <c r="G746" s="53" t="n">
        <f aca="true">NORMINV(RAND(),0,G$7)</f>
        <v>1.62743701573141</v>
      </c>
      <c r="H746" s="53" t="n">
        <f aca="true">NORMINV(RAND(),0,H$7)</f>
        <v>-0.0968600918893398</v>
      </c>
      <c r="I746" s="53" t="n">
        <f aca="false">SUM(B746:H746)</f>
        <v>2.98288452585556</v>
      </c>
      <c r="J746" s="53" t="n">
        <f aca="true">NORMINV(RAND(),0,J$7)</f>
        <v>0.915762213726996</v>
      </c>
      <c r="K746" s="53" t="n">
        <f aca="true">NORMINV(RAND(),0,K$7)</f>
        <v>-1.37957399294054</v>
      </c>
      <c r="L746" s="53" t="n">
        <f aca="true">NORMINV(RAND(),0,L$7)</f>
        <v>0.411169808148234</v>
      </c>
      <c r="M746" s="53" t="n">
        <f aca="true">NORMINV(RAND(),0,M$7)</f>
        <v>-0.0954206086618114</v>
      </c>
      <c r="N746" s="53" t="n">
        <f aca="true">NORMINV(RAND(),0,N$7)</f>
        <v>-0.400340864099833</v>
      </c>
      <c r="O746" s="53" t="n">
        <f aca="false">SUM(J746:N746)</f>
        <v>-0.548403443826951</v>
      </c>
    </row>
    <row r="747" customFormat="false" ht="15" hidden="false" customHeight="false" outlineLevel="0" collapsed="false">
      <c r="A747" s="2" t="n">
        <v>739</v>
      </c>
      <c r="B747" s="53" t="n">
        <f aca="true">NORMINV(RAND(),0,B$7)</f>
        <v>-0.818259119791399</v>
      </c>
      <c r="C747" s="53" t="n">
        <f aca="true">NORMINV(RAND(),0,C$7)</f>
        <v>1.03682046845258</v>
      </c>
      <c r="D747" s="53" t="n">
        <f aca="true">NORMINV(RAND(),0,D$7)</f>
        <v>-4.43349160495986</v>
      </c>
      <c r="E747" s="53" t="n">
        <f aca="true">NORMINV(RAND(),0,E$7)</f>
        <v>-0.262934235972564</v>
      </c>
      <c r="F747" s="53" t="n">
        <f aca="true">NORMINV(RAND(),0,F$7)</f>
        <v>0.24618433727176</v>
      </c>
      <c r="G747" s="53" t="n">
        <f aca="true">NORMINV(RAND(),0,G$7)</f>
        <v>0.460813340081165</v>
      </c>
      <c r="H747" s="53" t="n">
        <f aca="true">NORMINV(RAND(),0,H$7)</f>
        <v>0.0315333089495605</v>
      </c>
      <c r="I747" s="53" t="n">
        <f aca="false">SUM(B747:H747)</f>
        <v>-3.73933350596876</v>
      </c>
      <c r="J747" s="53" t="n">
        <f aca="true">NORMINV(RAND(),0,J$7)</f>
        <v>-0.0549235385594307</v>
      </c>
      <c r="K747" s="53" t="n">
        <f aca="true">NORMINV(RAND(),0,K$7)</f>
        <v>-0.0600355866748426</v>
      </c>
      <c r="L747" s="53" t="n">
        <f aca="true">NORMINV(RAND(),0,L$7)</f>
        <v>-0.240192435819229</v>
      </c>
      <c r="M747" s="53" t="n">
        <f aca="true">NORMINV(RAND(),0,M$7)</f>
        <v>0.401110212550488</v>
      </c>
      <c r="N747" s="53" t="n">
        <f aca="true">NORMINV(RAND(),0,N$7)</f>
        <v>-0.578511771790005</v>
      </c>
      <c r="O747" s="53" t="n">
        <f aca="false">SUM(J747:N747)</f>
        <v>-0.53255312029302</v>
      </c>
    </row>
    <row r="748" customFormat="false" ht="15" hidden="false" customHeight="false" outlineLevel="0" collapsed="false">
      <c r="A748" s="2" t="n">
        <v>740</v>
      </c>
      <c r="B748" s="53" t="n">
        <f aca="true">NORMINV(RAND(),0,B$7)</f>
        <v>0.000896605315540473</v>
      </c>
      <c r="C748" s="53" t="n">
        <f aca="true">NORMINV(RAND(),0,C$7)</f>
        <v>0.049715203601958</v>
      </c>
      <c r="D748" s="53" t="n">
        <f aca="true">NORMINV(RAND(),0,D$7)</f>
        <v>-0.90846628160595</v>
      </c>
      <c r="E748" s="53" t="n">
        <f aca="true">NORMINV(RAND(),0,E$7)</f>
        <v>0.570321881705147</v>
      </c>
      <c r="F748" s="53" t="n">
        <f aca="true">NORMINV(RAND(),0,F$7)</f>
        <v>0.00533775309047875</v>
      </c>
      <c r="G748" s="53" t="n">
        <f aca="true">NORMINV(RAND(),0,G$7)</f>
        <v>-2.93570646782062</v>
      </c>
      <c r="H748" s="53" t="n">
        <f aca="true">NORMINV(RAND(),0,H$7)</f>
        <v>-0.717968183546418</v>
      </c>
      <c r="I748" s="53" t="n">
        <f aca="false">SUM(B748:H748)</f>
        <v>-3.93586948925986</v>
      </c>
      <c r="J748" s="53" t="n">
        <f aca="true">NORMINV(RAND(),0,J$7)</f>
        <v>-1.76662850884307</v>
      </c>
      <c r="K748" s="53" t="n">
        <f aca="true">NORMINV(RAND(),0,K$7)</f>
        <v>-0.07327455351977</v>
      </c>
      <c r="L748" s="53" t="n">
        <f aca="true">NORMINV(RAND(),0,L$7)</f>
        <v>-0.654371295120464</v>
      </c>
      <c r="M748" s="53" t="n">
        <f aca="true">NORMINV(RAND(),0,M$7)</f>
        <v>0.110435564604585</v>
      </c>
      <c r="N748" s="53" t="n">
        <f aca="true">NORMINV(RAND(),0,N$7)</f>
        <v>-0.188390491167284</v>
      </c>
      <c r="O748" s="53" t="n">
        <f aca="false">SUM(J748:N748)</f>
        <v>-2.572229284046</v>
      </c>
    </row>
    <row r="749" customFormat="false" ht="15" hidden="false" customHeight="false" outlineLevel="0" collapsed="false">
      <c r="A749" s="2" t="n">
        <v>741</v>
      </c>
      <c r="B749" s="53" t="n">
        <f aca="true">NORMINV(RAND(),0,B$7)</f>
        <v>-2.50639833901896</v>
      </c>
      <c r="C749" s="53" t="n">
        <f aca="true">NORMINV(RAND(),0,C$7)</f>
        <v>1.63668524787571</v>
      </c>
      <c r="D749" s="53" t="n">
        <f aca="true">NORMINV(RAND(),0,D$7)</f>
        <v>3.15396813650956</v>
      </c>
      <c r="E749" s="53" t="n">
        <f aca="true">NORMINV(RAND(),0,E$7)</f>
        <v>-0.729783674066772</v>
      </c>
      <c r="F749" s="53" t="n">
        <f aca="true">NORMINV(RAND(),0,F$7)</f>
        <v>0.120972662788321</v>
      </c>
      <c r="G749" s="53" t="n">
        <f aca="true">NORMINV(RAND(),0,G$7)</f>
        <v>0.39667614119429</v>
      </c>
      <c r="H749" s="53" t="n">
        <f aca="true">NORMINV(RAND(),0,H$7)</f>
        <v>0.427010919425435</v>
      </c>
      <c r="I749" s="53" t="n">
        <f aca="false">SUM(B749:H749)</f>
        <v>2.49913109470758</v>
      </c>
      <c r="J749" s="53" t="n">
        <f aca="true">NORMINV(RAND(),0,J$7)</f>
        <v>0.257338252244856</v>
      </c>
      <c r="K749" s="53" t="n">
        <f aca="true">NORMINV(RAND(),0,K$7)</f>
        <v>0.925943777233201</v>
      </c>
      <c r="L749" s="53" t="n">
        <f aca="true">NORMINV(RAND(),0,L$7)</f>
        <v>0.142401784551563</v>
      </c>
      <c r="M749" s="53" t="n">
        <f aca="true">NORMINV(RAND(),0,M$7)</f>
        <v>-0.0227210572304197</v>
      </c>
      <c r="N749" s="53" t="n">
        <f aca="true">NORMINV(RAND(),0,N$7)</f>
        <v>0.395101384921223</v>
      </c>
      <c r="O749" s="53" t="n">
        <f aca="false">SUM(J749:N749)</f>
        <v>1.69806414172042</v>
      </c>
    </row>
    <row r="750" customFormat="false" ht="15" hidden="false" customHeight="false" outlineLevel="0" collapsed="false">
      <c r="A750" s="2" t="n">
        <v>742</v>
      </c>
      <c r="B750" s="53" t="n">
        <f aca="true">NORMINV(RAND(),0,B$7)</f>
        <v>1.42963155327362</v>
      </c>
      <c r="C750" s="53" t="n">
        <f aca="true">NORMINV(RAND(),0,C$7)</f>
        <v>2.77652752615254</v>
      </c>
      <c r="D750" s="53" t="n">
        <f aca="true">NORMINV(RAND(),0,D$7)</f>
        <v>-0.523257821054754</v>
      </c>
      <c r="E750" s="53" t="n">
        <f aca="true">NORMINV(RAND(),0,E$7)</f>
        <v>0.0191860300875337</v>
      </c>
      <c r="F750" s="53" t="n">
        <f aca="true">NORMINV(RAND(),0,F$7)</f>
        <v>0.222763823720269</v>
      </c>
      <c r="G750" s="53" t="n">
        <f aca="true">NORMINV(RAND(),0,G$7)</f>
        <v>-0.838121269346353</v>
      </c>
      <c r="H750" s="53" t="n">
        <f aca="true">NORMINV(RAND(),0,H$7)</f>
        <v>-0.15834813559859</v>
      </c>
      <c r="I750" s="53" t="n">
        <f aca="false">SUM(B750:H750)</f>
        <v>2.92838170723427</v>
      </c>
      <c r="J750" s="53" t="n">
        <f aca="true">NORMINV(RAND(),0,J$7)</f>
        <v>0.548195511025981</v>
      </c>
      <c r="K750" s="53" t="n">
        <f aca="true">NORMINV(RAND(),0,K$7)</f>
        <v>-0.412749920787204</v>
      </c>
      <c r="L750" s="53" t="n">
        <f aca="true">NORMINV(RAND(),0,L$7)</f>
        <v>0.326391763719355</v>
      </c>
      <c r="M750" s="53" t="n">
        <f aca="true">NORMINV(RAND(),0,M$7)</f>
        <v>0.237011772722043</v>
      </c>
      <c r="N750" s="53" t="n">
        <f aca="true">NORMINV(RAND(),0,N$7)</f>
        <v>-0.606164541303477</v>
      </c>
      <c r="O750" s="53" t="n">
        <f aca="false">SUM(J750:N750)</f>
        <v>0.0926845853766976</v>
      </c>
    </row>
    <row r="751" customFormat="false" ht="15" hidden="false" customHeight="false" outlineLevel="0" collapsed="false">
      <c r="A751" s="2" t="n">
        <v>743</v>
      </c>
      <c r="B751" s="53" t="n">
        <f aca="true">NORMINV(RAND(),0,B$7)</f>
        <v>0.143542047792224</v>
      </c>
      <c r="C751" s="53" t="n">
        <f aca="true">NORMINV(RAND(),0,C$7)</f>
        <v>-0.42097029621928</v>
      </c>
      <c r="D751" s="53" t="n">
        <f aca="true">NORMINV(RAND(),0,D$7)</f>
        <v>1.28128345785178</v>
      </c>
      <c r="E751" s="53" t="n">
        <f aca="true">NORMINV(RAND(),0,E$7)</f>
        <v>-0.637681646516272</v>
      </c>
      <c r="F751" s="53" t="n">
        <f aca="true">NORMINV(RAND(),0,F$7)</f>
        <v>-0.13834271542218</v>
      </c>
      <c r="G751" s="53" t="n">
        <f aca="true">NORMINV(RAND(),0,G$7)</f>
        <v>1.24374453124752</v>
      </c>
      <c r="H751" s="53" t="n">
        <f aca="true">NORMINV(RAND(),0,H$7)</f>
        <v>0.160062206357893</v>
      </c>
      <c r="I751" s="53" t="n">
        <f aca="false">SUM(B751:H751)</f>
        <v>1.63163758509169</v>
      </c>
      <c r="J751" s="53" t="n">
        <f aca="true">NORMINV(RAND(),0,J$7)</f>
        <v>2.38796216535071</v>
      </c>
      <c r="K751" s="53" t="n">
        <f aca="true">NORMINV(RAND(),0,K$7)</f>
        <v>1.46435318307281</v>
      </c>
      <c r="L751" s="53" t="n">
        <f aca="true">NORMINV(RAND(),0,L$7)</f>
        <v>-0.327651575459023</v>
      </c>
      <c r="M751" s="53" t="n">
        <f aca="true">NORMINV(RAND(),0,M$7)</f>
        <v>-0.0646313808607067</v>
      </c>
      <c r="N751" s="53" t="n">
        <f aca="true">NORMINV(RAND(),0,N$7)</f>
        <v>-0.00839898392509246</v>
      </c>
      <c r="O751" s="53" t="n">
        <f aca="false">SUM(J751:N751)</f>
        <v>3.4516334081787</v>
      </c>
    </row>
    <row r="752" customFormat="false" ht="15" hidden="false" customHeight="false" outlineLevel="0" collapsed="false">
      <c r="A752" s="2" t="n">
        <v>744</v>
      </c>
      <c r="B752" s="53" t="n">
        <f aca="true">NORMINV(RAND(),0,B$7)</f>
        <v>1.76365339837945</v>
      </c>
      <c r="C752" s="53" t="n">
        <f aca="true">NORMINV(RAND(),0,C$7)</f>
        <v>2.04498613868699</v>
      </c>
      <c r="D752" s="53" t="n">
        <f aca="true">NORMINV(RAND(),0,D$7)</f>
        <v>1.95090313982258</v>
      </c>
      <c r="E752" s="53" t="n">
        <f aca="true">NORMINV(RAND(),0,E$7)</f>
        <v>0.520062742906295</v>
      </c>
      <c r="F752" s="53" t="n">
        <f aca="true">NORMINV(RAND(),0,F$7)</f>
        <v>-0.400868000752578</v>
      </c>
      <c r="G752" s="53" t="n">
        <f aca="true">NORMINV(RAND(),0,G$7)</f>
        <v>-1.65781170382886</v>
      </c>
      <c r="H752" s="53" t="n">
        <f aca="true">NORMINV(RAND(),0,H$7)</f>
        <v>-0.133250078501193</v>
      </c>
      <c r="I752" s="53" t="n">
        <f aca="false">SUM(B752:H752)</f>
        <v>4.08767563671268</v>
      </c>
      <c r="J752" s="53" t="n">
        <f aca="true">NORMINV(RAND(),0,J$7)</f>
        <v>-4.49556212979744</v>
      </c>
      <c r="K752" s="53" t="n">
        <f aca="true">NORMINV(RAND(),0,K$7)</f>
        <v>0.278214579894209</v>
      </c>
      <c r="L752" s="53" t="n">
        <f aca="true">NORMINV(RAND(),0,L$7)</f>
        <v>0.279459503630894</v>
      </c>
      <c r="M752" s="53" t="n">
        <f aca="true">NORMINV(RAND(),0,M$7)</f>
        <v>0.0720853822262824</v>
      </c>
      <c r="N752" s="53" t="n">
        <f aca="true">NORMINV(RAND(),0,N$7)</f>
        <v>-0.494221070560648</v>
      </c>
      <c r="O752" s="53" t="n">
        <f aca="false">SUM(J752:N752)</f>
        <v>-4.3600237346067</v>
      </c>
    </row>
    <row r="753" customFormat="false" ht="15" hidden="false" customHeight="false" outlineLevel="0" collapsed="false">
      <c r="A753" s="2" t="n">
        <v>745</v>
      </c>
      <c r="B753" s="53" t="n">
        <f aca="true">NORMINV(RAND(),0,B$7)</f>
        <v>-0.601226154946873</v>
      </c>
      <c r="C753" s="53" t="n">
        <f aca="true">NORMINV(RAND(),0,C$7)</f>
        <v>0.778212412145585</v>
      </c>
      <c r="D753" s="53" t="n">
        <f aca="true">NORMINV(RAND(),0,D$7)</f>
        <v>-1.58216066597369</v>
      </c>
      <c r="E753" s="53" t="n">
        <f aca="true">NORMINV(RAND(),0,E$7)</f>
        <v>-0.182957415403241</v>
      </c>
      <c r="F753" s="53" t="n">
        <f aca="true">NORMINV(RAND(),0,F$7)</f>
        <v>-0.344682972440794</v>
      </c>
      <c r="G753" s="53" t="n">
        <f aca="true">NORMINV(RAND(),0,G$7)</f>
        <v>1.39970866736347</v>
      </c>
      <c r="H753" s="53" t="n">
        <f aca="true">NORMINV(RAND(),0,H$7)</f>
        <v>-0.0810276225802384</v>
      </c>
      <c r="I753" s="53" t="n">
        <f aca="false">SUM(B753:H753)</f>
        <v>-0.614133751835774</v>
      </c>
      <c r="J753" s="53" t="n">
        <f aca="true">NORMINV(RAND(),0,J$7)</f>
        <v>3.41866080880758</v>
      </c>
      <c r="K753" s="53" t="n">
        <f aca="true">NORMINV(RAND(),0,K$7)</f>
        <v>1.07429794837736</v>
      </c>
      <c r="L753" s="53" t="n">
        <f aca="true">NORMINV(RAND(),0,L$7)</f>
        <v>0.231962640184321</v>
      </c>
      <c r="M753" s="53" t="n">
        <f aca="true">NORMINV(RAND(),0,M$7)</f>
        <v>-0.153301706014201</v>
      </c>
      <c r="N753" s="53" t="n">
        <f aca="true">NORMINV(RAND(),0,N$7)</f>
        <v>-0.316272042453045</v>
      </c>
      <c r="O753" s="53" t="n">
        <f aca="false">SUM(J753:N753)</f>
        <v>4.25534764890201</v>
      </c>
    </row>
    <row r="754" customFormat="false" ht="15" hidden="false" customHeight="false" outlineLevel="0" collapsed="false">
      <c r="A754" s="2" t="n">
        <v>746</v>
      </c>
      <c r="B754" s="53" t="n">
        <f aca="true">NORMINV(RAND(),0,B$7)</f>
        <v>-0.383470234690765</v>
      </c>
      <c r="C754" s="53" t="n">
        <f aca="true">NORMINV(RAND(),0,C$7)</f>
        <v>-1.13117629952883</v>
      </c>
      <c r="D754" s="53" t="n">
        <f aca="true">NORMINV(RAND(),0,D$7)</f>
        <v>-1.37316649006981</v>
      </c>
      <c r="E754" s="53" t="n">
        <f aca="true">NORMINV(RAND(),0,E$7)</f>
        <v>0.337729482334125</v>
      </c>
      <c r="F754" s="53" t="n">
        <f aca="true">NORMINV(RAND(),0,F$7)</f>
        <v>0.227018065435226</v>
      </c>
      <c r="G754" s="53" t="n">
        <f aca="true">NORMINV(RAND(),0,G$7)</f>
        <v>0.334352948949561</v>
      </c>
      <c r="H754" s="53" t="n">
        <f aca="true">NORMINV(RAND(),0,H$7)</f>
        <v>0.384766317510387</v>
      </c>
      <c r="I754" s="53" t="n">
        <f aca="false">SUM(B754:H754)</f>
        <v>-1.6039462100601</v>
      </c>
      <c r="J754" s="53" t="n">
        <f aca="true">NORMINV(RAND(),0,J$7)</f>
        <v>-1.15519794259364</v>
      </c>
      <c r="K754" s="53" t="n">
        <f aca="true">NORMINV(RAND(),0,K$7)</f>
        <v>-1.92226421091904</v>
      </c>
      <c r="L754" s="53" t="n">
        <f aca="true">NORMINV(RAND(),0,L$7)</f>
        <v>-0.279474852795666</v>
      </c>
      <c r="M754" s="53" t="n">
        <f aca="true">NORMINV(RAND(),0,M$7)</f>
        <v>0.0689027290958681</v>
      </c>
      <c r="N754" s="53" t="n">
        <f aca="true">NORMINV(RAND(),0,N$7)</f>
        <v>0.491424454411126</v>
      </c>
      <c r="O754" s="53" t="n">
        <f aca="false">SUM(J754:N754)</f>
        <v>-2.79660982280135</v>
      </c>
    </row>
    <row r="755" customFormat="false" ht="15" hidden="false" customHeight="false" outlineLevel="0" collapsed="false">
      <c r="A755" s="2" t="n">
        <v>747</v>
      </c>
      <c r="B755" s="53" t="n">
        <f aca="true">NORMINV(RAND(),0,B$7)</f>
        <v>-1.79419843853371</v>
      </c>
      <c r="C755" s="53" t="n">
        <f aca="true">NORMINV(RAND(),0,C$7)</f>
        <v>-1.20201971699698</v>
      </c>
      <c r="D755" s="53" t="n">
        <f aca="true">NORMINV(RAND(),0,D$7)</f>
        <v>3.09902610642907</v>
      </c>
      <c r="E755" s="53" t="n">
        <f aca="true">NORMINV(RAND(),0,E$7)</f>
        <v>0.116101690219612</v>
      </c>
      <c r="F755" s="53" t="n">
        <f aca="true">NORMINV(RAND(),0,F$7)</f>
        <v>-0.508506973729666</v>
      </c>
      <c r="G755" s="53" t="n">
        <f aca="true">NORMINV(RAND(),0,G$7)</f>
        <v>1.7290438479367</v>
      </c>
      <c r="H755" s="53" t="n">
        <f aca="true">NORMINV(RAND(),0,H$7)</f>
        <v>-0.339736783145601</v>
      </c>
      <c r="I755" s="53" t="n">
        <f aca="false">SUM(B755:H755)</f>
        <v>1.09970973217942</v>
      </c>
      <c r="J755" s="53" t="n">
        <f aca="true">NORMINV(RAND(),0,J$7)</f>
        <v>3.91956989193376</v>
      </c>
      <c r="K755" s="53" t="n">
        <f aca="true">NORMINV(RAND(),0,K$7)</f>
        <v>-0.919088749714417</v>
      </c>
      <c r="L755" s="53" t="n">
        <f aca="true">NORMINV(RAND(),0,L$7)</f>
        <v>0.198600915633133</v>
      </c>
      <c r="M755" s="53" t="n">
        <f aca="true">NORMINV(RAND(),0,M$7)</f>
        <v>0.028495286500547</v>
      </c>
      <c r="N755" s="53" t="n">
        <f aca="true">NORMINV(RAND(),0,N$7)</f>
        <v>-0.159821940508108</v>
      </c>
      <c r="O755" s="53" t="n">
        <f aca="false">SUM(J755:N755)</f>
        <v>3.06775540384491</v>
      </c>
    </row>
    <row r="756" customFormat="false" ht="15" hidden="false" customHeight="false" outlineLevel="0" collapsed="false">
      <c r="A756" s="2" t="n">
        <v>748</v>
      </c>
      <c r="B756" s="53" t="n">
        <f aca="true">NORMINV(RAND(),0,B$7)</f>
        <v>-0.891017817122109</v>
      </c>
      <c r="C756" s="53" t="n">
        <f aca="true">NORMINV(RAND(),0,C$7)</f>
        <v>-3.32499385154128</v>
      </c>
      <c r="D756" s="53" t="n">
        <f aca="true">NORMINV(RAND(),0,D$7)</f>
        <v>-1.77850102143917</v>
      </c>
      <c r="E756" s="53" t="n">
        <f aca="true">NORMINV(RAND(),0,E$7)</f>
        <v>-0.208832601921598</v>
      </c>
      <c r="F756" s="53" t="n">
        <f aca="true">NORMINV(RAND(),0,F$7)</f>
        <v>0.504590833677072</v>
      </c>
      <c r="G756" s="53" t="n">
        <f aca="true">NORMINV(RAND(),0,G$7)</f>
        <v>-4.04014209130794</v>
      </c>
      <c r="H756" s="53" t="n">
        <f aca="true">NORMINV(RAND(),0,H$7)</f>
        <v>0.222914285189082</v>
      </c>
      <c r="I756" s="53" t="n">
        <f aca="false">SUM(B756:H756)</f>
        <v>-9.51598226446593</v>
      </c>
      <c r="J756" s="53" t="n">
        <f aca="true">NORMINV(RAND(),0,J$7)</f>
        <v>4.059508530475</v>
      </c>
      <c r="K756" s="53" t="n">
        <f aca="true">NORMINV(RAND(),0,K$7)</f>
        <v>-1.17366791956784</v>
      </c>
      <c r="L756" s="53" t="n">
        <f aca="true">NORMINV(RAND(),0,L$7)</f>
        <v>0.496246345117646</v>
      </c>
      <c r="M756" s="53" t="n">
        <f aca="true">NORMINV(RAND(),0,M$7)</f>
        <v>-0.185765888227194</v>
      </c>
      <c r="N756" s="53" t="n">
        <f aca="true">NORMINV(RAND(),0,N$7)</f>
        <v>-0.176808178679889</v>
      </c>
      <c r="O756" s="53" t="n">
        <f aca="false">SUM(J756:N756)</f>
        <v>3.01951288911772</v>
      </c>
    </row>
    <row r="757" customFormat="false" ht="15" hidden="false" customHeight="false" outlineLevel="0" collapsed="false">
      <c r="A757" s="2" t="n">
        <v>749</v>
      </c>
      <c r="B757" s="53" t="n">
        <f aca="true">NORMINV(RAND(),0,B$7)</f>
        <v>-0.641989091356922</v>
      </c>
      <c r="C757" s="53" t="n">
        <f aca="true">NORMINV(RAND(),0,C$7)</f>
        <v>0.920076631781248</v>
      </c>
      <c r="D757" s="53" t="n">
        <f aca="true">NORMINV(RAND(),0,D$7)</f>
        <v>0.0460161143923671</v>
      </c>
      <c r="E757" s="53" t="n">
        <f aca="true">NORMINV(RAND(),0,E$7)</f>
        <v>0.678357277111741</v>
      </c>
      <c r="F757" s="53" t="n">
        <f aca="true">NORMINV(RAND(),0,F$7)</f>
        <v>-0.143436890009901</v>
      </c>
      <c r="G757" s="53" t="n">
        <f aca="true">NORMINV(RAND(),0,G$7)</f>
        <v>-0.426787897441195</v>
      </c>
      <c r="H757" s="53" t="n">
        <f aca="true">NORMINV(RAND(),0,H$7)</f>
        <v>-0.241363881618385</v>
      </c>
      <c r="I757" s="53" t="n">
        <f aca="false">SUM(B757:H757)</f>
        <v>0.190872262858954</v>
      </c>
      <c r="J757" s="53" t="n">
        <f aca="true">NORMINV(RAND(),0,J$7)</f>
        <v>-1.08467782746263</v>
      </c>
      <c r="K757" s="53" t="n">
        <f aca="true">NORMINV(RAND(),0,K$7)</f>
        <v>0.763252105127072</v>
      </c>
      <c r="L757" s="53" t="n">
        <f aca="true">NORMINV(RAND(),0,L$7)</f>
        <v>-0.506609857653709</v>
      </c>
      <c r="M757" s="53" t="n">
        <f aca="true">NORMINV(RAND(),0,M$7)</f>
        <v>-0.0987831737738068</v>
      </c>
      <c r="N757" s="53" t="n">
        <f aca="true">NORMINV(RAND(),0,N$7)</f>
        <v>0.48740703753775</v>
      </c>
      <c r="O757" s="53" t="n">
        <f aca="false">SUM(J757:N757)</f>
        <v>-0.439411716225321</v>
      </c>
    </row>
    <row r="758" customFormat="false" ht="15" hidden="false" customHeight="false" outlineLevel="0" collapsed="false">
      <c r="A758" s="2" t="n">
        <v>750</v>
      </c>
      <c r="B758" s="53" t="n">
        <f aca="true">NORMINV(RAND(),0,B$7)</f>
        <v>0.373521893032877</v>
      </c>
      <c r="C758" s="53" t="n">
        <f aca="true">NORMINV(RAND(),0,C$7)</f>
        <v>-1.77907517756141</v>
      </c>
      <c r="D758" s="53" t="n">
        <f aca="true">NORMINV(RAND(),0,D$7)</f>
        <v>-2.54526114287054</v>
      </c>
      <c r="E758" s="53" t="n">
        <f aca="true">NORMINV(RAND(),0,E$7)</f>
        <v>-0.245239975967232</v>
      </c>
      <c r="F758" s="53" t="n">
        <f aca="true">NORMINV(RAND(),0,F$7)</f>
        <v>-0.493238036816684</v>
      </c>
      <c r="G758" s="53" t="n">
        <f aca="true">NORMINV(RAND(),0,G$7)</f>
        <v>-0.297278137608071</v>
      </c>
      <c r="H758" s="53" t="n">
        <f aca="true">NORMINV(RAND(),0,H$7)</f>
        <v>0.923121985792741</v>
      </c>
      <c r="I758" s="53" t="n">
        <f aca="false">SUM(B758:H758)</f>
        <v>-4.06344859199832</v>
      </c>
      <c r="J758" s="53" t="n">
        <f aca="true">NORMINV(RAND(),0,J$7)</f>
        <v>-0.116230475485243</v>
      </c>
      <c r="K758" s="53" t="n">
        <f aca="true">NORMINV(RAND(),0,K$7)</f>
        <v>0.937125613359497</v>
      </c>
      <c r="L758" s="53" t="n">
        <f aca="true">NORMINV(RAND(),0,L$7)</f>
        <v>-0.153433537066297</v>
      </c>
      <c r="M758" s="53" t="n">
        <f aca="true">NORMINV(RAND(),0,M$7)</f>
        <v>-0.353150116333378</v>
      </c>
      <c r="N758" s="53" t="n">
        <f aca="true">NORMINV(RAND(),0,N$7)</f>
        <v>-0.39066288740289</v>
      </c>
      <c r="O758" s="53" t="n">
        <f aca="false">SUM(J758:N758)</f>
        <v>-0.0763514029283107</v>
      </c>
    </row>
    <row r="759" customFormat="false" ht="15" hidden="false" customHeight="false" outlineLevel="0" collapsed="false">
      <c r="A759" s="2" t="n">
        <v>751</v>
      </c>
      <c r="B759" s="53" t="n">
        <f aca="true">NORMINV(RAND(),0,B$7)</f>
        <v>0.724518235506099</v>
      </c>
      <c r="C759" s="53" t="n">
        <f aca="true">NORMINV(RAND(),0,C$7)</f>
        <v>-1.37590379982394</v>
      </c>
      <c r="D759" s="53" t="n">
        <f aca="true">NORMINV(RAND(),0,D$7)</f>
        <v>-1.54196842893724</v>
      </c>
      <c r="E759" s="53" t="n">
        <f aca="true">NORMINV(RAND(),0,E$7)</f>
        <v>0.276044585149347</v>
      </c>
      <c r="F759" s="53" t="n">
        <f aca="true">NORMINV(RAND(),0,F$7)</f>
        <v>-0.169466624417453</v>
      </c>
      <c r="G759" s="53" t="n">
        <f aca="true">NORMINV(RAND(),0,G$7)</f>
        <v>-1.10900924248937</v>
      </c>
      <c r="H759" s="53" t="n">
        <f aca="true">NORMINV(RAND(),0,H$7)</f>
        <v>-0.116310222834035</v>
      </c>
      <c r="I759" s="53" t="n">
        <f aca="false">SUM(B759:H759)</f>
        <v>-3.31209549784659</v>
      </c>
      <c r="J759" s="53" t="n">
        <f aca="true">NORMINV(RAND(),0,J$7)</f>
        <v>-3.4485116376191</v>
      </c>
      <c r="K759" s="53" t="n">
        <f aca="true">NORMINV(RAND(),0,K$7)</f>
        <v>0.288682610280449</v>
      </c>
      <c r="L759" s="53" t="n">
        <f aca="true">NORMINV(RAND(),0,L$7)</f>
        <v>0.529503215065412</v>
      </c>
      <c r="M759" s="53" t="n">
        <f aca="true">NORMINV(RAND(),0,M$7)</f>
        <v>0.00279111821865314</v>
      </c>
      <c r="N759" s="53" t="n">
        <f aca="true">NORMINV(RAND(),0,N$7)</f>
        <v>-0.269068918737813</v>
      </c>
      <c r="O759" s="53" t="n">
        <f aca="false">SUM(J759:N759)</f>
        <v>-2.8966036127924</v>
      </c>
    </row>
    <row r="760" customFormat="false" ht="15" hidden="false" customHeight="false" outlineLevel="0" collapsed="false">
      <c r="A760" s="2" t="n">
        <v>752</v>
      </c>
      <c r="B760" s="53" t="n">
        <f aca="true">NORMINV(RAND(),0,B$7)</f>
        <v>1.40498236094927</v>
      </c>
      <c r="C760" s="53" t="n">
        <f aca="true">NORMINV(RAND(),0,C$7)</f>
        <v>0.89322538154562</v>
      </c>
      <c r="D760" s="53" t="n">
        <f aca="true">NORMINV(RAND(),0,D$7)</f>
        <v>-1.2099731758884</v>
      </c>
      <c r="E760" s="53" t="n">
        <f aca="true">NORMINV(RAND(),0,E$7)</f>
        <v>-0.264519460267064</v>
      </c>
      <c r="F760" s="53" t="n">
        <f aca="true">NORMINV(RAND(),0,F$7)</f>
        <v>-0.771824660744926</v>
      </c>
      <c r="G760" s="53" t="n">
        <f aca="true">NORMINV(RAND(),0,G$7)</f>
        <v>0.412375242480253</v>
      </c>
      <c r="H760" s="53" t="n">
        <f aca="true">NORMINV(RAND(),0,H$7)</f>
        <v>0.0907151703213935</v>
      </c>
      <c r="I760" s="53" t="n">
        <f aca="false">SUM(B760:H760)</f>
        <v>0.554980858396142</v>
      </c>
      <c r="J760" s="53" t="n">
        <f aca="true">NORMINV(RAND(),0,J$7)</f>
        <v>-2.69708533018053</v>
      </c>
      <c r="K760" s="53" t="n">
        <f aca="true">NORMINV(RAND(),0,K$7)</f>
        <v>0.245499651277105</v>
      </c>
      <c r="L760" s="53" t="n">
        <f aca="true">NORMINV(RAND(),0,L$7)</f>
        <v>-0.0528442905350276</v>
      </c>
      <c r="M760" s="53" t="n">
        <f aca="true">NORMINV(RAND(),0,M$7)</f>
        <v>-0.136941600931714</v>
      </c>
      <c r="N760" s="53" t="n">
        <f aca="true">NORMINV(RAND(),0,N$7)</f>
        <v>-0.249076498346642</v>
      </c>
      <c r="O760" s="53" t="n">
        <f aca="false">SUM(J760:N760)</f>
        <v>-2.89044806871681</v>
      </c>
    </row>
    <row r="761" customFormat="false" ht="15" hidden="false" customHeight="false" outlineLevel="0" collapsed="false">
      <c r="A761" s="2" t="n">
        <v>753</v>
      </c>
      <c r="B761" s="53" t="n">
        <f aca="true">NORMINV(RAND(),0,B$7)</f>
        <v>3.3295782281769</v>
      </c>
      <c r="C761" s="53" t="n">
        <f aca="true">NORMINV(RAND(),0,C$7)</f>
        <v>3.28999017357028</v>
      </c>
      <c r="D761" s="53" t="n">
        <f aca="true">NORMINV(RAND(),0,D$7)</f>
        <v>0.813898846862253</v>
      </c>
      <c r="E761" s="53" t="n">
        <f aca="true">NORMINV(RAND(),0,E$7)</f>
        <v>-0.0415154735621668</v>
      </c>
      <c r="F761" s="53" t="n">
        <f aca="true">NORMINV(RAND(),0,F$7)</f>
        <v>0.281426974158473</v>
      </c>
      <c r="G761" s="53" t="n">
        <f aca="true">NORMINV(RAND(),0,G$7)</f>
        <v>-0.450549582540438</v>
      </c>
      <c r="H761" s="53" t="n">
        <f aca="true">NORMINV(RAND(),0,H$7)</f>
        <v>-0.405506686651018</v>
      </c>
      <c r="I761" s="53" t="n">
        <f aca="false">SUM(B761:H761)</f>
        <v>6.81732248001429</v>
      </c>
      <c r="J761" s="53" t="n">
        <f aca="true">NORMINV(RAND(),0,J$7)</f>
        <v>-3.4385117380636</v>
      </c>
      <c r="K761" s="53" t="n">
        <f aca="true">NORMINV(RAND(),0,K$7)</f>
        <v>0.164190985999962</v>
      </c>
      <c r="L761" s="53" t="n">
        <f aca="true">NORMINV(RAND(),0,L$7)</f>
        <v>-0.993717489305911</v>
      </c>
      <c r="M761" s="53" t="n">
        <f aca="true">NORMINV(RAND(),0,M$7)</f>
        <v>0.0228205988668388</v>
      </c>
      <c r="N761" s="53" t="n">
        <f aca="true">NORMINV(RAND(),0,N$7)</f>
        <v>-0.100826746251051</v>
      </c>
      <c r="O761" s="53" t="n">
        <f aca="false">SUM(J761:N761)</f>
        <v>-4.34604438875376</v>
      </c>
    </row>
    <row r="762" customFormat="false" ht="15" hidden="false" customHeight="false" outlineLevel="0" collapsed="false">
      <c r="A762" s="2" t="n">
        <v>754</v>
      </c>
      <c r="B762" s="53" t="n">
        <f aca="true">NORMINV(RAND(),0,B$7)</f>
        <v>-1.68822220203529</v>
      </c>
      <c r="C762" s="53" t="n">
        <f aca="true">NORMINV(RAND(),0,C$7)</f>
        <v>-0.997578708935764</v>
      </c>
      <c r="D762" s="53" t="n">
        <f aca="true">NORMINV(RAND(),0,D$7)</f>
        <v>0.484008828609091</v>
      </c>
      <c r="E762" s="53" t="n">
        <f aca="true">NORMINV(RAND(),0,E$7)</f>
        <v>0.0421376474368242</v>
      </c>
      <c r="F762" s="53" t="n">
        <f aca="true">NORMINV(RAND(),0,F$7)</f>
        <v>0.078860392839595</v>
      </c>
      <c r="G762" s="53" t="n">
        <f aca="true">NORMINV(RAND(),0,G$7)</f>
        <v>1.1657997847002</v>
      </c>
      <c r="H762" s="53" t="n">
        <f aca="true">NORMINV(RAND(),0,H$7)</f>
        <v>0.347664664511308</v>
      </c>
      <c r="I762" s="53" t="n">
        <f aca="false">SUM(B762:H762)</f>
        <v>-0.567329592874031</v>
      </c>
      <c r="J762" s="53" t="n">
        <f aca="true">NORMINV(RAND(),0,J$7)</f>
        <v>-1.05181532040449</v>
      </c>
      <c r="K762" s="53" t="n">
        <f aca="true">NORMINV(RAND(),0,K$7)</f>
        <v>-0.134127437840355</v>
      </c>
      <c r="L762" s="53" t="n">
        <f aca="true">NORMINV(RAND(),0,L$7)</f>
        <v>0.105356718254891</v>
      </c>
      <c r="M762" s="53" t="n">
        <f aca="true">NORMINV(RAND(),0,M$7)</f>
        <v>-0.257627224099881</v>
      </c>
      <c r="N762" s="53" t="n">
        <f aca="true">NORMINV(RAND(),0,N$7)</f>
        <v>0.0685598398458899</v>
      </c>
      <c r="O762" s="53" t="n">
        <f aca="false">SUM(J762:N762)</f>
        <v>-1.26965342424394</v>
      </c>
    </row>
    <row r="763" customFormat="false" ht="15" hidden="false" customHeight="false" outlineLevel="0" collapsed="false">
      <c r="A763" s="2" t="n">
        <v>755</v>
      </c>
      <c r="B763" s="53" t="n">
        <f aca="true">NORMINV(RAND(),0,B$7)</f>
        <v>-2.59168643187974</v>
      </c>
      <c r="C763" s="53" t="n">
        <f aca="true">NORMINV(RAND(),0,C$7)</f>
        <v>1.10604050578621</v>
      </c>
      <c r="D763" s="53" t="n">
        <f aca="true">NORMINV(RAND(),0,D$7)</f>
        <v>2.9606230679076</v>
      </c>
      <c r="E763" s="53" t="n">
        <f aca="true">NORMINV(RAND(),0,E$7)</f>
        <v>-0.197251269568381</v>
      </c>
      <c r="F763" s="53" t="n">
        <f aca="true">NORMINV(RAND(),0,F$7)</f>
        <v>-0.328780881553532</v>
      </c>
      <c r="G763" s="53" t="n">
        <f aca="true">NORMINV(RAND(),0,G$7)</f>
        <v>2.9462594135518</v>
      </c>
      <c r="H763" s="53" t="n">
        <f aca="true">NORMINV(RAND(),0,H$7)</f>
        <v>-0.423937904884909</v>
      </c>
      <c r="I763" s="53" t="n">
        <f aca="false">SUM(B763:H763)</f>
        <v>3.47126649935906</v>
      </c>
      <c r="J763" s="53" t="n">
        <f aca="true">NORMINV(RAND(),0,J$7)</f>
        <v>3.78174188591283</v>
      </c>
      <c r="K763" s="53" t="n">
        <f aca="true">NORMINV(RAND(),0,K$7)</f>
        <v>-0.807827885583065</v>
      </c>
      <c r="L763" s="53" t="n">
        <f aca="true">NORMINV(RAND(),0,L$7)</f>
        <v>-0.0563455940869375</v>
      </c>
      <c r="M763" s="53" t="n">
        <f aca="true">NORMINV(RAND(),0,M$7)</f>
        <v>-0.0317505215857773</v>
      </c>
      <c r="N763" s="53" t="n">
        <f aca="true">NORMINV(RAND(),0,N$7)</f>
        <v>-0.120652166542298</v>
      </c>
      <c r="O763" s="53" t="n">
        <f aca="false">SUM(J763:N763)</f>
        <v>2.76516571811475</v>
      </c>
    </row>
    <row r="764" customFormat="false" ht="15" hidden="false" customHeight="false" outlineLevel="0" collapsed="false">
      <c r="A764" s="2" t="n">
        <v>756</v>
      </c>
      <c r="B764" s="53" t="n">
        <f aca="true">NORMINV(RAND(),0,B$7)</f>
        <v>1.55484512826457</v>
      </c>
      <c r="C764" s="53" t="n">
        <f aca="true">NORMINV(RAND(),0,C$7)</f>
        <v>0.443288771420623</v>
      </c>
      <c r="D764" s="53" t="n">
        <f aca="true">NORMINV(RAND(),0,D$7)</f>
        <v>-0.771866709365979</v>
      </c>
      <c r="E764" s="53" t="n">
        <f aca="true">NORMINV(RAND(),0,E$7)</f>
        <v>0.0247416247291574</v>
      </c>
      <c r="F764" s="53" t="n">
        <f aca="true">NORMINV(RAND(),0,F$7)</f>
        <v>-0.888166806319756</v>
      </c>
      <c r="G764" s="53" t="n">
        <f aca="true">NORMINV(RAND(),0,G$7)</f>
        <v>-1.50861417597606</v>
      </c>
      <c r="H764" s="53" t="n">
        <f aca="true">NORMINV(RAND(),0,H$7)</f>
        <v>-0.395290318732887</v>
      </c>
      <c r="I764" s="53" t="n">
        <f aca="false">SUM(B764:H764)</f>
        <v>-1.54106248598033</v>
      </c>
      <c r="J764" s="53" t="n">
        <f aca="true">NORMINV(RAND(),0,J$7)</f>
        <v>0.223613746156186</v>
      </c>
      <c r="K764" s="53" t="n">
        <f aca="true">NORMINV(RAND(),0,K$7)</f>
        <v>0.978325479949095</v>
      </c>
      <c r="L764" s="53" t="n">
        <f aca="true">NORMINV(RAND(),0,L$7)</f>
        <v>0.225880484136615</v>
      </c>
      <c r="M764" s="53" t="n">
        <f aca="true">NORMINV(RAND(),0,M$7)</f>
        <v>-0.27389024666865</v>
      </c>
      <c r="N764" s="53" t="n">
        <f aca="true">NORMINV(RAND(),0,N$7)</f>
        <v>-0.613345970132015</v>
      </c>
      <c r="O764" s="53" t="n">
        <f aca="false">SUM(J764:N764)</f>
        <v>0.540583493441231</v>
      </c>
    </row>
    <row r="765" customFormat="false" ht="15" hidden="false" customHeight="false" outlineLevel="0" collapsed="false">
      <c r="A765" s="2" t="n">
        <v>757</v>
      </c>
      <c r="B765" s="53" t="n">
        <f aca="true">NORMINV(RAND(),0,B$7)</f>
        <v>-0.596665998727589</v>
      </c>
      <c r="C765" s="53" t="n">
        <f aca="true">NORMINV(RAND(),0,C$7)</f>
        <v>0.539832760518103</v>
      </c>
      <c r="D765" s="53" t="n">
        <f aca="true">NORMINV(RAND(),0,D$7)</f>
        <v>-0.278109467324221</v>
      </c>
      <c r="E765" s="53" t="n">
        <f aca="true">NORMINV(RAND(),0,E$7)</f>
        <v>0.318909234743604</v>
      </c>
      <c r="F765" s="53" t="n">
        <f aca="true">NORMINV(RAND(),0,F$7)</f>
        <v>0.122086443837446</v>
      </c>
      <c r="G765" s="53" t="n">
        <f aca="true">NORMINV(RAND(),0,G$7)</f>
        <v>-1.59343570059557</v>
      </c>
      <c r="H765" s="53" t="n">
        <f aca="true">NORMINV(RAND(),0,H$7)</f>
        <v>-0.307960022143905</v>
      </c>
      <c r="I765" s="53" t="n">
        <f aca="false">SUM(B765:H765)</f>
        <v>-1.79534274969213</v>
      </c>
      <c r="J765" s="53" t="n">
        <f aca="true">NORMINV(RAND(),0,J$7)</f>
        <v>0.824160015829282</v>
      </c>
      <c r="K765" s="53" t="n">
        <f aca="true">NORMINV(RAND(),0,K$7)</f>
        <v>-0.0352961372823775</v>
      </c>
      <c r="L765" s="53" t="n">
        <f aca="true">NORMINV(RAND(),0,L$7)</f>
        <v>-0.312360704098756</v>
      </c>
      <c r="M765" s="53" t="n">
        <f aca="true">NORMINV(RAND(),0,M$7)</f>
        <v>-0.0137419473898851</v>
      </c>
      <c r="N765" s="53" t="n">
        <f aca="true">NORMINV(RAND(),0,N$7)</f>
        <v>-0.31747198867757</v>
      </c>
      <c r="O765" s="53" t="n">
        <f aca="false">SUM(J765:N765)</f>
        <v>0.145289238380694</v>
      </c>
    </row>
    <row r="766" customFormat="false" ht="15" hidden="false" customHeight="false" outlineLevel="0" collapsed="false">
      <c r="A766" s="2" t="n">
        <v>758</v>
      </c>
      <c r="B766" s="53" t="n">
        <f aca="true">NORMINV(RAND(),0,B$7)</f>
        <v>-1.5594009272957</v>
      </c>
      <c r="C766" s="53" t="n">
        <f aca="true">NORMINV(RAND(),0,C$7)</f>
        <v>-1.42230178388482</v>
      </c>
      <c r="D766" s="53" t="n">
        <f aca="true">NORMINV(RAND(),0,D$7)</f>
        <v>0.240421373836395</v>
      </c>
      <c r="E766" s="53" t="n">
        <f aca="true">NORMINV(RAND(),0,E$7)</f>
        <v>-0.271805949042372</v>
      </c>
      <c r="F766" s="53" t="n">
        <f aca="true">NORMINV(RAND(),0,F$7)</f>
        <v>0.0989039187979448</v>
      </c>
      <c r="G766" s="53" t="n">
        <f aca="true">NORMINV(RAND(),0,G$7)</f>
        <v>1.21024324971837</v>
      </c>
      <c r="H766" s="53" t="n">
        <f aca="true">NORMINV(RAND(),0,H$7)</f>
        <v>0.0772397837855772</v>
      </c>
      <c r="I766" s="53" t="n">
        <f aca="false">SUM(B766:H766)</f>
        <v>-1.62670033408461</v>
      </c>
      <c r="J766" s="53" t="n">
        <f aca="true">NORMINV(RAND(),0,J$7)</f>
        <v>1.24396040374424</v>
      </c>
      <c r="K766" s="53" t="n">
        <f aca="true">NORMINV(RAND(),0,K$7)</f>
        <v>-0.0930374489102909</v>
      </c>
      <c r="L766" s="53" t="n">
        <f aca="true">NORMINV(RAND(),0,L$7)</f>
        <v>-0.269887545063778</v>
      </c>
      <c r="M766" s="53" t="n">
        <f aca="true">NORMINV(RAND(),0,M$7)</f>
        <v>0.026405907509237</v>
      </c>
      <c r="N766" s="53" t="n">
        <f aca="true">NORMINV(RAND(),0,N$7)</f>
        <v>0.0323470968279483</v>
      </c>
      <c r="O766" s="53" t="n">
        <f aca="false">SUM(J766:N766)</f>
        <v>0.939788414107355</v>
      </c>
    </row>
    <row r="767" customFormat="false" ht="15" hidden="false" customHeight="false" outlineLevel="0" collapsed="false">
      <c r="A767" s="2" t="n">
        <v>759</v>
      </c>
      <c r="B767" s="53" t="n">
        <f aca="true">NORMINV(RAND(),0,B$7)</f>
        <v>1.17558663715885</v>
      </c>
      <c r="C767" s="53" t="n">
        <f aca="true">NORMINV(RAND(),0,C$7)</f>
        <v>-0.806611281430602</v>
      </c>
      <c r="D767" s="53" t="n">
        <f aca="true">NORMINV(RAND(),0,D$7)</f>
        <v>0.33992839130808</v>
      </c>
      <c r="E767" s="53" t="n">
        <f aca="true">NORMINV(RAND(),0,E$7)</f>
        <v>0.319082904390603</v>
      </c>
      <c r="F767" s="53" t="n">
        <f aca="true">NORMINV(RAND(),0,F$7)</f>
        <v>-0.209916213467581</v>
      </c>
      <c r="G767" s="53" t="n">
        <f aca="true">NORMINV(RAND(),0,G$7)</f>
        <v>-1.82356193730369</v>
      </c>
      <c r="H767" s="53" t="n">
        <f aca="true">NORMINV(RAND(),0,H$7)</f>
        <v>-0.699688563485066</v>
      </c>
      <c r="I767" s="53" t="n">
        <f aca="false">SUM(B767:H767)</f>
        <v>-1.70518006282941</v>
      </c>
      <c r="J767" s="53" t="n">
        <f aca="true">NORMINV(RAND(),0,J$7)</f>
        <v>1.24110123526481</v>
      </c>
      <c r="K767" s="53" t="n">
        <f aca="true">NORMINV(RAND(),0,K$7)</f>
        <v>0.358119284485421</v>
      </c>
      <c r="L767" s="53" t="n">
        <f aca="true">NORMINV(RAND(),0,L$7)</f>
        <v>0.370387903893892</v>
      </c>
      <c r="M767" s="53" t="n">
        <f aca="true">NORMINV(RAND(),0,M$7)</f>
        <v>0.0148800135865209</v>
      </c>
      <c r="N767" s="53" t="n">
        <f aca="true">NORMINV(RAND(),0,N$7)</f>
        <v>-0.264789335901269</v>
      </c>
      <c r="O767" s="53" t="n">
        <f aca="false">SUM(J767:N767)</f>
        <v>1.71969910132937</v>
      </c>
    </row>
    <row r="768" customFormat="false" ht="15" hidden="false" customHeight="false" outlineLevel="0" collapsed="false">
      <c r="A768" s="2" t="n">
        <v>760</v>
      </c>
      <c r="B768" s="53" t="n">
        <f aca="true">NORMINV(RAND(),0,B$7)</f>
        <v>0.230455510030604</v>
      </c>
      <c r="C768" s="53" t="n">
        <f aca="true">NORMINV(RAND(),0,C$7)</f>
        <v>-0.068143793733416</v>
      </c>
      <c r="D768" s="53" t="n">
        <f aca="true">NORMINV(RAND(),0,D$7)</f>
        <v>2.68222811001764</v>
      </c>
      <c r="E768" s="53" t="n">
        <f aca="true">NORMINV(RAND(),0,E$7)</f>
        <v>-0.341999589198733</v>
      </c>
      <c r="F768" s="53" t="n">
        <f aca="true">NORMINV(RAND(),0,F$7)</f>
        <v>-0.423576956771887</v>
      </c>
      <c r="G768" s="53" t="n">
        <f aca="true">NORMINV(RAND(),0,G$7)</f>
        <v>2.61638347079047</v>
      </c>
      <c r="H768" s="53" t="n">
        <f aca="true">NORMINV(RAND(),0,H$7)</f>
        <v>0.300373480400097</v>
      </c>
      <c r="I768" s="53" t="n">
        <f aca="false">SUM(B768:H768)</f>
        <v>4.99572023153477</v>
      </c>
      <c r="J768" s="53" t="n">
        <f aca="true">NORMINV(RAND(),0,J$7)</f>
        <v>3.86056494460955</v>
      </c>
      <c r="K768" s="53" t="n">
        <f aca="true">NORMINV(RAND(),0,K$7)</f>
        <v>-0.178796277234356</v>
      </c>
      <c r="L768" s="53" t="n">
        <f aca="true">NORMINV(RAND(),0,L$7)</f>
        <v>0.00674646203331512</v>
      </c>
      <c r="M768" s="53" t="n">
        <f aca="true">NORMINV(RAND(),0,M$7)</f>
        <v>-0.183529297398374</v>
      </c>
      <c r="N768" s="53" t="n">
        <f aca="true">NORMINV(RAND(),0,N$7)</f>
        <v>0.163524496878026</v>
      </c>
      <c r="O768" s="53" t="n">
        <f aca="false">SUM(J768:N768)</f>
        <v>3.66851032888816</v>
      </c>
    </row>
    <row r="769" customFormat="false" ht="15" hidden="false" customHeight="false" outlineLevel="0" collapsed="false">
      <c r="A769" s="2" t="n">
        <v>761</v>
      </c>
      <c r="B769" s="53" t="n">
        <f aca="true">NORMINV(RAND(),0,B$7)</f>
        <v>0.846415071139439</v>
      </c>
      <c r="C769" s="53" t="n">
        <f aca="true">NORMINV(RAND(),0,C$7)</f>
        <v>1.30396567595714</v>
      </c>
      <c r="D769" s="53" t="n">
        <f aca="true">NORMINV(RAND(),0,D$7)</f>
        <v>-0.499119457839682</v>
      </c>
      <c r="E769" s="53" t="n">
        <f aca="true">NORMINV(RAND(),0,E$7)</f>
        <v>0.112348315805917</v>
      </c>
      <c r="F769" s="53" t="n">
        <f aca="true">NORMINV(RAND(),0,F$7)</f>
        <v>-0.653892338109515</v>
      </c>
      <c r="G769" s="53" t="n">
        <f aca="true">NORMINV(RAND(),0,G$7)</f>
        <v>1.29646866728802</v>
      </c>
      <c r="H769" s="53" t="n">
        <f aca="true">NORMINV(RAND(),0,H$7)</f>
        <v>-0.267985977032134</v>
      </c>
      <c r="I769" s="53" t="n">
        <f aca="false">SUM(B769:H769)</f>
        <v>2.13819995720919</v>
      </c>
      <c r="J769" s="53" t="n">
        <f aca="true">NORMINV(RAND(),0,J$7)</f>
        <v>1.6205888392315</v>
      </c>
      <c r="K769" s="53" t="n">
        <f aca="true">NORMINV(RAND(),0,K$7)</f>
        <v>-0.524691376337624</v>
      </c>
      <c r="L769" s="53" t="n">
        <f aca="true">NORMINV(RAND(),0,L$7)</f>
        <v>0.1600486229237</v>
      </c>
      <c r="M769" s="53" t="n">
        <f aca="true">NORMINV(RAND(),0,M$7)</f>
        <v>-0.0674453107420971</v>
      </c>
      <c r="N769" s="53" t="n">
        <f aca="true">NORMINV(RAND(),0,N$7)</f>
        <v>-0.805330518696236</v>
      </c>
      <c r="O769" s="53" t="n">
        <f aca="false">SUM(J769:N769)</f>
        <v>0.38317025637924</v>
      </c>
    </row>
    <row r="770" customFormat="false" ht="15" hidden="false" customHeight="false" outlineLevel="0" collapsed="false">
      <c r="A770" s="2" t="n">
        <v>762</v>
      </c>
      <c r="B770" s="53" t="n">
        <f aca="true">NORMINV(RAND(),0,B$7)</f>
        <v>-0.640556117668685</v>
      </c>
      <c r="C770" s="53" t="n">
        <f aca="true">NORMINV(RAND(),0,C$7)</f>
        <v>2.27517018571074</v>
      </c>
      <c r="D770" s="53" t="n">
        <f aca="true">NORMINV(RAND(),0,D$7)</f>
        <v>-1.21665876578086</v>
      </c>
      <c r="E770" s="53" t="n">
        <f aca="true">NORMINV(RAND(),0,E$7)</f>
        <v>0.612370301228308</v>
      </c>
      <c r="F770" s="53" t="n">
        <f aca="true">NORMINV(RAND(),0,F$7)</f>
        <v>0.0100229008964372</v>
      </c>
      <c r="G770" s="53" t="n">
        <f aca="true">NORMINV(RAND(),0,G$7)</f>
        <v>-1.50070739597916</v>
      </c>
      <c r="H770" s="53" t="n">
        <f aca="true">NORMINV(RAND(),0,H$7)</f>
        <v>0.00295740626012956</v>
      </c>
      <c r="I770" s="53" t="n">
        <f aca="false">SUM(B770:H770)</f>
        <v>-0.457401485333094</v>
      </c>
      <c r="J770" s="53" t="n">
        <f aca="true">NORMINV(RAND(),0,J$7)</f>
        <v>-0.297466921355202</v>
      </c>
      <c r="K770" s="53" t="n">
        <f aca="true">NORMINV(RAND(),0,K$7)</f>
        <v>0.244869618860675</v>
      </c>
      <c r="L770" s="53" t="n">
        <f aca="true">NORMINV(RAND(),0,L$7)</f>
        <v>0.456027996188227</v>
      </c>
      <c r="M770" s="53" t="n">
        <f aca="true">NORMINV(RAND(),0,M$7)</f>
        <v>0.301046790338918</v>
      </c>
      <c r="N770" s="53" t="n">
        <f aca="true">NORMINV(RAND(),0,N$7)</f>
        <v>-0.0736145887690784</v>
      </c>
      <c r="O770" s="53" t="n">
        <f aca="false">SUM(J770:N770)</f>
        <v>0.630862895263539</v>
      </c>
    </row>
    <row r="771" customFormat="false" ht="15" hidden="false" customHeight="false" outlineLevel="0" collapsed="false">
      <c r="A771" s="2" t="n">
        <v>763</v>
      </c>
      <c r="B771" s="53" t="n">
        <f aca="true">NORMINV(RAND(),0,B$7)</f>
        <v>1.40245128997144</v>
      </c>
      <c r="C771" s="53" t="n">
        <f aca="true">NORMINV(RAND(),0,C$7)</f>
        <v>-1.36138155491901</v>
      </c>
      <c r="D771" s="53" t="n">
        <f aca="true">NORMINV(RAND(),0,D$7)</f>
        <v>-0.355458248373205</v>
      </c>
      <c r="E771" s="53" t="n">
        <f aca="true">NORMINV(RAND(),0,E$7)</f>
        <v>-0.218027873024647</v>
      </c>
      <c r="F771" s="53" t="n">
        <f aca="true">NORMINV(RAND(),0,F$7)</f>
        <v>-0.0819315684678035</v>
      </c>
      <c r="G771" s="53" t="n">
        <f aca="true">NORMINV(RAND(),0,G$7)</f>
        <v>1.58385511764443</v>
      </c>
      <c r="H771" s="53" t="n">
        <f aca="true">NORMINV(RAND(),0,H$7)</f>
        <v>-0.360995927707082</v>
      </c>
      <c r="I771" s="53" t="n">
        <f aca="false">SUM(B771:H771)</f>
        <v>0.608511235124127</v>
      </c>
      <c r="J771" s="53" t="n">
        <f aca="true">NORMINV(RAND(),0,J$7)</f>
        <v>-1.13818439619723</v>
      </c>
      <c r="K771" s="53" t="n">
        <f aca="true">NORMINV(RAND(),0,K$7)</f>
        <v>0.826515264228616</v>
      </c>
      <c r="L771" s="53" t="n">
        <f aca="true">NORMINV(RAND(),0,L$7)</f>
        <v>-0.279353344234187</v>
      </c>
      <c r="M771" s="53" t="n">
        <f aca="true">NORMINV(RAND(),0,M$7)</f>
        <v>-0.204838530033151</v>
      </c>
      <c r="N771" s="53" t="n">
        <f aca="true">NORMINV(RAND(),0,N$7)</f>
        <v>-0.291683201907696</v>
      </c>
      <c r="O771" s="53" t="n">
        <f aca="false">SUM(J771:N771)</f>
        <v>-1.08754420814364</v>
      </c>
    </row>
    <row r="772" customFormat="false" ht="15" hidden="false" customHeight="false" outlineLevel="0" collapsed="false">
      <c r="A772" s="2" t="n">
        <v>764</v>
      </c>
      <c r="B772" s="53" t="n">
        <f aca="true">NORMINV(RAND(),0,B$7)</f>
        <v>-0.762489224069339</v>
      </c>
      <c r="C772" s="53" t="n">
        <f aca="true">NORMINV(RAND(),0,C$7)</f>
        <v>0.766869019653953</v>
      </c>
      <c r="D772" s="53" t="n">
        <f aca="true">NORMINV(RAND(),0,D$7)</f>
        <v>3.34077476075968</v>
      </c>
      <c r="E772" s="53" t="n">
        <f aca="true">NORMINV(RAND(),0,E$7)</f>
        <v>-0.160283757450166</v>
      </c>
      <c r="F772" s="53" t="n">
        <f aca="true">NORMINV(RAND(),0,F$7)</f>
        <v>-0.430598936465683</v>
      </c>
      <c r="G772" s="53" t="n">
        <f aca="true">NORMINV(RAND(),0,G$7)</f>
        <v>-2.06155587722828</v>
      </c>
      <c r="H772" s="53" t="n">
        <f aca="true">NORMINV(RAND(),0,H$7)</f>
        <v>0.188268887656589</v>
      </c>
      <c r="I772" s="53" t="n">
        <f aca="false">SUM(B772:H772)</f>
        <v>0.880984872856746</v>
      </c>
      <c r="J772" s="53" t="n">
        <f aca="true">NORMINV(RAND(),0,J$7)</f>
        <v>1.95436062093556</v>
      </c>
      <c r="K772" s="53" t="n">
        <f aca="true">NORMINV(RAND(),0,K$7)</f>
        <v>-0.766075552957452</v>
      </c>
      <c r="L772" s="53" t="n">
        <f aca="true">NORMINV(RAND(),0,L$7)</f>
        <v>-0.113600104669828</v>
      </c>
      <c r="M772" s="53" t="n">
        <f aca="true">NORMINV(RAND(),0,M$7)</f>
        <v>0.216552850033424</v>
      </c>
      <c r="N772" s="53" t="n">
        <f aca="true">NORMINV(RAND(),0,N$7)</f>
        <v>-0.237414939164634</v>
      </c>
      <c r="O772" s="53" t="n">
        <f aca="false">SUM(J772:N772)</f>
        <v>1.05382287417707</v>
      </c>
    </row>
    <row r="773" customFormat="false" ht="15" hidden="false" customHeight="false" outlineLevel="0" collapsed="false">
      <c r="A773" s="2" t="n">
        <v>765</v>
      </c>
      <c r="B773" s="53" t="n">
        <f aca="true">NORMINV(RAND(),0,B$7)</f>
        <v>-0.351000656862529</v>
      </c>
      <c r="C773" s="53" t="n">
        <f aca="true">NORMINV(RAND(),0,C$7)</f>
        <v>-0.611746271399632</v>
      </c>
      <c r="D773" s="53" t="n">
        <f aca="true">NORMINV(RAND(),0,D$7)</f>
        <v>2.18525761813162</v>
      </c>
      <c r="E773" s="53" t="n">
        <f aca="true">NORMINV(RAND(),0,E$7)</f>
        <v>-0.166092997220385</v>
      </c>
      <c r="F773" s="53" t="n">
        <f aca="true">NORMINV(RAND(),0,F$7)</f>
        <v>-0.15028209783358</v>
      </c>
      <c r="G773" s="53" t="n">
        <f aca="true">NORMINV(RAND(),0,G$7)</f>
        <v>-1.35465720722326</v>
      </c>
      <c r="H773" s="53" t="n">
        <f aca="true">NORMINV(RAND(),0,H$7)</f>
        <v>0.0621918968657063</v>
      </c>
      <c r="I773" s="53" t="n">
        <f aca="false">SUM(B773:H773)</f>
        <v>-0.38632971554206</v>
      </c>
      <c r="J773" s="53" t="n">
        <f aca="true">NORMINV(RAND(),0,J$7)</f>
        <v>-1.24797103490749</v>
      </c>
      <c r="K773" s="53" t="n">
        <f aca="true">NORMINV(RAND(),0,K$7)</f>
        <v>0.0367983917376859</v>
      </c>
      <c r="L773" s="53" t="n">
        <f aca="true">NORMINV(RAND(),0,L$7)</f>
        <v>-0.332542416690743</v>
      </c>
      <c r="M773" s="53" t="n">
        <f aca="true">NORMINV(RAND(),0,M$7)</f>
        <v>0.0243796905409586</v>
      </c>
      <c r="N773" s="53" t="n">
        <f aca="true">NORMINV(RAND(),0,N$7)</f>
        <v>0.251177053940063</v>
      </c>
      <c r="O773" s="53" t="n">
        <f aca="false">SUM(J773:N773)</f>
        <v>-1.26815831537953</v>
      </c>
    </row>
    <row r="774" customFormat="false" ht="15" hidden="false" customHeight="false" outlineLevel="0" collapsed="false">
      <c r="A774" s="2" t="n">
        <v>766</v>
      </c>
      <c r="B774" s="53" t="n">
        <f aca="true">NORMINV(RAND(),0,B$7)</f>
        <v>-2.74916613455671</v>
      </c>
      <c r="C774" s="53" t="n">
        <f aca="true">NORMINV(RAND(),0,C$7)</f>
        <v>-1.13637031588304</v>
      </c>
      <c r="D774" s="53" t="n">
        <f aca="true">NORMINV(RAND(),0,D$7)</f>
        <v>1.23665124964748</v>
      </c>
      <c r="E774" s="53" t="n">
        <f aca="true">NORMINV(RAND(),0,E$7)</f>
        <v>-0.28660887070384</v>
      </c>
      <c r="F774" s="53" t="n">
        <f aca="true">NORMINV(RAND(),0,F$7)</f>
        <v>0.504287584289657</v>
      </c>
      <c r="G774" s="53" t="n">
        <f aca="true">NORMINV(RAND(),0,G$7)</f>
        <v>0.408746283229629</v>
      </c>
      <c r="H774" s="53" t="n">
        <f aca="true">NORMINV(RAND(),0,H$7)</f>
        <v>0.47725474254435</v>
      </c>
      <c r="I774" s="53" t="n">
        <f aca="false">SUM(B774:H774)</f>
        <v>-1.54520546143247</v>
      </c>
      <c r="J774" s="53" t="n">
        <f aca="true">NORMINV(RAND(),0,J$7)</f>
        <v>2.89791977582529</v>
      </c>
      <c r="K774" s="53" t="n">
        <f aca="true">NORMINV(RAND(),0,K$7)</f>
        <v>0.0891379317964961</v>
      </c>
      <c r="L774" s="53" t="n">
        <f aca="true">NORMINV(RAND(),0,L$7)</f>
        <v>-0.0725512105628642</v>
      </c>
      <c r="M774" s="53" t="n">
        <f aca="true">NORMINV(RAND(),0,M$7)</f>
        <v>-0.189906947820205</v>
      </c>
      <c r="N774" s="53" t="n">
        <f aca="true">NORMINV(RAND(),0,N$7)</f>
        <v>-0.0980540426800736</v>
      </c>
      <c r="O774" s="53" t="n">
        <f aca="false">SUM(J774:N774)</f>
        <v>2.62654550655864</v>
      </c>
    </row>
    <row r="775" customFormat="false" ht="15" hidden="false" customHeight="false" outlineLevel="0" collapsed="false">
      <c r="A775" s="2" t="n">
        <v>767</v>
      </c>
      <c r="B775" s="53" t="n">
        <f aca="true">NORMINV(RAND(),0,B$7)</f>
        <v>-1.36323939533753</v>
      </c>
      <c r="C775" s="53" t="n">
        <f aca="true">NORMINV(RAND(),0,C$7)</f>
        <v>-0.0285964856710748</v>
      </c>
      <c r="D775" s="53" t="n">
        <f aca="true">NORMINV(RAND(),0,D$7)</f>
        <v>-0.705488264357862</v>
      </c>
      <c r="E775" s="53" t="n">
        <f aca="true">NORMINV(RAND(),0,E$7)</f>
        <v>0.224033212753274</v>
      </c>
      <c r="F775" s="53" t="n">
        <f aca="true">NORMINV(RAND(),0,F$7)</f>
        <v>0.294651648347021</v>
      </c>
      <c r="G775" s="53" t="n">
        <f aca="true">NORMINV(RAND(),0,G$7)</f>
        <v>-2.64923811307513</v>
      </c>
      <c r="H775" s="53" t="n">
        <f aca="true">NORMINV(RAND(),0,H$7)</f>
        <v>0.345779184799258</v>
      </c>
      <c r="I775" s="53" t="n">
        <f aca="false">SUM(B775:H775)</f>
        <v>-3.88209821254204</v>
      </c>
      <c r="J775" s="53" t="n">
        <f aca="true">NORMINV(RAND(),0,J$7)</f>
        <v>-0.23965450298639</v>
      </c>
      <c r="K775" s="53" t="n">
        <f aca="true">NORMINV(RAND(),0,K$7)</f>
        <v>-1.6778345494008</v>
      </c>
      <c r="L775" s="53" t="n">
        <f aca="true">NORMINV(RAND(),0,L$7)</f>
        <v>0.133401676597544</v>
      </c>
      <c r="M775" s="53" t="n">
        <f aca="true">NORMINV(RAND(),0,M$7)</f>
        <v>-0.210309957748791</v>
      </c>
      <c r="N775" s="53" t="n">
        <f aca="true">NORMINV(RAND(),0,N$7)</f>
        <v>-0.206374333524801</v>
      </c>
      <c r="O775" s="53" t="n">
        <f aca="false">SUM(J775:N775)</f>
        <v>-2.20077166706323</v>
      </c>
    </row>
    <row r="776" customFormat="false" ht="15" hidden="false" customHeight="false" outlineLevel="0" collapsed="false">
      <c r="A776" s="2" t="n">
        <v>768</v>
      </c>
      <c r="B776" s="53" t="n">
        <f aca="true">NORMINV(RAND(),0,B$7)</f>
        <v>-0.754306049752142</v>
      </c>
      <c r="C776" s="53" t="n">
        <f aca="true">NORMINV(RAND(),0,C$7)</f>
        <v>0.196587884099575</v>
      </c>
      <c r="D776" s="53" t="n">
        <f aca="true">NORMINV(RAND(),0,D$7)</f>
        <v>0.162996230319417</v>
      </c>
      <c r="E776" s="53" t="n">
        <f aca="true">NORMINV(RAND(),0,E$7)</f>
        <v>-0.267883681998943</v>
      </c>
      <c r="F776" s="53" t="n">
        <f aca="true">NORMINV(RAND(),0,F$7)</f>
        <v>-0.122571853545826</v>
      </c>
      <c r="G776" s="53" t="n">
        <f aca="true">NORMINV(RAND(),0,G$7)</f>
        <v>-1.9883690642842</v>
      </c>
      <c r="H776" s="53" t="n">
        <f aca="true">NORMINV(RAND(),0,H$7)</f>
        <v>-0.0225051013383078</v>
      </c>
      <c r="I776" s="53" t="n">
        <f aca="false">SUM(B776:H776)</f>
        <v>-2.79605163650043</v>
      </c>
      <c r="J776" s="53" t="n">
        <f aca="true">NORMINV(RAND(),0,J$7)</f>
        <v>-0.706092042668963</v>
      </c>
      <c r="K776" s="53" t="n">
        <f aca="true">NORMINV(RAND(),0,K$7)</f>
        <v>1.33405194620993</v>
      </c>
      <c r="L776" s="53" t="n">
        <f aca="true">NORMINV(RAND(),0,L$7)</f>
        <v>0.202714932169754</v>
      </c>
      <c r="M776" s="53" t="n">
        <f aca="true">NORMINV(RAND(),0,M$7)</f>
        <v>-0.167766925769619</v>
      </c>
      <c r="N776" s="53" t="n">
        <f aca="true">NORMINV(RAND(),0,N$7)</f>
        <v>-0.368793914374751</v>
      </c>
      <c r="O776" s="53" t="n">
        <f aca="false">SUM(J776:N776)</f>
        <v>0.294113995566352</v>
      </c>
    </row>
    <row r="777" customFormat="false" ht="15" hidden="false" customHeight="false" outlineLevel="0" collapsed="false">
      <c r="A777" s="2" t="n">
        <v>769</v>
      </c>
      <c r="B777" s="53" t="n">
        <f aca="true">NORMINV(RAND(),0,B$7)</f>
        <v>0.267539712807327</v>
      </c>
      <c r="C777" s="53" t="n">
        <f aca="true">NORMINV(RAND(),0,C$7)</f>
        <v>-0.193407707774743</v>
      </c>
      <c r="D777" s="53" t="n">
        <f aca="true">NORMINV(RAND(),0,D$7)</f>
        <v>1.08890064078919</v>
      </c>
      <c r="E777" s="53" t="n">
        <f aca="true">NORMINV(RAND(),0,E$7)</f>
        <v>0.208557325284167</v>
      </c>
      <c r="F777" s="53" t="n">
        <f aca="true">NORMINV(RAND(),0,F$7)</f>
        <v>0.279579317517989</v>
      </c>
      <c r="G777" s="53" t="n">
        <f aca="true">NORMINV(RAND(),0,G$7)</f>
        <v>2.82498215248961</v>
      </c>
      <c r="H777" s="53" t="n">
        <f aca="true">NORMINV(RAND(),0,H$7)</f>
        <v>-0.175919111751505</v>
      </c>
      <c r="I777" s="53" t="n">
        <f aca="false">SUM(B777:H777)</f>
        <v>4.30023232936203</v>
      </c>
      <c r="J777" s="53" t="n">
        <f aca="true">NORMINV(RAND(),0,J$7)</f>
        <v>4.03754763580397</v>
      </c>
      <c r="K777" s="53" t="n">
        <f aca="true">NORMINV(RAND(),0,K$7)</f>
        <v>-1.07146444355478</v>
      </c>
      <c r="L777" s="53" t="n">
        <f aca="true">NORMINV(RAND(),0,L$7)</f>
        <v>-0.442183372579734</v>
      </c>
      <c r="M777" s="53" t="n">
        <f aca="true">NORMINV(RAND(),0,M$7)</f>
        <v>0.166315665645661</v>
      </c>
      <c r="N777" s="53" t="n">
        <f aca="true">NORMINV(RAND(),0,N$7)</f>
        <v>0.180226358368452</v>
      </c>
      <c r="O777" s="53" t="n">
        <f aca="false">SUM(J777:N777)</f>
        <v>2.87044184368357</v>
      </c>
    </row>
    <row r="778" customFormat="false" ht="15" hidden="false" customHeight="false" outlineLevel="0" collapsed="false">
      <c r="A778" s="2" t="n">
        <v>770</v>
      </c>
      <c r="B778" s="53" t="n">
        <f aca="true">NORMINV(RAND(),0,B$7)</f>
        <v>1.1801542516646</v>
      </c>
      <c r="C778" s="53" t="n">
        <f aca="true">NORMINV(RAND(),0,C$7)</f>
        <v>-1.1586432051563</v>
      </c>
      <c r="D778" s="53" t="n">
        <f aca="true">NORMINV(RAND(),0,D$7)</f>
        <v>0.0269107397493192</v>
      </c>
      <c r="E778" s="53" t="n">
        <f aca="true">NORMINV(RAND(),0,E$7)</f>
        <v>0.273014436204416</v>
      </c>
      <c r="F778" s="53" t="n">
        <f aca="true">NORMINV(RAND(),0,F$7)</f>
        <v>-0.0622403942626921</v>
      </c>
      <c r="G778" s="53" t="n">
        <f aca="true">NORMINV(RAND(),0,G$7)</f>
        <v>0.546146185874922</v>
      </c>
      <c r="H778" s="53" t="n">
        <f aca="true">NORMINV(RAND(),0,H$7)</f>
        <v>0.337849438668039</v>
      </c>
      <c r="I778" s="53" t="n">
        <f aca="false">SUM(B778:H778)</f>
        <v>1.1431914527423</v>
      </c>
      <c r="J778" s="53" t="n">
        <f aca="true">NORMINV(RAND(),0,J$7)</f>
        <v>2.38293988222913</v>
      </c>
      <c r="K778" s="53" t="n">
        <f aca="true">NORMINV(RAND(),0,K$7)</f>
        <v>0.106132602661469</v>
      </c>
      <c r="L778" s="53" t="n">
        <f aca="true">NORMINV(RAND(),0,L$7)</f>
        <v>-0.70681709363196</v>
      </c>
      <c r="M778" s="53" t="n">
        <f aca="true">NORMINV(RAND(),0,M$7)</f>
        <v>-0.278491494129271</v>
      </c>
      <c r="N778" s="53" t="n">
        <f aca="true">NORMINV(RAND(),0,N$7)</f>
        <v>-0.405238147626468</v>
      </c>
      <c r="O778" s="53" t="n">
        <f aca="false">SUM(J778:N778)</f>
        <v>1.0985257495029</v>
      </c>
    </row>
    <row r="779" customFormat="false" ht="15" hidden="false" customHeight="false" outlineLevel="0" collapsed="false">
      <c r="A779" s="2" t="n">
        <v>771</v>
      </c>
      <c r="B779" s="53" t="n">
        <f aca="true">NORMINV(RAND(),0,B$7)</f>
        <v>0.6668988144251</v>
      </c>
      <c r="C779" s="53" t="n">
        <f aca="true">NORMINV(RAND(),0,C$7)</f>
        <v>-0.79993264163641</v>
      </c>
      <c r="D779" s="53" t="n">
        <f aca="true">NORMINV(RAND(),0,D$7)</f>
        <v>1.15793830468605</v>
      </c>
      <c r="E779" s="53" t="n">
        <f aca="true">NORMINV(RAND(),0,E$7)</f>
        <v>0.00605390987750961</v>
      </c>
      <c r="F779" s="53" t="n">
        <f aca="true">NORMINV(RAND(),0,F$7)</f>
        <v>-0.548336373144982</v>
      </c>
      <c r="G779" s="53" t="n">
        <f aca="true">NORMINV(RAND(),0,G$7)</f>
        <v>-0.56879889872759</v>
      </c>
      <c r="H779" s="53" t="n">
        <f aca="true">NORMINV(RAND(),0,H$7)</f>
        <v>-0.27865509349014</v>
      </c>
      <c r="I779" s="53" t="n">
        <f aca="false">SUM(B779:H779)</f>
        <v>-0.364831978010459</v>
      </c>
      <c r="J779" s="53" t="n">
        <f aca="true">NORMINV(RAND(),0,J$7)</f>
        <v>3.03241259262312</v>
      </c>
      <c r="K779" s="53" t="n">
        <f aca="true">NORMINV(RAND(),0,K$7)</f>
        <v>1.49398839972396</v>
      </c>
      <c r="L779" s="53" t="n">
        <f aca="true">NORMINV(RAND(),0,L$7)</f>
        <v>-0.128358954006768</v>
      </c>
      <c r="M779" s="53" t="n">
        <f aca="true">NORMINV(RAND(),0,M$7)</f>
        <v>0.0463517228042381</v>
      </c>
      <c r="N779" s="53" t="n">
        <f aca="true">NORMINV(RAND(),0,N$7)</f>
        <v>-0.122246428429279</v>
      </c>
      <c r="O779" s="53" t="n">
        <f aca="false">SUM(J779:N779)</f>
        <v>4.32214733271527</v>
      </c>
    </row>
    <row r="780" customFormat="false" ht="15" hidden="false" customHeight="false" outlineLevel="0" collapsed="false">
      <c r="A780" s="2" t="n">
        <v>772</v>
      </c>
      <c r="B780" s="53" t="n">
        <f aca="true">NORMINV(RAND(),0,B$7)</f>
        <v>-1.52632288179326</v>
      </c>
      <c r="C780" s="53" t="n">
        <f aca="true">NORMINV(RAND(),0,C$7)</f>
        <v>0.564899692109992</v>
      </c>
      <c r="D780" s="53" t="n">
        <f aca="true">NORMINV(RAND(),0,D$7)</f>
        <v>-0.871823918107801</v>
      </c>
      <c r="E780" s="53" t="n">
        <f aca="true">NORMINV(RAND(),0,E$7)</f>
        <v>0.402648830762066</v>
      </c>
      <c r="F780" s="53" t="n">
        <f aca="true">NORMINV(RAND(),0,F$7)</f>
        <v>-0.55913504247051</v>
      </c>
      <c r="G780" s="53" t="n">
        <f aca="true">NORMINV(RAND(),0,G$7)</f>
        <v>0.382653825652434</v>
      </c>
      <c r="H780" s="53" t="n">
        <f aca="true">NORMINV(RAND(),0,H$7)</f>
        <v>-0.0489518453201075</v>
      </c>
      <c r="I780" s="53" t="n">
        <f aca="false">SUM(B780:H780)</f>
        <v>-1.65603133916718</v>
      </c>
      <c r="J780" s="53" t="n">
        <f aca="true">NORMINV(RAND(),0,J$7)</f>
        <v>-2.29601068859334</v>
      </c>
      <c r="K780" s="53" t="n">
        <f aca="true">NORMINV(RAND(),0,K$7)</f>
        <v>-0.0401682174987828</v>
      </c>
      <c r="L780" s="53" t="n">
        <f aca="true">NORMINV(RAND(),0,L$7)</f>
        <v>-0.616539824464633</v>
      </c>
      <c r="M780" s="53" t="n">
        <f aca="true">NORMINV(RAND(),0,M$7)</f>
        <v>-0.123043831258772</v>
      </c>
      <c r="N780" s="53" t="n">
        <f aca="true">NORMINV(RAND(),0,N$7)</f>
        <v>0.189293567175568</v>
      </c>
      <c r="O780" s="53" t="n">
        <f aca="false">SUM(J780:N780)</f>
        <v>-2.88646899463996</v>
      </c>
    </row>
    <row r="781" customFormat="false" ht="15" hidden="false" customHeight="false" outlineLevel="0" collapsed="false">
      <c r="A781" s="2" t="n">
        <v>773</v>
      </c>
      <c r="B781" s="53" t="n">
        <f aca="true">NORMINV(RAND(),0,B$7)</f>
        <v>-0.142750152989375</v>
      </c>
      <c r="C781" s="53" t="n">
        <f aca="true">NORMINV(RAND(),0,C$7)</f>
        <v>-0.954105977742007</v>
      </c>
      <c r="D781" s="53" t="n">
        <f aca="true">NORMINV(RAND(),0,D$7)</f>
        <v>-0.721040217700305</v>
      </c>
      <c r="E781" s="53" t="n">
        <f aca="true">NORMINV(RAND(),0,E$7)</f>
        <v>-0.984385231893589</v>
      </c>
      <c r="F781" s="53" t="n">
        <f aca="true">NORMINV(RAND(),0,F$7)</f>
        <v>0.105942674150706</v>
      </c>
      <c r="G781" s="53" t="n">
        <f aca="true">NORMINV(RAND(),0,G$7)</f>
        <v>1.13261873009285</v>
      </c>
      <c r="H781" s="53" t="n">
        <f aca="true">NORMINV(RAND(),0,H$7)</f>
        <v>0.476601256714664</v>
      </c>
      <c r="I781" s="53" t="n">
        <f aca="false">SUM(B781:H781)</f>
        <v>-1.08711891936706</v>
      </c>
      <c r="J781" s="53" t="n">
        <f aca="true">NORMINV(RAND(),0,J$7)</f>
        <v>1.85329716218533</v>
      </c>
      <c r="K781" s="53" t="n">
        <f aca="true">NORMINV(RAND(),0,K$7)</f>
        <v>0.0649496751579629</v>
      </c>
      <c r="L781" s="53" t="n">
        <f aca="true">NORMINV(RAND(),0,L$7)</f>
        <v>0.43360048363967</v>
      </c>
      <c r="M781" s="53" t="n">
        <f aca="true">NORMINV(RAND(),0,M$7)</f>
        <v>0.310529879798115</v>
      </c>
      <c r="N781" s="53" t="n">
        <f aca="true">NORMINV(RAND(),0,N$7)</f>
        <v>-0.827701420347101</v>
      </c>
      <c r="O781" s="53" t="n">
        <f aca="false">SUM(J781:N781)</f>
        <v>1.83467578043398</v>
      </c>
    </row>
    <row r="782" customFormat="false" ht="15" hidden="false" customHeight="false" outlineLevel="0" collapsed="false">
      <c r="A782" s="2" t="n">
        <v>774</v>
      </c>
      <c r="B782" s="53" t="n">
        <f aca="true">NORMINV(RAND(),0,B$7)</f>
        <v>0.667642112744246</v>
      </c>
      <c r="C782" s="53" t="n">
        <f aca="true">NORMINV(RAND(),0,C$7)</f>
        <v>-0.468003056430551</v>
      </c>
      <c r="D782" s="53" t="n">
        <f aca="true">NORMINV(RAND(),0,D$7)</f>
        <v>1.26878872663288</v>
      </c>
      <c r="E782" s="53" t="n">
        <f aca="true">NORMINV(RAND(),0,E$7)</f>
        <v>0.150140997155029</v>
      </c>
      <c r="F782" s="53" t="n">
        <f aca="true">NORMINV(RAND(),0,F$7)</f>
        <v>-0.416229070736294</v>
      </c>
      <c r="G782" s="53" t="n">
        <f aca="true">NORMINV(RAND(),0,G$7)</f>
        <v>-0.90410701603</v>
      </c>
      <c r="H782" s="53" t="n">
        <f aca="true">NORMINV(RAND(),0,H$7)</f>
        <v>-0.247417764435627</v>
      </c>
      <c r="I782" s="53" t="n">
        <f aca="false">SUM(B782:H782)</f>
        <v>0.0508149288996804</v>
      </c>
      <c r="J782" s="53" t="n">
        <f aca="true">NORMINV(RAND(),0,J$7)</f>
        <v>0.470301509535149</v>
      </c>
      <c r="K782" s="53" t="n">
        <f aca="true">NORMINV(RAND(),0,K$7)</f>
        <v>-0.210929889363006</v>
      </c>
      <c r="L782" s="53" t="n">
        <f aca="true">NORMINV(RAND(),0,L$7)</f>
        <v>-0.493237074660285</v>
      </c>
      <c r="M782" s="53" t="n">
        <f aca="true">NORMINV(RAND(),0,M$7)</f>
        <v>0.00445735299947524</v>
      </c>
      <c r="N782" s="53" t="n">
        <f aca="true">NORMINV(RAND(),0,N$7)</f>
        <v>0.436762080511413</v>
      </c>
      <c r="O782" s="53" t="n">
        <f aca="false">SUM(J782:N782)</f>
        <v>0.207353979022747</v>
      </c>
    </row>
    <row r="783" customFormat="false" ht="15" hidden="false" customHeight="false" outlineLevel="0" collapsed="false">
      <c r="A783" s="2" t="n">
        <v>775</v>
      </c>
      <c r="B783" s="53" t="n">
        <f aca="true">NORMINV(RAND(),0,B$7)</f>
        <v>0.0832677249335868</v>
      </c>
      <c r="C783" s="53" t="n">
        <f aca="true">NORMINV(RAND(),0,C$7)</f>
        <v>-0.521316337506865</v>
      </c>
      <c r="D783" s="53" t="n">
        <f aca="true">NORMINV(RAND(),0,D$7)</f>
        <v>-1.05435350749752</v>
      </c>
      <c r="E783" s="53" t="n">
        <f aca="true">NORMINV(RAND(),0,E$7)</f>
        <v>-0.0897954789575732</v>
      </c>
      <c r="F783" s="53" t="n">
        <f aca="true">NORMINV(RAND(),0,F$7)</f>
        <v>-0.501350017080882</v>
      </c>
      <c r="G783" s="53" t="n">
        <f aca="true">NORMINV(RAND(),0,G$7)</f>
        <v>-1.31049969280648</v>
      </c>
      <c r="H783" s="53" t="n">
        <f aca="true">NORMINV(RAND(),0,H$7)</f>
        <v>0.519254758576478</v>
      </c>
      <c r="I783" s="53" t="n">
        <f aca="false">SUM(B783:H783)</f>
        <v>-2.87479255033926</v>
      </c>
      <c r="J783" s="53" t="n">
        <f aca="true">NORMINV(RAND(),0,J$7)</f>
        <v>2.05661693109356</v>
      </c>
      <c r="K783" s="53" t="n">
        <f aca="true">NORMINV(RAND(),0,K$7)</f>
        <v>-0.298780994745442</v>
      </c>
      <c r="L783" s="53" t="n">
        <f aca="true">NORMINV(RAND(),0,L$7)</f>
        <v>-0.236522654442163</v>
      </c>
      <c r="M783" s="53" t="n">
        <f aca="true">NORMINV(RAND(),0,M$7)</f>
        <v>0.166021399692717</v>
      </c>
      <c r="N783" s="53" t="n">
        <f aca="true">NORMINV(RAND(),0,N$7)</f>
        <v>0.317776594702238</v>
      </c>
      <c r="O783" s="53" t="n">
        <f aca="false">SUM(J783:N783)</f>
        <v>2.00511127630091</v>
      </c>
    </row>
    <row r="784" customFormat="false" ht="15" hidden="false" customHeight="false" outlineLevel="0" collapsed="false">
      <c r="A784" s="2" t="n">
        <v>776</v>
      </c>
      <c r="B784" s="53" t="n">
        <f aca="true">NORMINV(RAND(),0,B$7)</f>
        <v>-1.43422603166341</v>
      </c>
      <c r="C784" s="53" t="n">
        <f aca="true">NORMINV(RAND(),0,C$7)</f>
        <v>1.7423648792402</v>
      </c>
      <c r="D784" s="53" t="n">
        <f aca="true">NORMINV(RAND(),0,D$7)</f>
        <v>0.159303391095695</v>
      </c>
      <c r="E784" s="53" t="n">
        <f aca="true">NORMINV(RAND(),0,E$7)</f>
        <v>0.169811257741492</v>
      </c>
      <c r="F784" s="53" t="n">
        <f aca="true">NORMINV(RAND(),0,F$7)</f>
        <v>0.14755181996626</v>
      </c>
      <c r="G784" s="53" t="n">
        <f aca="true">NORMINV(RAND(),0,G$7)</f>
        <v>-1.20232234336649</v>
      </c>
      <c r="H784" s="53" t="n">
        <f aca="true">NORMINV(RAND(),0,H$7)</f>
        <v>-0.25200155482112</v>
      </c>
      <c r="I784" s="53" t="n">
        <f aca="false">SUM(B784:H784)</f>
        <v>-0.66951858180738</v>
      </c>
      <c r="J784" s="53" t="n">
        <f aca="true">NORMINV(RAND(),0,J$7)</f>
        <v>0.129797100917456</v>
      </c>
      <c r="K784" s="53" t="n">
        <f aca="true">NORMINV(RAND(),0,K$7)</f>
        <v>-0.145872628533754</v>
      </c>
      <c r="L784" s="53" t="n">
        <f aca="true">NORMINV(RAND(),0,L$7)</f>
        <v>0.221340417088149</v>
      </c>
      <c r="M784" s="53" t="n">
        <f aca="true">NORMINV(RAND(),0,M$7)</f>
        <v>-0.274501896683323</v>
      </c>
      <c r="N784" s="53" t="n">
        <f aca="true">NORMINV(RAND(),0,N$7)</f>
        <v>0.139427958475624</v>
      </c>
      <c r="O784" s="53" t="n">
        <f aca="false">SUM(J784:N784)</f>
        <v>0.0701909512641523</v>
      </c>
    </row>
    <row r="785" customFormat="false" ht="15" hidden="false" customHeight="false" outlineLevel="0" collapsed="false">
      <c r="A785" s="2" t="n">
        <v>777</v>
      </c>
      <c r="B785" s="53" t="n">
        <f aca="true">NORMINV(RAND(),0,B$7)</f>
        <v>0.26298347011032</v>
      </c>
      <c r="C785" s="53" t="n">
        <f aca="true">NORMINV(RAND(),0,C$7)</f>
        <v>0.5112367810465</v>
      </c>
      <c r="D785" s="53" t="n">
        <f aca="true">NORMINV(RAND(),0,D$7)</f>
        <v>-2.58119930029605</v>
      </c>
      <c r="E785" s="53" t="n">
        <f aca="true">NORMINV(RAND(),0,E$7)</f>
        <v>0.00226829963389997</v>
      </c>
      <c r="F785" s="53" t="n">
        <f aca="true">NORMINV(RAND(),0,F$7)</f>
        <v>0.238757887086316</v>
      </c>
      <c r="G785" s="53" t="n">
        <f aca="true">NORMINV(RAND(),0,G$7)</f>
        <v>0.213291897544167</v>
      </c>
      <c r="H785" s="53" t="n">
        <f aca="true">NORMINV(RAND(),0,H$7)</f>
        <v>-0.239569146864186</v>
      </c>
      <c r="I785" s="53" t="n">
        <f aca="false">SUM(B785:H785)</f>
        <v>-1.59223011173904</v>
      </c>
      <c r="J785" s="53" t="n">
        <f aca="true">NORMINV(RAND(),0,J$7)</f>
        <v>-1.78487818904759</v>
      </c>
      <c r="K785" s="53" t="n">
        <f aca="true">NORMINV(RAND(),0,K$7)</f>
        <v>-0.0937028045735357</v>
      </c>
      <c r="L785" s="53" t="n">
        <f aca="true">NORMINV(RAND(),0,L$7)</f>
        <v>0.305649594150688</v>
      </c>
      <c r="M785" s="53" t="n">
        <f aca="true">NORMINV(RAND(),0,M$7)</f>
        <v>0.0162455582133324</v>
      </c>
      <c r="N785" s="53" t="n">
        <f aca="true">NORMINV(RAND(),0,N$7)</f>
        <v>0.138404952648301</v>
      </c>
      <c r="O785" s="53" t="n">
        <f aca="false">SUM(J785:N785)</f>
        <v>-1.41828088860881</v>
      </c>
    </row>
    <row r="786" customFormat="false" ht="15" hidden="false" customHeight="false" outlineLevel="0" collapsed="false">
      <c r="A786" s="2" t="n">
        <v>778</v>
      </c>
      <c r="B786" s="53" t="n">
        <f aca="true">NORMINV(RAND(),0,B$7)</f>
        <v>-0.236616599343476</v>
      </c>
      <c r="C786" s="53" t="n">
        <f aca="true">NORMINV(RAND(),0,C$7)</f>
        <v>0.469898654311935</v>
      </c>
      <c r="D786" s="53" t="n">
        <f aca="true">NORMINV(RAND(),0,D$7)</f>
        <v>-0.138896474023713</v>
      </c>
      <c r="E786" s="53" t="n">
        <f aca="true">NORMINV(RAND(),0,E$7)</f>
        <v>0.0523267814266033</v>
      </c>
      <c r="F786" s="53" t="n">
        <f aca="true">NORMINV(RAND(),0,F$7)</f>
        <v>-0.367131197831146</v>
      </c>
      <c r="G786" s="53" t="n">
        <f aca="true">NORMINV(RAND(),0,G$7)</f>
        <v>-0.891445409824295</v>
      </c>
      <c r="H786" s="53" t="n">
        <f aca="true">NORMINV(RAND(),0,H$7)</f>
        <v>-0.79564192122502</v>
      </c>
      <c r="I786" s="53" t="n">
        <f aca="false">SUM(B786:H786)</f>
        <v>-1.90750616650911</v>
      </c>
      <c r="J786" s="53" t="n">
        <f aca="true">NORMINV(RAND(),0,J$7)</f>
        <v>2.1299454668072</v>
      </c>
      <c r="K786" s="53" t="n">
        <f aca="true">NORMINV(RAND(),0,K$7)</f>
        <v>0.05938696190747</v>
      </c>
      <c r="L786" s="53" t="n">
        <f aca="true">NORMINV(RAND(),0,L$7)</f>
        <v>-0.0162494007908835</v>
      </c>
      <c r="M786" s="53" t="n">
        <f aca="true">NORMINV(RAND(),0,M$7)</f>
        <v>0.204329385995958</v>
      </c>
      <c r="N786" s="53" t="n">
        <f aca="true">NORMINV(RAND(),0,N$7)</f>
        <v>-0.435749069199752</v>
      </c>
      <c r="O786" s="53" t="n">
        <f aca="false">SUM(J786:N786)</f>
        <v>1.94166334471999</v>
      </c>
    </row>
    <row r="787" customFormat="false" ht="15" hidden="false" customHeight="false" outlineLevel="0" collapsed="false">
      <c r="A787" s="2" t="n">
        <v>779</v>
      </c>
      <c r="B787" s="53" t="n">
        <f aca="true">NORMINV(RAND(),0,B$7)</f>
        <v>-1.57978761016631</v>
      </c>
      <c r="C787" s="53" t="n">
        <f aca="true">NORMINV(RAND(),0,C$7)</f>
        <v>0.104657408939217</v>
      </c>
      <c r="D787" s="53" t="n">
        <f aca="true">NORMINV(RAND(),0,D$7)</f>
        <v>0.733970443540171</v>
      </c>
      <c r="E787" s="53" t="n">
        <f aca="true">NORMINV(RAND(),0,E$7)</f>
        <v>-0.11785447419567</v>
      </c>
      <c r="F787" s="53" t="n">
        <f aca="true">NORMINV(RAND(),0,F$7)</f>
        <v>0.00140829671687301</v>
      </c>
      <c r="G787" s="53" t="n">
        <f aca="true">NORMINV(RAND(),0,G$7)</f>
        <v>-0.110119870066045</v>
      </c>
      <c r="H787" s="53" t="n">
        <f aca="true">NORMINV(RAND(),0,H$7)</f>
        <v>0.281027101275967</v>
      </c>
      <c r="I787" s="53" t="n">
        <f aca="false">SUM(B787:H787)</f>
        <v>-0.686698703955802</v>
      </c>
      <c r="J787" s="53" t="n">
        <f aca="true">NORMINV(RAND(),0,J$7)</f>
        <v>-0.987801901260201</v>
      </c>
      <c r="K787" s="53" t="n">
        <f aca="true">NORMINV(RAND(),0,K$7)</f>
        <v>-0.644181254685578</v>
      </c>
      <c r="L787" s="53" t="n">
        <f aca="true">NORMINV(RAND(),0,L$7)</f>
        <v>0.1007292275524</v>
      </c>
      <c r="M787" s="53" t="n">
        <f aca="true">NORMINV(RAND(),0,M$7)</f>
        <v>-0.227896902791004</v>
      </c>
      <c r="N787" s="53" t="n">
        <f aca="true">NORMINV(RAND(),0,N$7)</f>
        <v>-0.0931324531382436</v>
      </c>
      <c r="O787" s="53" t="n">
        <f aca="false">SUM(J787:N787)</f>
        <v>-1.85228328432263</v>
      </c>
    </row>
    <row r="788" customFormat="false" ht="15" hidden="false" customHeight="false" outlineLevel="0" collapsed="false">
      <c r="A788" s="2" t="n">
        <v>780</v>
      </c>
      <c r="B788" s="53" t="n">
        <f aca="true">NORMINV(RAND(),0,B$7)</f>
        <v>-1.35852898659792</v>
      </c>
      <c r="C788" s="53" t="n">
        <f aca="true">NORMINV(RAND(),0,C$7)</f>
        <v>-2.74756821361604</v>
      </c>
      <c r="D788" s="53" t="n">
        <f aca="true">NORMINV(RAND(),0,D$7)</f>
        <v>-0.431733312974154</v>
      </c>
      <c r="E788" s="53" t="n">
        <f aca="true">NORMINV(RAND(),0,E$7)</f>
        <v>0.135385535901941</v>
      </c>
      <c r="F788" s="53" t="n">
        <f aca="true">NORMINV(RAND(),0,F$7)</f>
        <v>-0.226448954965848</v>
      </c>
      <c r="G788" s="53" t="n">
        <f aca="true">NORMINV(RAND(),0,G$7)</f>
        <v>3.79066840077017</v>
      </c>
      <c r="H788" s="53" t="n">
        <f aca="true">NORMINV(RAND(),0,H$7)</f>
        <v>-0.458578599735145</v>
      </c>
      <c r="I788" s="53" t="n">
        <f aca="false">SUM(B788:H788)</f>
        <v>-1.296804131217</v>
      </c>
      <c r="J788" s="53" t="n">
        <f aca="true">NORMINV(RAND(),0,J$7)</f>
        <v>-0.921485428400059</v>
      </c>
      <c r="K788" s="53" t="n">
        <f aca="true">NORMINV(RAND(),0,K$7)</f>
        <v>-0.0649488694254526</v>
      </c>
      <c r="L788" s="53" t="n">
        <f aca="true">NORMINV(RAND(),0,L$7)</f>
        <v>-0.0747771284157826</v>
      </c>
      <c r="M788" s="53" t="n">
        <f aca="true">NORMINV(RAND(),0,M$7)</f>
        <v>0.0535141173574279</v>
      </c>
      <c r="N788" s="53" t="n">
        <f aca="true">NORMINV(RAND(),0,N$7)</f>
        <v>-0.53210015120669</v>
      </c>
      <c r="O788" s="53" t="n">
        <f aca="false">SUM(J788:N788)</f>
        <v>-1.53979746009056</v>
      </c>
    </row>
    <row r="789" customFormat="false" ht="15" hidden="false" customHeight="false" outlineLevel="0" collapsed="false">
      <c r="A789" s="2" t="n">
        <v>781</v>
      </c>
      <c r="B789" s="53" t="n">
        <f aca="true">NORMINV(RAND(),0,B$7)</f>
        <v>0.803879324783963</v>
      </c>
      <c r="C789" s="53" t="n">
        <f aca="true">NORMINV(RAND(),0,C$7)</f>
        <v>0.15683369772265</v>
      </c>
      <c r="D789" s="53" t="n">
        <f aca="true">NORMINV(RAND(),0,D$7)</f>
        <v>-1.00970101967901</v>
      </c>
      <c r="E789" s="53" t="n">
        <f aca="true">NORMINV(RAND(),0,E$7)</f>
        <v>-0.247389285033975</v>
      </c>
      <c r="F789" s="53" t="n">
        <f aca="true">NORMINV(RAND(),0,F$7)</f>
        <v>0.168832475122964</v>
      </c>
      <c r="G789" s="53" t="n">
        <f aca="true">NORMINV(RAND(),0,G$7)</f>
        <v>-0.901407860115404</v>
      </c>
      <c r="H789" s="53" t="n">
        <f aca="true">NORMINV(RAND(),0,H$7)</f>
        <v>0.126570780949384</v>
      </c>
      <c r="I789" s="53" t="n">
        <f aca="false">SUM(B789:H789)</f>
        <v>-0.902381886249428</v>
      </c>
      <c r="J789" s="53" t="n">
        <f aca="true">NORMINV(RAND(),0,J$7)</f>
        <v>-1.75213838801657</v>
      </c>
      <c r="K789" s="53" t="n">
        <f aca="true">NORMINV(RAND(),0,K$7)</f>
        <v>0.507732635649918</v>
      </c>
      <c r="L789" s="53" t="n">
        <f aca="true">NORMINV(RAND(),0,L$7)</f>
        <v>-0.249977948776551</v>
      </c>
      <c r="M789" s="53" t="n">
        <f aca="true">NORMINV(RAND(),0,M$7)</f>
        <v>-0.137316364921345</v>
      </c>
      <c r="N789" s="53" t="n">
        <f aca="true">NORMINV(RAND(),0,N$7)</f>
        <v>-0.0921378610509681</v>
      </c>
      <c r="O789" s="53" t="n">
        <f aca="false">SUM(J789:N789)</f>
        <v>-1.72383792711552</v>
      </c>
    </row>
    <row r="790" customFormat="false" ht="15" hidden="false" customHeight="false" outlineLevel="0" collapsed="false">
      <c r="A790" s="2" t="n">
        <v>782</v>
      </c>
      <c r="B790" s="53" t="n">
        <f aca="true">NORMINV(RAND(),0,B$7)</f>
        <v>2.55785424515546</v>
      </c>
      <c r="C790" s="53" t="n">
        <f aca="true">NORMINV(RAND(),0,C$7)</f>
        <v>0.568152572691606</v>
      </c>
      <c r="D790" s="53" t="n">
        <f aca="true">NORMINV(RAND(),0,D$7)</f>
        <v>0.946215343988472</v>
      </c>
      <c r="E790" s="53" t="n">
        <f aca="true">NORMINV(RAND(),0,E$7)</f>
        <v>-0.736882567027106</v>
      </c>
      <c r="F790" s="53" t="n">
        <f aca="true">NORMINV(RAND(),0,F$7)</f>
        <v>0.488983866101018</v>
      </c>
      <c r="G790" s="53" t="n">
        <f aca="true">NORMINV(RAND(),0,G$7)</f>
        <v>-0.722823501012086</v>
      </c>
      <c r="H790" s="53" t="n">
        <f aca="true">NORMINV(RAND(),0,H$7)</f>
        <v>0.425477338433594</v>
      </c>
      <c r="I790" s="53" t="n">
        <f aca="false">SUM(B790:H790)</f>
        <v>3.52697729833096</v>
      </c>
      <c r="J790" s="53" t="n">
        <f aca="true">NORMINV(RAND(),0,J$7)</f>
        <v>-1.50470485799133</v>
      </c>
      <c r="K790" s="53" t="n">
        <f aca="true">NORMINV(RAND(),0,K$7)</f>
        <v>0.95059286697142</v>
      </c>
      <c r="L790" s="53" t="n">
        <f aca="true">NORMINV(RAND(),0,L$7)</f>
        <v>0.305162258411149</v>
      </c>
      <c r="M790" s="53" t="n">
        <f aca="true">NORMINV(RAND(),0,M$7)</f>
        <v>-0.161040574875896</v>
      </c>
      <c r="N790" s="53" t="n">
        <f aca="true">NORMINV(RAND(),0,N$7)</f>
        <v>0.0437542926549245</v>
      </c>
      <c r="O790" s="53" t="n">
        <f aca="false">SUM(J790:N790)</f>
        <v>-0.366236014829731</v>
      </c>
    </row>
    <row r="791" customFormat="false" ht="15" hidden="false" customHeight="false" outlineLevel="0" collapsed="false">
      <c r="A791" s="2" t="n">
        <v>783</v>
      </c>
      <c r="B791" s="53" t="n">
        <f aca="true">NORMINV(RAND(),0,B$7)</f>
        <v>1.79610749646871</v>
      </c>
      <c r="C791" s="53" t="n">
        <f aca="true">NORMINV(RAND(),0,C$7)</f>
        <v>-0.738819233651969</v>
      </c>
      <c r="D791" s="53" t="n">
        <f aca="true">NORMINV(RAND(),0,D$7)</f>
        <v>0.763750046080871</v>
      </c>
      <c r="E791" s="53" t="n">
        <f aca="true">NORMINV(RAND(),0,E$7)</f>
        <v>0.19068329954263</v>
      </c>
      <c r="F791" s="53" t="n">
        <f aca="true">NORMINV(RAND(),0,F$7)</f>
        <v>0.183102592503754</v>
      </c>
      <c r="G791" s="53" t="n">
        <f aca="true">NORMINV(RAND(),0,G$7)</f>
        <v>-1.32585308267977</v>
      </c>
      <c r="H791" s="53" t="n">
        <f aca="true">NORMINV(RAND(),0,H$7)</f>
        <v>0.221743229386469</v>
      </c>
      <c r="I791" s="53" t="n">
        <f aca="false">SUM(B791:H791)</f>
        <v>1.0907143476507</v>
      </c>
      <c r="J791" s="53" t="n">
        <f aca="true">NORMINV(RAND(),0,J$7)</f>
        <v>0.87000341677027</v>
      </c>
      <c r="K791" s="53" t="n">
        <f aca="true">NORMINV(RAND(),0,K$7)</f>
        <v>-0.291470848402242</v>
      </c>
      <c r="L791" s="53" t="n">
        <f aca="true">NORMINV(RAND(),0,L$7)</f>
        <v>0.394220474331355</v>
      </c>
      <c r="M791" s="53" t="n">
        <f aca="true">NORMINV(RAND(),0,M$7)</f>
        <v>-0.147716189098561</v>
      </c>
      <c r="N791" s="53" t="n">
        <f aca="true">NORMINV(RAND(),0,N$7)</f>
        <v>-0.439388090095015</v>
      </c>
      <c r="O791" s="53" t="n">
        <f aca="false">SUM(J791:N791)</f>
        <v>0.385648763505807</v>
      </c>
    </row>
    <row r="792" customFormat="false" ht="15" hidden="false" customHeight="false" outlineLevel="0" collapsed="false">
      <c r="A792" s="2" t="n">
        <v>784</v>
      </c>
      <c r="B792" s="53" t="n">
        <f aca="true">NORMINV(RAND(),0,B$7)</f>
        <v>0.677508892210513</v>
      </c>
      <c r="C792" s="53" t="n">
        <f aca="true">NORMINV(RAND(),0,C$7)</f>
        <v>0.469098446661714</v>
      </c>
      <c r="D792" s="53" t="n">
        <f aca="true">NORMINV(RAND(),0,D$7)</f>
        <v>-0.195001883571048</v>
      </c>
      <c r="E792" s="53" t="n">
        <f aca="true">NORMINV(RAND(),0,E$7)</f>
        <v>-0.348651093982684</v>
      </c>
      <c r="F792" s="53" t="n">
        <f aca="true">NORMINV(RAND(),0,F$7)</f>
        <v>0.478826693747957</v>
      </c>
      <c r="G792" s="53" t="n">
        <f aca="true">NORMINV(RAND(),0,G$7)</f>
        <v>-0.206376555720223</v>
      </c>
      <c r="H792" s="53" t="n">
        <f aca="true">NORMINV(RAND(),0,H$7)</f>
        <v>0.0989434864472228</v>
      </c>
      <c r="I792" s="53" t="n">
        <f aca="false">SUM(B792:H792)</f>
        <v>0.974347985793451</v>
      </c>
      <c r="J792" s="53" t="n">
        <f aca="true">NORMINV(RAND(),0,J$7)</f>
        <v>-1.91110768107725</v>
      </c>
      <c r="K792" s="53" t="n">
        <f aca="true">NORMINV(RAND(),0,K$7)</f>
        <v>-0.610669945330253</v>
      </c>
      <c r="L792" s="53" t="n">
        <f aca="true">NORMINV(RAND(),0,L$7)</f>
        <v>-0.232030270148305</v>
      </c>
      <c r="M792" s="53" t="n">
        <f aca="true">NORMINV(RAND(),0,M$7)</f>
        <v>-0.126746455486826</v>
      </c>
      <c r="N792" s="53" t="n">
        <f aca="true">NORMINV(RAND(),0,N$7)</f>
        <v>0.185275415882948</v>
      </c>
      <c r="O792" s="53" t="n">
        <f aca="false">SUM(J792:N792)</f>
        <v>-2.69527893615968</v>
      </c>
    </row>
    <row r="793" customFormat="false" ht="15" hidden="false" customHeight="false" outlineLevel="0" collapsed="false">
      <c r="A793" s="2" t="n">
        <v>785</v>
      </c>
      <c r="B793" s="53" t="n">
        <f aca="true">NORMINV(RAND(),0,B$7)</f>
        <v>1.88044358859266</v>
      </c>
      <c r="C793" s="53" t="n">
        <f aca="true">NORMINV(RAND(),0,C$7)</f>
        <v>0.189334912169684</v>
      </c>
      <c r="D793" s="53" t="n">
        <f aca="true">NORMINV(RAND(),0,D$7)</f>
        <v>-0.98137631053515</v>
      </c>
      <c r="E793" s="53" t="n">
        <f aca="true">NORMINV(RAND(),0,E$7)</f>
        <v>-1.22621958344307</v>
      </c>
      <c r="F793" s="53" t="n">
        <f aca="true">NORMINV(RAND(),0,F$7)</f>
        <v>0.42506434859337</v>
      </c>
      <c r="G793" s="53" t="n">
        <f aca="true">NORMINV(RAND(),0,G$7)</f>
        <v>1.23172450708836</v>
      </c>
      <c r="H793" s="53" t="n">
        <f aca="true">NORMINV(RAND(),0,H$7)</f>
        <v>0.321981961601112</v>
      </c>
      <c r="I793" s="53" t="n">
        <f aca="false">SUM(B793:H793)</f>
        <v>1.84095342406696</v>
      </c>
      <c r="J793" s="53" t="n">
        <f aca="true">NORMINV(RAND(),0,J$7)</f>
        <v>-3.39158299755573</v>
      </c>
      <c r="K793" s="53" t="n">
        <f aca="true">NORMINV(RAND(),0,K$7)</f>
        <v>-0.721462879581327</v>
      </c>
      <c r="L793" s="53" t="n">
        <f aca="true">NORMINV(RAND(),0,L$7)</f>
        <v>-0.077136194377609</v>
      </c>
      <c r="M793" s="53" t="n">
        <f aca="true">NORMINV(RAND(),0,M$7)</f>
        <v>0.0264126994389225</v>
      </c>
      <c r="N793" s="53" t="n">
        <f aca="true">NORMINV(RAND(),0,N$7)</f>
        <v>0.244658666060282</v>
      </c>
      <c r="O793" s="53" t="n">
        <f aca="false">SUM(J793:N793)</f>
        <v>-3.91911070601546</v>
      </c>
    </row>
    <row r="794" customFormat="false" ht="15" hidden="false" customHeight="false" outlineLevel="0" collapsed="false">
      <c r="A794" s="2" t="n">
        <v>786</v>
      </c>
      <c r="B794" s="53" t="n">
        <f aca="true">NORMINV(RAND(),0,B$7)</f>
        <v>1.68805575245031</v>
      </c>
      <c r="C794" s="53" t="n">
        <f aca="true">NORMINV(RAND(),0,C$7)</f>
        <v>2.54841463712226</v>
      </c>
      <c r="D794" s="53" t="n">
        <f aca="true">NORMINV(RAND(),0,D$7)</f>
        <v>-0.112796524375949</v>
      </c>
      <c r="E794" s="53" t="n">
        <f aca="true">NORMINV(RAND(),0,E$7)</f>
        <v>-0.292107696042247</v>
      </c>
      <c r="F794" s="53" t="n">
        <f aca="true">NORMINV(RAND(),0,F$7)</f>
        <v>-0.216982642485159</v>
      </c>
      <c r="G794" s="53" t="n">
        <f aca="true">NORMINV(RAND(),0,G$7)</f>
        <v>0.472132317729946</v>
      </c>
      <c r="H794" s="53" t="n">
        <f aca="true">NORMINV(RAND(),0,H$7)</f>
        <v>-0.135678482095201</v>
      </c>
      <c r="I794" s="53" t="n">
        <f aca="false">SUM(B794:H794)</f>
        <v>3.95103736230397</v>
      </c>
      <c r="J794" s="53" t="n">
        <f aca="true">NORMINV(RAND(),0,J$7)</f>
        <v>3.42886178431029</v>
      </c>
      <c r="K794" s="53" t="n">
        <f aca="true">NORMINV(RAND(),0,K$7)</f>
        <v>-0.714160146077746</v>
      </c>
      <c r="L794" s="53" t="n">
        <f aca="true">NORMINV(RAND(),0,L$7)</f>
        <v>-0.0694668405423034</v>
      </c>
      <c r="M794" s="53" t="n">
        <f aca="true">NORMINV(RAND(),0,M$7)</f>
        <v>0.0409335470170563</v>
      </c>
      <c r="N794" s="53" t="n">
        <f aca="true">NORMINV(RAND(),0,N$7)</f>
        <v>0.363537399582737</v>
      </c>
      <c r="O794" s="53" t="n">
        <f aca="false">SUM(J794:N794)</f>
        <v>3.04970574429003</v>
      </c>
    </row>
    <row r="795" customFormat="false" ht="15" hidden="false" customHeight="false" outlineLevel="0" collapsed="false">
      <c r="A795" s="2" t="n">
        <v>787</v>
      </c>
      <c r="B795" s="53" t="n">
        <f aca="true">NORMINV(RAND(),0,B$7)</f>
        <v>0.272431554217972</v>
      </c>
      <c r="C795" s="53" t="n">
        <f aca="true">NORMINV(RAND(),0,C$7)</f>
        <v>2.31698383611897</v>
      </c>
      <c r="D795" s="53" t="n">
        <f aca="true">NORMINV(RAND(),0,D$7)</f>
        <v>1.27937032422317</v>
      </c>
      <c r="E795" s="53" t="n">
        <f aca="true">NORMINV(RAND(),0,E$7)</f>
        <v>-0.412320093802973</v>
      </c>
      <c r="F795" s="53" t="n">
        <f aca="true">NORMINV(RAND(),0,F$7)</f>
        <v>-0.215540681922911</v>
      </c>
      <c r="G795" s="53" t="n">
        <f aca="true">NORMINV(RAND(),0,G$7)</f>
        <v>0.60631876746881</v>
      </c>
      <c r="H795" s="53" t="n">
        <f aca="true">NORMINV(RAND(),0,H$7)</f>
        <v>0.266574681793806</v>
      </c>
      <c r="I795" s="53" t="n">
        <f aca="false">SUM(B795:H795)</f>
        <v>4.11381838809685</v>
      </c>
      <c r="J795" s="53" t="n">
        <f aca="true">NORMINV(RAND(),0,J$7)</f>
        <v>1.81305392238432</v>
      </c>
      <c r="K795" s="53" t="n">
        <f aca="true">NORMINV(RAND(),0,K$7)</f>
        <v>1.02794473914246</v>
      </c>
      <c r="L795" s="53" t="n">
        <f aca="true">NORMINV(RAND(),0,L$7)</f>
        <v>0.602953401763733</v>
      </c>
      <c r="M795" s="53" t="n">
        <f aca="true">NORMINV(RAND(),0,M$7)</f>
        <v>-0.143171035438993</v>
      </c>
      <c r="N795" s="53" t="n">
        <f aca="true">NORMINV(RAND(),0,N$7)</f>
        <v>0.00298899833402575</v>
      </c>
      <c r="O795" s="53" t="n">
        <f aca="false">SUM(J795:N795)</f>
        <v>3.30377002618555</v>
      </c>
    </row>
    <row r="796" customFormat="false" ht="15" hidden="false" customHeight="false" outlineLevel="0" collapsed="false">
      <c r="A796" s="2" t="n">
        <v>788</v>
      </c>
      <c r="B796" s="53" t="n">
        <f aca="true">NORMINV(RAND(),0,B$7)</f>
        <v>-2.77444628431992</v>
      </c>
      <c r="C796" s="53" t="n">
        <f aca="true">NORMINV(RAND(),0,C$7)</f>
        <v>-1.67481864924854</v>
      </c>
      <c r="D796" s="53" t="n">
        <f aca="true">NORMINV(RAND(),0,D$7)</f>
        <v>2.30098061081682</v>
      </c>
      <c r="E796" s="53" t="n">
        <f aca="true">NORMINV(RAND(),0,E$7)</f>
        <v>0.0265631739857146</v>
      </c>
      <c r="F796" s="53" t="n">
        <f aca="true">NORMINV(RAND(),0,F$7)</f>
        <v>-0.187836233619701</v>
      </c>
      <c r="G796" s="53" t="n">
        <f aca="true">NORMINV(RAND(),0,G$7)</f>
        <v>-1.49478365387572</v>
      </c>
      <c r="H796" s="53" t="n">
        <f aca="true">NORMINV(RAND(),0,H$7)</f>
        <v>-0.0414454940868222</v>
      </c>
      <c r="I796" s="53" t="n">
        <f aca="false">SUM(B796:H796)</f>
        <v>-3.84578653034818</v>
      </c>
      <c r="J796" s="53" t="n">
        <f aca="true">NORMINV(RAND(),0,J$7)</f>
        <v>2.16404237017466</v>
      </c>
      <c r="K796" s="53" t="n">
        <f aca="true">NORMINV(RAND(),0,K$7)</f>
        <v>-0.176360384785633</v>
      </c>
      <c r="L796" s="53" t="n">
        <f aca="true">NORMINV(RAND(),0,L$7)</f>
        <v>-0.0557294266647099</v>
      </c>
      <c r="M796" s="53" t="n">
        <f aca="true">NORMINV(RAND(),0,M$7)</f>
        <v>-0.374864834549714</v>
      </c>
      <c r="N796" s="53" t="n">
        <f aca="true">NORMINV(RAND(),0,N$7)</f>
        <v>-0.199997972411716</v>
      </c>
      <c r="O796" s="53" t="n">
        <f aca="false">SUM(J796:N796)</f>
        <v>1.35708975176288</v>
      </c>
    </row>
    <row r="797" customFormat="false" ht="15" hidden="false" customHeight="false" outlineLevel="0" collapsed="false">
      <c r="A797" s="2" t="n">
        <v>789</v>
      </c>
      <c r="B797" s="53" t="n">
        <f aca="true">NORMINV(RAND(),0,B$7)</f>
        <v>-0.68740844766038</v>
      </c>
      <c r="C797" s="53" t="n">
        <f aca="true">NORMINV(RAND(),0,C$7)</f>
        <v>1.07393832449516</v>
      </c>
      <c r="D797" s="53" t="n">
        <f aca="true">NORMINV(RAND(),0,D$7)</f>
        <v>2.73180472802955</v>
      </c>
      <c r="E797" s="53" t="n">
        <f aca="true">NORMINV(RAND(),0,E$7)</f>
        <v>-0.170140610955099</v>
      </c>
      <c r="F797" s="53" t="n">
        <f aca="true">NORMINV(RAND(),0,F$7)</f>
        <v>0.0646982785752258</v>
      </c>
      <c r="G797" s="53" t="n">
        <f aca="true">NORMINV(RAND(),0,G$7)</f>
        <v>-1.65791040763143</v>
      </c>
      <c r="H797" s="53" t="n">
        <f aca="true">NORMINV(RAND(),0,H$7)</f>
        <v>0.0592478480999597</v>
      </c>
      <c r="I797" s="53" t="n">
        <f aca="false">SUM(B797:H797)</f>
        <v>1.41422971295299</v>
      </c>
      <c r="J797" s="53" t="n">
        <f aca="true">NORMINV(RAND(),0,J$7)</f>
        <v>0.355438686957203</v>
      </c>
      <c r="K797" s="53" t="n">
        <f aca="true">NORMINV(RAND(),0,K$7)</f>
        <v>0.251878693323863</v>
      </c>
      <c r="L797" s="53" t="n">
        <f aca="true">NORMINV(RAND(),0,L$7)</f>
        <v>-0.437633317708446</v>
      </c>
      <c r="M797" s="53" t="n">
        <f aca="true">NORMINV(RAND(),0,M$7)</f>
        <v>0.340009696494248</v>
      </c>
      <c r="N797" s="53" t="n">
        <f aca="true">NORMINV(RAND(),0,N$7)</f>
        <v>-0.441556020332133</v>
      </c>
      <c r="O797" s="53" t="n">
        <f aca="false">SUM(J797:N797)</f>
        <v>0.0681377387347353</v>
      </c>
    </row>
    <row r="798" customFormat="false" ht="15" hidden="false" customHeight="false" outlineLevel="0" collapsed="false">
      <c r="A798" s="2" t="n">
        <v>790</v>
      </c>
      <c r="B798" s="53" t="n">
        <f aca="true">NORMINV(RAND(),0,B$7)</f>
        <v>1.11055343835019</v>
      </c>
      <c r="C798" s="53" t="n">
        <f aca="true">NORMINV(RAND(),0,C$7)</f>
        <v>-0.557340518830055</v>
      </c>
      <c r="D798" s="53" t="n">
        <f aca="true">NORMINV(RAND(),0,D$7)</f>
        <v>0.296214588783315</v>
      </c>
      <c r="E798" s="53" t="n">
        <f aca="true">NORMINV(RAND(),0,E$7)</f>
        <v>-0.517919332821109</v>
      </c>
      <c r="F798" s="53" t="n">
        <f aca="true">NORMINV(RAND(),0,F$7)</f>
        <v>0.296358728007962</v>
      </c>
      <c r="G798" s="53" t="n">
        <f aca="true">NORMINV(RAND(),0,G$7)</f>
        <v>-0.485638862429265</v>
      </c>
      <c r="H798" s="53" t="n">
        <f aca="true">NORMINV(RAND(),0,H$7)</f>
        <v>0.374329874977548</v>
      </c>
      <c r="I798" s="53" t="n">
        <f aca="false">SUM(B798:H798)</f>
        <v>0.516557916038585</v>
      </c>
      <c r="J798" s="53" t="n">
        <f aca="true">NORMINV(RAND(),0,J$7)</f>
        <v>-0.0553243045896592</v>
      </c>
      <c r="K798" s="53" t="n">
        <f aca="true">NORMINV(RAND(),0,K$7)</f>
        <v>0.112238455329548</v>
      </c>
      <c r="L798" s="53" t="n">
        <f aca="true">NORMINV(RAND(),0,L$7)</f>
        <v>-0.287100724436287</v>
      </c>
      <c r="M798" s="53" t="n">
        <f aca="true">NORMINV(RAND(),0,M$7)</f>
        <v>0.17804514838443</v>
      </c>
      <c r="N798" s="53" t="n">
        <f aca="true">NORMINV(RAND(),0,N$7)</f>
        <v>0.236963954711265</v>
      </c>
      <c r="O798" s="53" t="n">
        <f aca="false">SUM(J798:N798)</f>
        <v>0.184822529399298</v>
      </c>
    </row>
    <row r="799" customFormat="false" ht="15" hidden="false" customHeight="false" outlineLevel="0" collapsed="false">
      <c r="A799" s="2" t="n">
        <v>791</v>
      </c>
      <c r="B799" s="53" t="n">
        <f aca="true">NORMINV(RAND(),0,B$7)</f>
        <v>-1.11585799103215</v>
      </c>
      <c r="C799" s="53" t="n">
        <f aca="true">NORMINV(RAND(),0,C$7)</f>
        <v>1.24797926494121</v>
      </c>
      <c r="D799" s="53" t="n">
        <f aca="true">NORMINV(RAND(),0,D$7)</f>
        <v>0.566135897571632</v>
      </c>
      <c r="E799" s="53" t="n">
        <f aca="true">NORMINV(RAND(),0,E$7)</f>
        <v>-0.447845443130315</v>
      </c>
      <c r="F799" s="53" t="n">
        <f aca="true">NORMINV(RAND(),0,F$7)</f>
        <v>-0.12723609050213</v>
      </c>
      <c r="G799" s="53" t="n">
        <f aca="true">NORMINV(RAND(),0,G$7)</f>
        <v>-0.461265613191589</v>
      </c>
      <c r="H799" s="53" t="n">
        <f aca="true">NORMINV(RAND(),0,H$7)</f>
        <v>0.562472445298204</v>
      </c>
      <c r="I799" s="53" t="n">
        <f aca="false">SUM(B799:H799)</f>
        <v>0.224382469954864</v>
      </c>
      <c r="J799" s="53" t="n">
        <f aca="true">NORMINV(RAND(),0,J$7)</f>
        <v>-5.2135560701611</v>
      </c>
      <c r="K799" s="53" t="n">
        <f aca="true">NORMINV(RAND(),0,K$7)</f>
        <v>0.151932330682913</v>
      </c>
      <c r="L799" s="53" t="n">
        <f aca="true">NORMINV(RAND(),0,L$7)</f>
        <v>0.106219806362799</v>
      </c>
      <c r="M799" s="53" t="n">
        <f aca="true">NORMINV(RAND(),0,M$7)</f>
        <v>0.559884591132019</v>
      </c>
      <c r="N799" s="53" t="n">
        <f aca="true">NORMINV(RAND(),0,N$7)</f>
        <v>-0.00767212115946357</v>
      </c>
      <c r="O799" s="53" t="n">
        <f aca="false">SUM(J799:N799)</f>
        <v>-4.40319146314283</v>
      </c>
    </row>
    <row r="800" customFormat="false" ht="15" hidden="false" customHeight="false" outlineLevel="0" collapsed="false">
      <c r="A800" s="2" t="n">
        <v>792</v>
      </c>
      <c r="B800" s="53" t="n">
        <f aca="true">NORMINV(RAND(),0,B$7)</f>
        <v>1.43139430013852</v>
      </c>
      <c r="C800" s="53" t="n">
        <f aca="true">NORMINV(RAND(),0,C$7)</f>
        <v>-1.34407158734308</v>
      </c>
      <c r="D800" s="53" t="n">
        <f aca="true">NORMINV(RAND(),0,D$7)</f>
        <v>-0.914304084923461</v>
      </c>
      <c r="E800" s="53" t="n">
        <f aca="true">NORMINV(RAND(),0,E$7)</f>
        <v>-0.205229692724972</v>
      </c>
      <c r="F800" s="53" t="n">
        <f aca="true">NORMINV(RAND(),0,F$7)</f>
        <v>0.134540440764953</v>
      </c>
      <c r="G800" s="53" t="n">
        <f aca="true">NORMINV(RAND(),0,G$7)</f>
        <v>0.777553538934285</v>
      </c>
      <c r="H800" s="53" t="n">
        <f aca="true">NORMINV(RAND(),0,H$7)</f>
        <v>0.358876325918583</v>
      </c>
      <c r="I800" s="53" t="n">
        <f aca="false">SUM(B800:H800)</f>
        <v>0.238759240764832</v>
      </c>
      <c r="J800" s="53" t="n">
        <f aca="true">NORMINV(RAND(),0,J$7)</f>
        <v>0.293836708230835</v>
      </c>
      <c r="K800" s="53" t="n">
        <f aca="true">NORMINV(RAND(),0,K$7)</f>
        <v>0.198501752802629</v>
      </c>
      <c r="L800" s="53" t="n">
        <f aca="true">NORMINV(RAND(),0,L$7)</f>
        <v>-0.237350501607967</v>
      </c>
      <c r="M800" s="53" t="n">
        <f aca="true">NORMINV(RAND(),0,M$7)</f>
        <v>-0.0634929610831477</v>
      </c>
      <c r="N800" s="53" t="n">
        <f aca="true">NORMINV(RAND(),0,N$7)</f>
        <v>-0.18209365001023</v>
      </c>
      <c r="O800" s="53" t="n">
        <f aca="false">SUM(J800:N800)</f>
        <v>0.00940134833211939</v>
      </c>
    </row>
    <row r="801" customFormat="false" ht="15" hidden="false" customHeight="false" outlineLevel="0" collapsed="false">
      <c r="A801" s="2" t="n">
        <v>793</v>
      </c>
      <c r="B801" s="53" t="n">
        <f aca="true">NORMINV(RAND(),0,B$7)</f>
        <v>-0.17615002893177</v>
      </c>
      <c r="C801" s="53" t="n">
        <f aca="true">NORMINV(RAND(),0,C$7)</f>
        <v>-1.13592612673225</v>
      </c>
      <c r="D801" s="53" t="n">
        <f aca="true">NORMINV(RAND(),0,D$7)</f>
        <v>0.349163312324155</v>
      </c>
      <c r="E801" s="53" t="n">
        <f aca="true">NORMINV(RAND(),0,E$7)</f>
        <v>0.16473696932575</v>
      </c>
      <c r="F801" s="53" t="n">
        <f aca="true">NORMINV(RAND(),0,F$7)</f>
        <v>0.045961951293442</v>
      </c>
      <c r="G801" s="53" t="n">
        <f aca="true">NORMINV(RAND(),0,G$7)</f>
        <v>0.138328889859616</v>
      </c>
      <c r="H801" s="53" t="n">
        <f aca="true">NORMINV(RAND(),0,H$7)</f>
        <v>0.154426906573709</v>
      </c>
      <c r="I801" s="53" t="n">
        <f aca="false">SUM(B801:H801)</f>
        <v>-0.459458126287348</v>
      </c>
      <c r="J801" s="53" t="n">
        <f aca="true">NORMINV(RAND(),0,J$7)</f>
        <v>0.209464673615916</v>
      </c>
      <c r="K801" s="53" t="n">
        <f aca="true">NORMINV(RAND(),0,K$7)</f>
        <v>-1.04781497525144</v>
      </c>
      <c r="L801" s="53" t="n">
        <f aca="true">NORMINV(RAND(),0,L$7)</f>
        <v>0.246180497695647</v>
      </c>
      <c r="M801" s="53" t="n">
        <f aca="true">NORMINV(RAND(),0,M$7)</f>
        <v>-0.0249699632779187</v>
      </c>
      <c r="N801" s="53" t="n">
        <f aca="true">NORMINV(RAND(),0,N$7)</f>
        <v>-0.0435062381321494</v>
      </c>
      <c r="O801" s="53" t="n">
        <f aca="false">SUM(J801:N801)</f>
        <v>-0.660646005349947</v>
      </c>
    </row>
    <row r="802" customFormat="false" ht="15" hidden="false" customHeight="false" outlineLevel="0" collapsed="false">
      <c r="A802" s="2" t="n">
        <v>794</v>
      </c>
      <c r="B802" s="53" t="n">
        <f aca="true">NORMINV(RAND(),0,B$7)</f>
        <v>-1.68604957005346</v>
      </c>
      <c r="C802" s="53" t="n">
        <f aca="true">NORMINV(RAND(),0,C$7)</f>
        <v>4.06797602103659</v>
      </c>
      <c r="D802" s="53" t="n">
        <f aca="true">NORMINV(RAND(),0,D$7)</f>
        <v>-1.69380143790245</v>
      </c>
      <c r="E802" s="53" t="n">
        <f aca="true">NORMINV(RAND(),0,E$7)</f>
        <v>0.0281381594218847</v>
      </c>
      <c r="F802" s="53" t="n">
        <f aca="true">NORMINV(RAND(),0,F$7)</f>
        <v>0.303814198639767</v>
      </c>
      <c r="G802" s="53" t="n">
        <f aca="true">NORMINV(RAND(),0,G$7)</f>
        <v>1.89443655052299</v>
      </c>
      <c r="H802" s="53" t="n">
        <f aca="true">NORMINV(RAND(),0,H$7)</f>
        <v>-0.245343126755661</v>
      </c>
      <c r="I802" s="53" t="n">
        <f aca="false">SUM(B802:H802)</f>
        <v>2.66917079490967</v>
      </c>
      <c r="J802" s="53" t="n">
        <f aca="true">NORMINV(RAND(),0,J$7)</f>
        <v>-0.924137368104073</v>
      </c>
      <c r="K802" s="53" t="n">
        <f aca="true">NORMINV(RAND(),0,K$7)</f>
        <v>0.613583681804675</v>
      </c>
      <c r="L802" s="53" t="n">
        <f aca="true">NORMINV(RAND(),0,L$7)</f>
        <v>0.198975872365055</v>
      </c>
      <c r="M802" s="53" t="n">
        <f aca="true">NORMINV(RAND(),0,M$7)</f>
        <v>-0.0642094167566895</v>
      </c>
      <c r="N802" s="53" t="n">
        <f aca="true">NORMINV(RAND(),0,N$7)</f>
        <v>-0.0586053608125749</v>
      </c>
      <c r="O802" s="53" t="n">
        <f aca="false">SUM(J802:N802)</f>
        <v>-0.234392591503607</v>
      </c>
    </row>
    <row r="803" customFormat="false" ht="15" hidden="false" customHeight="false" outlineLevel="0" collapsed="false">
      <c r="A803" s="2" t="n">
        <v>795</v>
      </c>
      <c r="B803" s="53" t="n">
        <f aca="true">NORMINV(RAND(),0,B$7)</f>
        <v>4.22084520804759</v>
      </c>
      <c r="C803" s="53" t="n">
        <f aca="true">NORMINV(RAND(),0,C$7)</f>
        <v>-0.311252558162291</v>
      </c>
      <c r="D803" s="53" t="n">
        <f aca="true">NORMINV(RAND(),0,D$7)</f>
        <v>-0.69638328092245</v>
      </c>
      <c r="E803" s="53" t="n">
        <f aca="true">NORMINV(RAND(),0,E$7)</f>
        <v>-0.377046317138273</v>
      </c>
      <c r="F803" s="53" t="n">
        <f aca="true">NORMINV(RAND(),0,F$7)</f>
        <v>-0.311642451208839</v>
      </c>
      <c r="G803" s="53" t="n">
        <f aca="true">NORMINV(RAND(),0,G$7)</f>
        <v>0.629156220308876</v>
      </c>
      <c r="H803" s="53" t="n">
        <f aca="true">NORMINV(RAND(),0,H$7)</f>
        <v>0.0303559939703198</v>
      </c>
      <c r="I803" s="53" t="n">
        <f aca="false">SUM(B803:H803)</f>
        <v>3.18403281489494</v>
      </c>
      <c r="J803" s="53" t="n">
        <f aca="true">NORMINV(RAND(),0,J$7)</f>
        <v>-4.09786383406429</v>
      </c>
      <c r="K803" s="53" t="n">
        <f aca="true">NORMINV(RAND(),0,K$7)</f>
        <v>0.0746159778524736</v>
      </c>
      <c r="L803" s="53" t="n">
        <f aca="true">NORMINV(RAND(),0,L$7)</f>
        <v>-0.00602797934379128</v>
      </c>
      <c r="M803" s="53" t="n">
        <f aca="true">NORMINV(RAND(),0,M$7)</f>
        <v>-0.134034612283516</v>
      </c>
      <c r="N803" s="53" t="n">
        <f aca="true">NORMINV(RAND(),0,N$7)</f>
        <v>-0.182886975658937</v>
      </c>
      <c r="O803" s="53" t="n">
        <f aca="false">SUM(J803:N803)</f>
        <v>-4.34619742349806</v>
      </c>
    </row>
    <row r="804" customFormat="false" ht="15" hidden="false" customHeight="false" outlineLevel="0" collapsed="false">
      <c r="A804" s="2" t="n">
        <v>796</v>
      </c>
      <c r="B804" s="53" t="n">
        <f aca="true">NORMINV(RAND(),0,B$7)</f>
        <v>-2.81092715529173</v>
      </c>
      <c r="C804" s="53" t="n">
        <f aca="true">NORMINV(RAND(),0,C$7)</f>
        <v>1.75313341604377</v>
      </c>
      <c r="D804" s="53" t="n">
        <f aca="true">NORMINV(RAND(),0,D$7)</f>
        <v>-0.37618066916469</v>
      </c>
      <c r="E804" s="53" t="n">
        <f aca="true">NORMINV(RAND(),0,E$7)</f>
        <v>0.42057415662794</v>
      </c>
      <c r="F804" s="53" t="n">
        <f aca="true">NORMINV(RAND(),0,F$7)</f>
        <v>0.303350934555623</v>
      </c>
      <c r="G804" s="53" t="n">
        <f aca="true">NORMINV(RAND(),0,G$7)</f>
        <v>-0.0252206724452806</v>
      </c>
      <c r="H804" s="53" t="n">
        <f aca="true">NORMINV(RAND(),0,H$7)</f>
        <v>0.169322538502757</v>
      </c>
      <c r="I804" s="53" t="n">
        <f aca="false">SUM(B804:H804)</f>
        <v>-0.565947451171608</v>
      </c>
      <c r="J804" s="53" t="n">
        <f aca="true">NORMINV(RAND(),0,J$7)</f>
        <v>-0.840210854348741</v>
      </c>
      <c r="K804" s="53" t="n">
        <f aca="true">NORMINV(RAND(),0,K$7)</f>
        <v>-0.34710712772167</v>
      </c>
      <c r="L804" s="53" t="n">
        <f aca="true">NORMINV(RAND(),0,L$7)</f>
        <v>0.490423583331559</v>
      </c>
      <c r="M804" s="53" t="n">
        <f aca="true">NORMINV(RAND(),0,M$7)</f>
        <v>-0.124511026832063</v>
      </c>
      <c r="N804" s="53" t="n">
        <f aca="true">NORMINV(RAND(),0,N$7)</f>
        <v>0.179305955073363</v>
      </c>
      <c r="O804" s="53" t="n">
        <f aca="false">SUM(J804:N804)</f>
        <v>-0.64209947049755</v>
      </c>
    </row>
    <row r="805" customFormat="false" ht="15" hidden="false" customHeight="false" outlineLevel="0" collapsed="false">
      <c r="A805" s="2" t="n">
        <v>797</v>
      </c>
      <c r="B805" s="53" t="n">
        <f aca="true">NORMINV(RAND(),0,B$7)</f>
        <v>0.621295194727262</v>
      </c>
      <c r="C805" s="53" t="n">
        <f aca="true">NORMINV(RAND(),0,C$7)</f>
        <v>1.45933233988795</v>
      </c>
      <c r="D805" s="53" t="n">
        <f aca="true">NORMINV(RAND(),0,D$7)</f>
        <v>0.99579730927855</v>
      </c>
      <c r="E805" s="53" t="n">
        <f aca="true">NORMINV(RAND(),0,E$7)</f>
        <v>-0.08764320142356</v>
      </c>
      <c r="F805" s="53" t="n">
        <f aca="true">NORMINV(RAND(),0,F$7)</f>
        <v>-0.497116716020207</v>
      </c>
      <c r="G805" s="53" t="n">
        <f aca="true">NORMINV(RAND(),0,G$7)</f>
        <v>-1.37695602367526</v>
      </c>
      <c r="H805" s="53" t="n">
        <f aca="true">NORMINV(RAND(),0,H$7)</f>
        <v>0.922630032728796</v>
      </c>
      <c r="I805" s="53" t="n">
        <f aca="false">SUM(B805:H805)</f>
        <v>2.03733893550353</v>
      </c>
      <c r="J805" s="53" t="n">
        <f aca="true">NORMINV(RAND(),0,J$7)</f>
        <v>-1.52964773721077</v>
      </c>
      <c r="K805" s="53" t="n">
        <f aca="true">NORMINV(RAND(),0,K$7)</f>
        <v>-0.466157366575194</v>
      </c>
      <c r="L805" s="53" t="n">
        <f aca="true">NORMINV(RAND(),0,L$7)</f>
        <v>0.33297299548021</v>
      </c>
      <c r="M805" s="53" t="n">
        <f aca="true">NORMINV(RAND(),0,M$7)</f>
        <v>0.285909872607392</v>
      </c>
      <c r="N805" s="53" t="n">
        <f aca="true">NORMINV(RAND(),0,N$7)</f>
        <v>-0.0417883923434793</v>
      </c>
      <c r="O805" s="53" t="n">
        <f aca="false">SUM(J805:N805)</f>
        <v>-1.41871062804185</v>
      </c>
    </row>
    <row r="806" customFormat="false" ht="15" hidden="false" customHeight="false" outlineLevel="0" collapsed="false">
      <c r="A806" s="2" t="n">
        <v>798</v>
      </c>
      <c r="B806" s="53" t="n">
        <f aca="true">NORMINV(RAND(),0,B$7)</f>
        <v>0.426579398405274</v>
      </c>
      <c r="C806" s="53" t="n">
        <f aca="true">NORMINV(RAND(),0,C$7)</f>
        <v>-0.396788861483796</v>
      </c>
      <c r="D806" s="53" t="n">
        <f aca="true">NORMINV(RAND(),0,D$7)</f>
        <v>2.67863596027963</v>
      </c>
      <c r="E806" s="53" t="n">
        <f aca="true">NORMINV(RAND(),0,E$7)</f>
        <v>-0.00764449924907213</v>
      </c>
      <c r="F806" s="53" t="n">
        <f aca="true">NORMINV(RAND(),0,F$7)</f>
        <v>-0.258404829725242</v>
      </c>
      <c r="G806" s="53" t="n">
        <f aca="true">NORMINV(RAND(),0,G$7)</f>
        <v>0.935363371660387</v>
      </c>
      <c r="H806" s="53" t="n">
        <f aca="true">NORMINV(RAND(),0,H$7)</f>
        <v>0.0546221121113818</v>
      </c>
      <c r="I806" s="53" t="n">
        <f aca="false">SUM(B806:H806)</f>
        <v>3.43236265199856</v>
      </c>
      <c r="J806" s="53" t="n">
        <f aca="true">NORMINV(RAND(),0,J$7)</f>
        <v>-1.37868727274864</v>
      </c>
      <c r="K806" s="53" t="n">
        <f aca="true">NORMINV(RAND(),0,K$7)</f>
        <v>-0.805348563630312</v>
      </c>
      <c r="L806" s="53" t="n">
        <f aca="true">NORMINV(RAND(),0,L$7)</f>
        <v>0.202459152328255</v>
      </c>
      <c r="M806" s="53" t="n">
        <f aca="true">NORMINV(RAND(),0,M$7)</f>
        <v>-0.0143588970147</v>
      </c>
      <c r="N806" s="53" t="n">
        <f aca="true">NORMINV(RAND(),0,N$7)</f>
        <v>-0.290364149866188</v>
      </c>
      <c r="O806" s="53" t="n">
        <f aca="false">SUM(J806:N806)</f>
        <v>-2.28629973093158</v>
      </c>
    </row>
    <row r="807" customFormat="false" ht="15" hidden="false" customHeight="false" outlineLevel="0" collapsed="false">
      <c r="A807" s="2" t="n">
        <v>799</v>
      </c>
      <c r="B807" s="53" t="n">
        <f aca="true">NORMINV(RAND(),0,B$7)</f>
        <v>1.1481457901199</v>
      </c>
      <c r="C807" s="53" t="n">
        <f aca="true">NORMINV(RAND(),0,C$7)</f>
        <v>-1.50604041908872</v>
      </c>
      <c r="D807" s="53" t="n">
        <f aca="true">NORMINV(RAND(),0,D$7)</f>
        <v>-0.972314832400627</v>
      </c>
      <c r="E807" s="53" t="n">
        <f aca="true">NORMINV(RAND(),0,E$7)</f>
        <v>-0.166093127374542</v>
      </c>
      <c r="F807" s="53" t="n">
        <f aca="true">NORMINV(RAND(),0,F$7)</f>
        <v>-0.0399681885553344</v>
      </c>
      <c r="G807" s="53" t="n">
        <f aca="true">NORMINV(RAND(),0,G$7)</f>
        <v>0.173188383513374</v>
      </c>
      <c r="H807" s="53" t="n">
        <f aca="true">NORMINV(RAND(),0,H$7)</f>
        <v>-0.282800830275496</v>
      </c>
      <c r="I807" s="53" t="n">
        <f aca="false">SUM(B807:H807)</f>
        <v>-1.64588322406144</v>
      </c>
      <c r="J807" s="53" t="n">
        <f aca="true">NORMINV(RAND(),0,J$7)</f>
        <v>1.18876444719942</v>
      </c>
      <c r="K807" s="53" t="n">
        <f aca="true">NORMINV(RAND(),0,K$7)</f>
        <v>-0.175073078464089</v>
      </c>
      <c r="L807" s="53" t="n">
        <f aca="true">NORMINV(RAND(),0,L$7)</f>
        <v>-0.301363459528976</v>
      </c>
      <c r="M807" s="53" t="n">
        <f aca="true">NORMINV(RAND(),0,M$7)</f>
        <v>0.222145274931191</v>
      </c>
      <c r="N807" s="53" t="n">
        <f aca="true">NORMINV(RAND(),0,N$7)</f>
        <v>0.330780698876503</v>
      </c>
      <c r="O807" s="53" t="n">
        <f aca="false">SUM(J807:N807)</f>
        <v>1.26525388301405</v>
      </c>
    </row>
    <row r="808" customFormat="false" ht="15" hidden="false" customHeight="false" outlineLevel="0" collapsed="false">
      <c r="A808" s="2" t="n">
        <v>800</v>
      </c>
      <c r="B808" s="53" t="n">
        <f aca="true">NORMINV(RAND(),0,B$7)</f>
        <v>0.729119359911463</v>
      </c>
      <c r="C808" s="53" t="n">
        <f aca="true">NORMINV(RAND(),0,C$7)</f>
        <v>-0.819433161810783</v>
      </c>
      <c r="D808" s="53" t="n">
        <f aca="true">NORMINV(RAND(),0,D$7)</f>
        <v>-1.25734070400401</v>
      </c>
      <c r="E808" s="53" t="n">
        <f aca="true">NORMINV(RAND(),0,E$7)</f>
        <v>-0.431487575018545</v>
      </c>
      <c r="F808" s="53" t="n">
        <f aca="true">NORMINV(RAND(),0,F$7)</f>
        <v>-0.286885349051449</v>
      </c>
      <c r="G808" s="53" t="n">
        <f aca="true">NORMINV(RAND(),0,G$7)</f>
        <v>-2.94181460116455</v>
      </c>
      <c r="H808" s="53" t="n">
        <f aca="true">NORMINV(RAND(),0,H$7)</f>
        <v>-0.507087834618173</v>
      </c>
      <c r="I808" s="53" t="n">
        <f aca="false">SUM(B808:H808)</f>
        <v>-5.51492986575605</v>
      </c>
      <c r="J808" s="53" t="n">
        <f aca="true">NORMINV(RAND(),0,J$7)</f>
        <v>-0.519190565564559</v>
      </c>
      <c r="K808" s="53" t="n">
        <f aca="true">NORMINV(RAND(),0,K$7)</f>
        <v>0.965274789966557</v>
      </c>
      <c r="L808" s="53" t="n">
        <f aca="true">NORMINV(RAND(),0,L$7)</f>
        <v>0.00209237134210008</v>
      </c>
      <c r="M808" s="53" t="n">
        <f aca="true">NORMINV(RAND(),0,M$7)</f>
        <v>0.132736017022969</v>
      </c>
      <c r="N808" s="53" t="n">
        <f aca="true">NORMINV(RAND(),0,N$7)</f>
        <v>-0.0149428852629072</v>
      </c>
      <c r="O808" s="53" t="n">
        <f aca="false">SUM(J808:N808)</f>
        <v>0.565969727504159</v>
      </c>
    </row>
    <row r="809" customFormat="false" ht="15" hidden="false" customHeight="false" outlineLevel="0" collapsed="false">
      <c r="A809" s="2" t="n">
        <v>801</v>
      </c>
      <c r="B809" s="53" t="n">
        <f aca="true">NORMINV(RAND(),0,B$7)</f>
        <v>0.475721670444866</v>
      </c>
      <c r="C809" s="53" t="n">
        <f aca="true">NORMINV(RAND(),0,C$7)</f>
        <v>1.21398470002586</v>
      </c>
      <c r="D809" s="53" t="n">
        <f aca="true">NORMINV(RAND(),0,D$7)</f>
        <v>0.511691264505235</v>
      </c>
      <c r="E809" s="53" t="n">
        <f aca="true">NORMINV(RAND(),0,E$7)</f>
        <v>-0.370725176426883</v>
      </c>
      <c r="F809" s="53" t="n">
        <f aca="true">NORMINV(RAND(),0,F$7)</f>
        <v>-0.134938757471812</v>
      </c>
      <c r="G809" s="53" t="n">
        <f aca="true">NORMINV(RAND(),0,G$7)</f>
        <v>1.80465821097613</v>
      </c>
      <c r="H809" s="53" t="n">
        <f aca="true">NORMINV(RAND(),0,H$7)</f>
        <v>-0.563141063218739</v>
      </c>
      <c r="I809" s="53" t="n">
        <f aca="false">SUM(B809:H809)</f>
        <v>2.93725084883466</v>
      </c>
      <c r="J809" s="53" t="n">
        <f aca="true">NORMINV(RAND(),0,J$7)</f>
        <v>-2.50374718941864</v>
      </c>
      <c r="K809" s="53" t="n">
        <f aca="true">NORMINV(RAND(),0,K$7)</f>
        <v>-0.0611172355381479</v>
      </c>
      <c r="L809" s="53" t="n">
        <f aca="true">NORMINV(RAND(),0,L$7)</f>
        <v>-0.0549808614139181</v>
      </c>
      <c r="M809" s="53" t="n">
        <f aca="true">NORMINV(RAND(),0,M$7)</f>
        <v>-0.22982062226504</v>
      </c>
      <c r="N809" s="53" t="n">
        <f aca="true">NORMINV(RAND(),0,N$7)</f>
        <v>-0.121359958504692</v>
      </c>
      <c r="O809" s="53" t="n">
        <f aca="false">SUM(J809:N809)</f>
        <v>-2.97102586714043</v>
      </c>
    </row>
    <row r="810" customFormat="false" ht="15" hidden="false" customHeight="false" outlineLevel="0" collapsed="false">
      <c r="A810" s="2" t="n">
        <v>802</v>
      </c>
      <c r="B810" s="53" t="n">
        <f aca="true">NORMINV(RAND(),0,B$7)</f>
        <v>-1.11173894117064</v>
      </c>
      <c r="C810" s="53" t="n">
        <f aca="true">NORMINV(RAND(),0,C$7)</f>
        <v>-0.218869499953802</v>
      </c>
      <c r="D810" s="53" t="n">
        <f aca="true">NORMINV(RAND(),0,D$7)</f>
        <v>-1.4378102289858</v>
      </c>
      <c r="E810" s="53" t="n">
        <f aca="true">NORMINV(RAND(),0,E$7)</f>
        <v>0.158835323655724</v>
      </c>
      <c r="F810" s="53" t="n">
        <f aca="true">NORMINV(RAND(),0,F$7)</f>
        <v>-0.371856371763214</v>
      </c>
      <c r="G810" s="53" t="n">
        <f aca="true">NORMINV(RAND(),0,G$7)</f>
        <v>0.894091439238106</v>
      </c>
      <c r="H810" s="53" t="n">
        <f aca="true">NORMINV(RAND(),0,H$7)</f>
        <v>-0.175608224448913</v>
      </c>
      <c r="I810" s="53" t="n">
        <f aca="false">SUM(B810:H810)</f>
        <v>-2.26295650342854</v>
      </c>
      <c r="J810" s="53" t="n">
        <f aca="true">NORMINV(RAND(),0,J$7)</f>
        <v>0.615286676684518</v>
      </c>
      <c r="K810" s="53" t="n">
        <f aca="true">NORMINV(RAND(),0,K$7)</f>
        <v>-0.243767817970707</v>
      </c>
      <c r="L810" s="53" t="n">
        <f aca="true">NORMINV(RAND(),0,L$7)</f>
        <v>0.0107834539081148</v>
      </c>
      <c r="M810" s="53" t="n">
        <f aca="true">NORMINV(RAND(),0,M$7)</f>
        <v>0.140396749085243</v>
      </c>
      <c r="N810" s="53" t="n">
        <f aca="true">NORMINV(RAND(),0,N$7)</f>
        <v>-0.0308664042157294</v>
      </c>
      <c r="O810" s="53" t="n">
        <f aca="false">SUM(J810:N810)</f>
        <v>0.491832657491439</v>
      </c>
    </row>
    <row r="811" customFormat="false" ht="15" hidden="false" customHeight="false" outlineLevel="0" collapsed="false">
      <c r="A811" s="2" t="n">
        <v>803</v>
      </c>
      <c r="B811" s="53" t="n">
        <f aca="true">NORMINV(RAND(),0,B$7)</f>
        <v>-3.30988363487357</v>
      </c>
      <c r="C811" s="53" t="n">
        <f aca="true">NORMINV(RAND(),0,C$7)</f>
        <v>1.69247665554065</v>
      </c>
      <c r="D811" s="53" t="n">
        <f aca="true">NORMINV(RAND(),0,D$7)</f>
        <v>0.615050208210622</v>
      </c>
      <c r="E811" s="53" t="n">
        <f aca="true">NORMINV(RAND(),0,E$7)</f>
        <v>-0.213485496693628</v>
      </c>
      <c r="F811" s="53" t="n">
        <f aca="true">NORMINV(RAND(),0,F$7)</f>
        <v>0.480139124024505</v>
      </c>
      <c r="G811" s="53" t="n">
        <f aca="true">NORMINV(RAND(),0,G$7)</f>
        <v>0.724142924721646</v>
      </c>
      <c r="H811" s="53" t="n">
        <f aca="true">NORMINV(RAND(),0,H$7)</f>
        <v>0.296686334063247</v>
      </c>
      <c r="I811" s="53" t="n">
        <f aca="false">SUM(B811:H811)</f>
        <v>0.285126114993465</v>
      </c>
      <c r="J811" s="53" t="n">
        <f aca="true">NORMINV(RAND(),0,J$7)</f>
        <v>-0.804197481882301</v>
      </c>
      <c r="K811" s="53" t="n">
        <f aca="true">NORMINV(RAND(),0,K$7)</f>
        <v>0.306037630281698</v>
      </c>
      <c r="L811" s="53" t="n">
        <f aca="true">NORMINV(RAND(),0,L$7)</f>
        <v>-0.0684864773685674</v>
      </c>
      <c r="M811" s="53" t="n">
        <f aca="true">NORMINV(RAND(),0,M$7)</f>
        <v>0.302420867504427</v>
      </c>
      <c r="N811" s="53" t="n">
        <f aca="true">NORMINV(RAND(),0,N$7)</f>
        <v>0.0760749818448412</v>
      </c>
      <c r="O811" s="53" t="n">
        <f aca="false">SUM(J811:N811)</f>
        <v>-0.188150479619902</v>
      </c>
    </row>
    <row r="812" customFormat="false" ht="15" hidden="false" customHeight="false" outlineLevel="0" collapsed="false">
      <c r="A812" s="2" t="n">
        <v>804</v>
      </c>
      <c r="B812" s="53" t="n">
        <f aca="true">NORMINV(RAND(),0,B$7)</f>
        <v>-0.553528466149552</v>
      </c>
      <c r="C812" s="53" t="n">
        <f aca="true">NORMINV(RAND(),0,C$7)</f>
        <v>0.152017201989529</v>
      </c>
      <c r="D812" s="53" t="n">
        <f aca="true">NORMINV(RAND(),0,D$7)</f>
        <v>2.97327024081057</v>
      </c>
      <c r="E812" s="53" t="n">
        <f aca="true">NORMINV(RAND(),0,E$7)</f>
        <v>-0.614129459493703</v>
      </c>
      <c r="F812" s="53" t="n">
        <f aca="true">NORMINV(RAND(),0,F$7)</f>
        <v>-0.834144179316788</v>
      </c>
      <c r="G812" s="53" t="n">
        <f aca="true">NORMINV(RAND(),0,G$7)</f>
        <v>-1.54876082244049</v>
      </c>
      <c r="H812" s="53" t="n">
        <f aca="true">NORMINV(RAND(),0,H$7)</f>
        <v>-0.211894758018797</v>
      </c>
      <c r="I812" s="53" t="n">
        <f aca="false">SUM(B812:H812)</f>
        <v>-0.637170242619231</v>
      </c>
      <c r="J812" s="53" t="n">
        <f aca="true">NORMINV(RAND(),0,J$7)</f>
        <v>-2.78664715812136</v>
      </c>
      <c r="K812" s="53" t="n">
        <f aca="true">NORMINV(RAND(),0,K$7)</f>
        <v>-0.190585251462521</v>
      </c>
      <c r="L812" s="53" t="n">
        <f aca="true">NORMINV(RAND(),0,L$7)</f>
        <v>-0.0804438664962582</v>
      </c>
      <c r="M812" s="53" t="n">
        <f aca="true">NORMINV(RAND(),0,M$7)</f>
        <v>-0.183622377153337</v>
      </c>
      <c r="N812" s="53" t="n">
        <f aca="true">NORMINV(RAND(),0,N$7)</f>
        <v>0.193354953013949</v>
      </c>
      <c r="O812" s="53" t="n">
        <f aca="false">SUM(J812:N812)</f>
        <v>-3.04794370021953</v>
      </c>
    </row>
    <row r="813" customFormat="false" ht="15" hidden="false" customHeight="false" outlineLevel="0" collapsed="false">
      <c r="A813" s="2" t="n">
        <v>805</v>
      </c>
      <c r="B813" s="53" t="n">
        <f aca="true">NORMINV(RAND(),0,B$7)</f>
        <v>2.74485185131627</v>
      </c>
      <c r="C813" s="53" t="n">
        <f aca="true">NORMINV(RAND(),0,C$7)</f>
        <v>0.273583020929158</v>
      </c>
      <c r="D813" s="53" t="n">
        <f aca="true">NORMINV(RAND(),0,D$7)</f>
        <v>-1.11327299742388</v>
      </c>
      <c r="E813" s="53" t="n">
        <f aca="true">NORMINV(RAND(),0,E$7)</f>
        <v>-0.0587174071262658</v>
      </c>
      <c r="F813" s="53" t="n">
        <f aca="true">NORMINV(RAND(),0,F$7)</f>
        <v>0.261974360761206</v>
      </c>
      <c r="G813" s="53" t="n">
        <f aca="true">NORMINV(RAND(),0,G$7)</f>
        <v>-0.0192913602285385</v>
      </c>
      <c r="H813" s="53" t="n">
        <f aca="true">NORMINV(RAND(),0,H$7)</f>
        <v>0.421744727972556</v>
      </c>
      <c r="I813" s="53" t="n">
        <f aca="false">SUM(B813:H813)</f>
        <v>2.51087219620051</v>
      </c>
      <c r="J813" s="53" t="n">
        <f aca="true">NORMINV(RAND(),0,J$7)</f>
        <v>0.603508585448722</v>
      </c>
      <c r="K813" s="53" t="n">
        <f aca="true">NORMINV(RAND(),0,K$7)</f>
        <v>0.435677382197806</v>
      </c>
      <c r="L813" s="53" t="n">
        <f aca="true">NORMINV(RAND(),0,L$7)</f>
        <v>-0.14301213947305</v>
      </c>
      <c r="M813" s="53" t="n">
        <f aca="true">NORMINV(RAND(),0,M$7)</f>
        <v>-0.0479394195140803</v>
      </c>
      <c r="N813" s="53" t="n">
        <f aca="true">NORMINV(RAND(),0,N$7)</f>
        <v>0.47000659020157</v>
      </c>
      <c r="O813" s="53" t="n">
        <f aca="false">SUM(J813:N813)</f>
        <v>1.31824099886097</v>
      </c>
    </row>
    <row r="814" customFormat="false" ht="15" hidden="false" customHeight="false" outlineLevel="0" collapsed="false">
      <c r="A814" s="2" t="n">
        <v>806</v>
      </c>
      <c r="B814" s="53" t="n">
        <f aca="true">NORMINV(RAND(),0,B$7)</f>
        <v>0.33733349229514</v>
      </c>
      <c r="C814" s="53" t="n">
        <f aca="true">NORMINV(RAND(),0,C$7)</f>
        <v>0.536597718335551</v>
      </c>
      <c r="D814" s="53" t="n">
        <f aca="true">NORMINV(RAND(),0,D$7)</f>
        <v>-0.358469147641051</v>
      </c>
      <c r="E814" s="53" t="n">
        <f aca="true">NORMINV(RAND(),0,E$7)</f>
        <v>-0.641136284192137</v>
      </c>
      <c r="F814" s="53" t="n">
        <f aca="true">NORMINV(RAND(),0,F$7)</f>
        <v>0.440587853491318</v>
      </c>
      <c r="G814" s="53" t="n">
        <f aca="true">NORMINV(RAND(),0,G$7)</f>
        <v>2.24736170913063</v>
      </c>
      <c r="H814" s="53" t="n">
        <f aca="true">NORMINV(RAND(),0,H$7)</f>
        <v>-0.262903339943238</v>
      </c>
      <c r="I814" s="53" t="n">
        <f aca="false">SUM(B814:H814)</f>
        <v>2.29937200147621</v>
      </c>
      <c r="J814" s="53" t="n">
        <f aca="true">NORMINV(RAND(),0,J$7)</f>
        <v>-1.24657654530967</v>
      </c>
      <c r="K814" s="53" t="n">
        <f aca="true">NORMINV(RAND(),0,K$7)</f>
        <v>0.645109397327378</v>
      </c>
      <c r="L814" s="53" t="n">
        <f aca="true">NORMINV(RAND(),0,L$7)</f>
        <v>-0.350894591015025</v>
      </c>
      <c r="M814" s="53" t="n">
        <f aca="true">NORMINV(RAND(),0,M$7)</f>
        <v>0.1628962957789</v>
      </c>
      <c r="N814" s="53" t="n">
        <f aca="true">NORMINV(RAND(),0,N$7)</f>
        <v>0.17698084971492</v>
      </c>
      <c r="O814" s="53" t="n">
        <f aca="false">SUM(J814:N814)</f>
        <v>-0.612484593503493</v>
      </c>
    </row>
    <row r="815" customFormat="false" ht="15" hidden="false" customHeight="false" outlineLevel="0" collapsed="false">
      <c r="A815" s="2" t="n">
        <v>807</v>
      </c>
      <c r="B815" s="53" t="n">
        <f aca="true">NORMINV(RAND(),0,B$7)</f>
        <v>0.507465615790944</v>
      </c>
      <c r="C815" s="53" t="n">
        <f aca="true">NORMINV(RAND(),0,C$7)</f>
        <v>1.91382841515433</v>
      </c>
      <c r="D815" s="53" t="n">
        <f aca="true">NORMINV(RAND(),0,D$7)</f>
        <v>-2.98045648902229</v>
      </c>
      <c r="E815" s="53" t="n">
        <f aca="true">NORMINV(RAND(),0,E$7)</f>
        <v>-0.172213675542189</v>
      </c>
      <c r="F815" s="53" t="n">
        <f aca="true">NORMINV(RAND(),0,F$7)</f>
        <v>-0.0510549336079989</v>
      </c>
      <c r="G815" s="53" t="n">
        <f aca="true">NORMINV(RAND(),0,G$7)</f>
        <v>0.80491515577071</v>
      </c>
      <c r="H815" s="53" t="n">
        <f aca="true">NORMINV(RAND(),0,H$7)</f>
        <v>0.196141439270999</v>
      </c>
      <c r="I815" s="53" t="n">
        <f aca="false">SUM(B815:H815)</f>
        <v>0.218625527814507</v>
      </c>
      <c r="J815" s="53" t="n">
        <f aca="true">NORMINV(RAND(),0,J$7)</f>
        <v>0.692893720852593</v>
      </c>
      <c r="K815" s="53" t="n">
        <f aca="true">NORMINV(RAND(),0,K$7)</f>
        <v>0.094938638533068</v>
      </c>
      <c r="L815" s="53" t="n">
        <f aca="true">NORMINV(RAND(),0,L$7)</f>
        <v>0.0848458717610597</v>
      </c>
      <c r="M815" s="53" t="n">
        <f aca="true">NORMINV(RAND(),0,M$7)</f>
        <v>0.152343055892532</v>
      </c>
      <c r="N815" s="53" t="n">
        <f aca="true">NORMINV(RAND(),0,N$7)</f>
        <v>0.53579218177815</v>
      </c>
      <c r="O815" s="53" t="n">
        <f aca="false">SUM(J815:N815)</f>
        <v>1.5608134688174</v>
      </c>
    </row>
    <row r="816" customFormat="false" ht="15" hidden="false" customHeight="false" outlineLevel="0" collapsed="false">
      <c r="A816" s="2" t="n">
        <v>808</v>
      </c>
      <c r="B816" s="53" t="n">
        <f aca="true">NORMINV(RAND(),0,B$7)</f>
        <v>-4.07908865235008</v>
      </c>
      <c r="C816" s="53" t="n">
        <f aca="true">NORMINV(RAND(),0,C$7)</f>
        <v>0.219600815679917</v>
      </c>
      <c r="D816" s="53" t="n">
        <f aca="true">NORMINV(RAND(),0,D$7)</f>
        <v>-1.1402763757208</v>
      </c>
      <c r="E816" s="53" t="n">
        <f aca="true">NORMINV(RAND(),0,E$7)</f>
        <v>-0.347773228525629</v>
      </c>
      <c r="F816" s="53" t="n">
        <f aca="true">NORMINV(RAND(),0,F$7)</f>
        <v>-0.0104182232222922</v>
      </c>
      <c r="G816" s="53" t="n">
        <f aca="true">NORMINV(RAND(),0,G$7)</f>
        <v>1.18406405704522</v>
      </c>
      <c r="H816" s="53" t="n">
        <f aca="true">NORMINV(RAND(),0,H$7)</f>
        <v>0.485379769770209</v>
      </c>
      <c r="I816" s="53" t="n">
        <f aca="false">SUM(B816:H816)</f>
        <v>-3.68851183732344</v>
      </c>
      <c r="J816" s="53" t="n">
        <f aca="true">NORMINV(RAND(),0,J$7)</f>
        <v>-0.468211044569904</v>
      </c>
      <c r="K816" s="53" t="n">
        <f aca="true">NORMINV(RAND(),0,K$7)</f>
        <v>-0.697212396193331</v>
      </c>
      <c r="L816" s="53" t="n">
        <f aca="true">NORMINV(RAND(),0,L$7)</f>
        <v>0.124593598926766</v>
      </c>
      <c r="M816" s="53" t="n">
        <f aca="true">NORMINV(RAND(),0,M$7)</f>
        <v>-0.351306521083756</v>
      </c>
      <c r="N816" s="53" t="n">
        <f aca="true">NORMINV(RAND(),0,N$7)</f>
        <v>0.2076109638032</v>
      </c>
      <c r="O816" s="53" t="n">
        <f aca="false">SUM(J816:N816)</f>
        <v>-1.18452539911702</v>
      </c>
    </row>
    <row r="817" customFormat="false" ht="15" hidden="false" customHeight="false" outlineLevel="0" collapsed="false">
      <c r="A817" s="2" t="n">
        <v>809</v>
      </c>
      <c r="B817" s="53" t="n">
        <f aca="true">NORMINV(RAND(),0,B$7)</f>
        <v>-0.738444961963703</v>
      </c>
      <c r="C817" s="53" t="n">
        <f aca="true">NORMINV(RAND(),0,C$7)</f>
        <v>2.13659936346282</v>
      </c>
      <c r="D817" s="53" t="n">
        <f aca="true">NORMINV(RAND(),0,D$7)</f>
        <v>0.701665913184957</v>
      </c>
      <c r="E817" s="53" t="n">
        <f aca="true">NORMINV(RAND(),0,E$7)</f>
        <v>-0.0222581008396453</v>
      </c>
      <c r="F817" s="53" t="n">
        <f aca="true">NORMINV(RAND(),0,F$7)</f>
        <v>0.274764428238088</v>
      </c>
      <c r="G817" s="53" t="n">
        <f aca="true">NORMINV(RAND(),0,G$7)</f>
        <v>0.28003453019182</v>
      </c>
      <c r="H817" s="53" t="n">
        <f aca="true">NORMINV(RAND(),0,H$7)</f>
        <v>-0.51824824906577</v>
      </c>
      <c r="I817" s="53" t="n">
        <f aca="false">SUM(B817:H817)</f>
        <v>2.11411292320857</v>
      </c>
      <c r="J817" s="53" t="n">
        <f aca="true">NORMINV(RAND(),0,J$7)</f>
        <v>4.69095304752775</v>
      </c>
      <c r="K817" s="53" t="n">
        <f aca="true">NORMINV(RAND(),0,K$7)</f>
        <v>0.0176347168108933</v>
      </c>
      <c r="L817" s="53" t="n">
        <f aca="true">NORMINV(RAND(),0,L$7)</f>
        <v>0.515954612642281</v>
      </c>
      <c r="M817" s="53" t="n">
        <f aca="true">NORMINV(RAND(),0,M$7)</f>
        <v>0.000248618657067496</v>
      </c>
      <c r="N817" s="53" t="n">
        <f aca="true">NORMINV(RAND(),0,N$7)</f>
        <v>0.134402485516354</v>
      </c>
      <c r="O817" s="53" t="n">
        <f aca="false">SUM(J817:N817)</f>
        <v>5.35919348115435</v>
      </c>
    </row>
    <row r="818" customFormat="false" ht="15" hidden="false" customHeight="false" outlineLevel="0" collapsed="false">
      <c r="A818" s="2" t="n">
        <v>810</v>
      </c>
      <c r="B818" s="53" t="n">
        <f aca="true">NORMINV(RAND(),0,B$7)</f>
        <v>1.84530318267531</v>
      </c>
      <c r="C818" s="53" t="n">
        <f aca="true">NORMINV(RAND(),0,C$7)</f>
        <v>-1.51555198035272</v>
      </c>
      <c r="D818" s="53" t="n">
        <f aca="true">NORMINV(RAND(),0,D$7)</f>
        <v>-1.16236582288123</v>
      </c>
      <c r="E818" s="53" t="n">
        <f aca="true">NORMINV(RAND(),0,E$7)</f>
        <v>0.100457779127535</v>
      </c>
      <c r="F818" s="53" t="n">
        <f aca="true">NORMINV(RAND(),0,F$7)</f>
        <v>0.126325788003744</v>
      </c>
      <c r="G818" s="53" t="n">
        <f aca="true">NORMINV(RAND(),0,G$7)</f>
        <v>-2.45689591283631</v>
      </c>
      <c r="H818" s="53" t="n">
        <f aca="true">NORMINV(RAND(),0,H$7)</f>
        <v>0.2630907500977</v>
      </c>
      <c r="I818" s="53" t="n">
        <f aca="false">SUM(B818:H818)</f>
        <v>-2.79963621616597</v>
      </c>
      <c r="J818" s="53" t="n">
        <f aca="true">NORMINV(RAND(),0,J$7)</f>
        <v>0.884813125618136</v>
      </c>
      <c r="K818" s="53" t="n">
        <f aca="true">NORMINV(RAND(),0,K$7)</f>
        <v>0.247257695874056</v>
      </c>
      <c r="L818" s="53" t="n">
        <f aca="true">NORMINV(RAND(),0,L$7)</f>
        <v>0.200974868459271</v>
      </c>
      <c r="M818" s="53" t="n">
        <f aca="true">NORMINV(RAND(),0,M$7)</f>
        <v>-0.0104716801423346</v>
      </c>
      <c r="N818" s="53" t="n">
        <f aca="true">NORMINV(RAND(),0,N$7)</f>
        <v>0.00542816521237764</v>
      </c>
      <c r="O818" s="53" t="n">
        <f aca="false">SUM(J818:N818)</f>
        <v>1.32800217502151</v>
      </c>
    </row>
    <row r="819" customFormat="false" ht="15" hidden="false" customHeight="false" outlineLevel="0" collapsed="false">
      <c r="A819" s="2" t="n">
        <v>811</v>
      </c>
      <c r="B819" s="53" t="n">
        <f aca="true">NORMINV(RAND(),0,B$7)</f>
        <v>-0.562533664191889</v>
      </c>
      <c r="C819" s="53" t="n">
        <f aca="true">NORMINV(RAND(),0,C$7)</f>
        <v>-1.00226160391091</v>
      </c>
      <c r="D819" s="53" t="n">
        <f aca="true">NORMINV(RAND(),0,D$7)</f>
        <v>1.20475580362619</v>
      </c>
      <c r="E819" s="53" t="n">
        <f aca="true">NORMINV(RAND(),0,E$7)</f>
        <v>-0.01717348398164</v>
      </c>
      <c r="F819" s="53" t="n">
        <f aca="true">NORMINV(RAND(),0,F$7)</f>
        <v>0.0120584230427257</v>
      </c>
      <c r="G819" s="53" t="n">
        <f aca="true">NORMINV(RAND(),0,G$7)</f>
        <v>-1.64947335400419</v>
      </c>
      <c r="H819" s="53" t="n">
        <f aca="true">NORMINV(RAND(),0,H$7)</f>
        <v>-0.0137195225763787</v>
      </c>
      <c r="I819" s="53" t="n">
        <f aca="false">SUM(B819:H819)</f>
        <v>-2.02834740199609</v>
      </c>
      <c r="J819" s="53" t="n">
        <f aca="true">NORMINV(RAND(),0,J$7)</f>
        <v>1.00401818464509</v>
      </c>
      <c r="K819" s="53" t="n">
        <f aca="true">NORMINV(RAND(),0,K$7)</f>
        <v>0.435309085474382</v>
      </c>
      <c r="L819" s="53" t="n">
        <f aca="true">NORMINV(RAND(),0,L$7)</f>
        <v>0.171974509417192</v>
      </c>
      <c r="M819" s="53" t="n">
        <f aca="true">NORMINV(RAND(),0,M$7)</f>
        <v>-0.00311764779735039</v>
      </c>
      <c r="N819" s="53" t="n">
        <f aca="true">NORMINV(RAND(),0,N$7)</f>
        <v>-0.0193198587004674</v>
      </c>
      <c r="O819" s="53" t="n">
        <f aca="false">SUM(J819:N819)</f>
        <v>1.58886427303885</v>
      </c>
    </row>
    <row r="820" customFormat="false" ht="15" hidden="false" customHeight="false" outlineLevel="0" collapsed="false">
      <c r="A820" s="2" t="n">
        <v>812</v>
      </c>
      <c r="B820" s="53" t="n">
        <f aca="true">NORMINV(RAND(),0,B$7)</f>
        <v>-0.998870131853738</v>
      </c>
      <c r="C820" s="53" t="n">
        <f aca="true">NORMINV(RAND(),0,C$7)</f>
        <v>1.5606240908554</v>
      </c>
      <c r="D820" s="53" t="n">
        <f aca="true">NORMINV(RAND(),0,D$7)</f>
        <v>-0.563431087453938</v>
      </c>
      <c r="E820" s="53" t="n">
        <f aca="true">NORMINV(RAND(),0,E$7)</f>
        <v>-0.185635110891126</v>
      </c>
      <c r="F820" s="53" t="n">
        <f aca="true">NORMINV(RAND(),0,F$7)</f>
        <v>0.2687100691117</v>
      </c>
      <c r="G820" s="53" t="n">
        <f aca="true">NORMINV(RAND(),0,G$7)</f>
        <v>-0.317361728696622</v>
      </c>
      <c r="H820" s="53" t="n">
        <f aca="true">NORMINV(RAND(),0,H$7)</f>
        <v>0.15976107374511</v>
      </c>
      <c r="I820" s="53" t="n">
        <f aca="false">SUM(B820:H820)</f>
        <v>-0.0762028251832138</v>
      </c>
      <c r="J820" s="53" t="n">
        <f aca="true">NORMINV(RAND(),0,J$7)</f>
        <v>1.1868195128832</v>
      </c>
      <c r="K820" s="53" t="n">
        <f aca="true">NORMINV(RAND(),0,K$7)</f>
        <v>-0.324002944505325</v>
      </c>
      <c r="L820" s="53" t="n">
        <f aca="true">NORMINV(RAND(),0,L$7)</f>
        <v>-0.0996724818849439</v>
      </c>
      <c r="M820" s="53" t="n">
        <f aca="true">NORMINV(RAND(),0,M$7)</f>
        <v>0.039169135768104</v>
      </c>
      <c r="N820" s="53" t="n">
        <f aca="true">NORMINV(RAND(),0,N$7)</f>
        <v>0.714515247583275</v>
      </c>
      <c r="O820" s="53" t="n">
        <f aca="false">SUM(J820:N820)</f>
        <v>1.51682846984431</v>
      </c>
    </row>
    <row r="821" customFormat="false" ht="15" hidden="false" customHeight="false" outlineLevel="0" collapsed="false">
      <c r="A821" s="2" t="n">
        <v>813</v>
      </c>
      <c r="B821" s="53" t="n">
        <f aca="true">NORMINV(RAND(),0,B$7)</f>
        <v>0.186493473415541</v>
      </c>
      <c r="C821" s="53" t="n">
        <f aca="true">NORMINV(RAND(),0,C$7)</f>
        <v>-0.909981218929812</v>
      </c>
      <c r="D821" s="53" t="n">
        <f aca="true">NORMINV(RAND(),0,D$7)</f>
        <v>0.40803724502917</v>
      </c>
      <c r="E821" s="53" t="n">
        <f aca="true">NORMINV(RAND(),0,E$7)</f>
        <v>0.458534228511358</v>
      </c>
      <c r="F821" s="53" t="n">
        <f aca="true">NORMINV(RAND(),0,F$7)</f>
        <v>-0.545511740520416</v>
      </c>
      <c r="G821" s="53" t="n">
        <f aca="true">NORMINV(RAND(),0,G$7)</f>
        <v>2.93533752697607</v>
      </c>
      <c r="H821" s="53" t="n">
        <f aca="true">NORMINV(RAND(),0,H$7)</f>
        <v>0.358714566632726</v>
      </c>
      <c r="I821" s="53" t="n">
        <f aca="false">SUM(B821:H821)</f>
        <v>2.89162408111464</v>
      </c>
      <c r="J821" s="53" t="n">
        <f aca="true">NORMINV(RAND(),0,J$7)</f>
        <v>4.92128270869226</v>
      </c>
      <c r="K821" s="53" t="n">
        <f aca="true">NORMINV(RAND(),0,K$7)</f>
        <v>0.294158948438561</v>
      </c>
      <c r="L821" s="53" t="n">
        <f aca="true">NORMINV(RAND(),0,L$7)</f>
        <v>-0.16665284860783</v>
      </c>
      <c r="M821" s="53" t="n">
        <f aca="true">NORMINV(RAND(),0,M$7)</f>
        <v>0.0839347577055937</v>
      </c>
      <c r="N821" s="53" t="n">
        <f aca="true">NORMINV(RAND(),0,N$7)</f>
        <v>-0.315139429970132</v>
      </c>
      <c r="O821" s="53" t="n">
        <f aca="false">SUM(J821:N821)</f>
        <v>4.81758413625845</v>
      </c>
    </row>
    <row r="822" customFormat="false" ht="15" hidden="false" customHeight="false" outlineLevel="0" collapsed="false">
      <c r="A822" s="2" t="n">
        <v>814</v>
      </c>
      <c r="B822" s="53" t="n">
        <f aca="true">NORMINV(RAND(),0,B$7)</f>
        <v>0.355291223558975</v>
      </c>
      <c r="C822" s="53" t="n">
        <f aca="true">NORMINV(RAND(),0,C$7)</f>
        <v>1.99400365251109</v>
      </c>
      <c r="D822" s="53" t="n">
        <f aca="true">NORMINV(RAND(),0,D$7)</f>
        <v>0.370460286828242</v>
      </c>
      <c r="E822" s="53" t="n">
        <f aca="true">NORMINV(RAND(),0,E$7)</f>
        <v>0.111758505710497</v>
      </c>
      <c r="F822" s="53" t="n">
        <f aca="true">NORMINV(RAND(),0,F$7)</f>
        <v>0.507913982583</v>
      </c>
      <c r="G822" s="53" t="n">
        <f aca="true">NORMINV(RAND(),0,G$7)</f>
        <v>-0.0493080893086294</v>
      </c>
      <c r="H822" s="53" t="n">
        <f aca="true">NORMINV(RAND(),0,H$7)</f>
        <v>0.430376589644323</v>
      </c>
      <c r="I822" s="53" t="n">
        <f aca="false">SUM(B822:H822)</f>
        <v>3.7204961515275</v>
      </c>
      <c r="J822" s="53" t="n">
        <f aca="true">NORMINV(RAND(),0,J$7)</f>
        <v>-1.5290795134656</v>
      </c>
      <c r="K822" s="53" t="n">
        <f aca="true">NORMINV(RAND(),0,K$7)</f>
        <v>-0.310446446200949</v>
      </c>
      <c r="L822" s="53" t="n">
        <f aca="true">NORMINV(RAND(),0,L$7)</f>
        <v>0.189086461158835</v>
      </c>
      <c r="M822" s="53" t="n">
        <f aca="true">NORMINV(RAND(),0,M$7)</f>
        <v>0.0387585605469889</v>
      </c>
      <c r="N822" s="53" t="n">
        <f aca="true">NORMINV(RAND(),0,N$7)</f>
        <v>0.162282780717605</v>
      </c>
      <c r="O822" s="53" t="n">
        <f aca="false">SUM(J822:N822)</f>
        <v>-1.44939815724312</v>
      </c>
    </row>
    <row r="823" customFormat="false" ht="15" hidden="false" customHeight="false" outlineLevel="0" collapsed="false">
      <c r="A823" s="2" t="n">
        <v>815</v>
      </c>
      <c r="B823" s="53" t="n">
        <f aca="true">NORMINV(RAND(),0,B$7)</f>
        <v>0.237862656946266</v>
      </c>
      <c r="C823" s="53" t="n">
        <f aca="true">NORMINV(RAND(),0,C$7)</f>
        <v>1.1843818279411</v>
      </c>
      <c r="D823" s="53" t="n">
        <f aca="true">NORMINV(RAND(),0,D$7)</f>
        <v>-0.552639920367741</v>
      </c>
      <c r="E823" s="53" t="n">
        <f aca="true">NORMINV(RAND(),0,E$7)</f>
        <v>-0.289800636839389</v>
      </c>
      <c r="F823" s="53" t="n">
        <f aca="true">NORMINV(RAND(),0,F$7)</f>
        <v>-0.0782831013454973</v>
      </c>
      <c r="G823" s="53" t="n">
        <f aca="true">NORMINV(RAND(),0,G$7)</f>
        <v>0.735194557540433</v>
      </c>
      <c r="H823" s="53" t="n">
        <f aca="true">NORMINV(RAND(),0,H$7)</f>
        <v>-0.211511089973736</v>
      </c>
      <c r="I823" s="53" t="n">
        <f aca="false">SUM(B823:H823)</f>
        <v>1.02520429390143</v>
      </c>
      <c r="J823" s="53" t="n">
        <f aca="true">NORMINV(RAND(),0,J$7)</f>
        <v>-0.330635347130687</v>
      </c>
      <c r="K823" s="53" t="n">
        <f aca="true">NORMINV(RAND(),0,K$7)</f>
        <v>0.618618053391372</v>
      </c>
      <c r="L823" s="53" t="n">
        <f aca="true">NORMINV(RAND(),0,L$7)</f>
        <v>-0.0898251084832046</v>
      </c>
      <c r="M823" s="53" t="n">
        <f aca="true">NORMINV(RAND(),0,M$7)</f>
        <v>-0.0921829502918631</v>
      </c>
      <c r="N823" s="53" t="n">
        <f aca="true">NORMINV(RAND(),0,N$7)</f>
        <v>-0.0615275363534333</v>
      </c>
      <c r="O823" s="53" t="n">
        <f aca="false">SUM(J823:N823)</f>
        <v>0.0444471111321837</v>
      </c>
    </row>
    <row r="824" customFormat="false" ht="15" hidden="false" customHeight="false" outlineLevel="0" collapsed="false">
      <c r="A824" s="2" t="n">
        <v>816</v>
      </c>
      <c r="B824" s="53" t="n">
        <f aca="true">NORMINV(RAND(),0,B$7)</f>
        <v>1.55960752822406</v>
      </c>
      <c r="C824" s="53" t="n">
        <f aca="true">NORMINV(RAND(),0,C$7)</f>
        <v>-0.347596390142884</v>
      </c>
      <c r="D824" s="53" t="n">
        <f aca="true">NORMINV(RAND(),0,D$7)</f>
        <v>0.6645112059434</v>
      </c>
      <c r="E824" s="53" t="n">
        <f aca="true">NORMINV(RAND(),0,E$7)</f>
        <v>-0.0343834333049317</v>
      </c>
      <c r="F824" s="53" t="n">
        <f aca="true">NORMINV(RAND(),0,F$7)</f>
        <v>-0.0816234078371269</v>
      </c>
      <c r="G824" s="53" t="n">
        <f aca="true">NORMINV(RAND(),0,G$7)</f>
        <v>1.38321432951959</v>
      </c>
      <c r="H824" s="53" t="n">
        <f aca="true">NORMINV(RAND(),0,H$7)</f>
        <v>-0.131278842307815</v>
      </c>
      <c r="I824" s="53" t="n">
        <f aca="false">SUM(B824:H824)</f>
        <v>3.0124509900943</v>
      </c>
      <c r="J824" s="53" t="n">
        <f aca="true">NORMINV(RAND(),0,J$7)</f>
        <v>-0.132061478201764</v>
      </c>
      <c r="K824" s="53" t="n">
        <f aca="true">NORMINV(RAND(),0,K$7)</f>
        <v>0.262952516937973</v>
      </c>
      <c r="L824" s="53" t="n">
        <f aca="true">NORMINV(RAND(),0,L$7)</f>
        <v>-0.858699840981975</v>
      </c>
      <c r="M824" s="53" t="n">
        <f aca="true">NORMINV(RAND(),0,M$7)</f>
        <v>0.0535329290565437</v>
      </c>
      <c r="N824" s="53" t="n">
        <f aca="true">NORMINV(RAND(),0,N$7)</f>
        <v>0.354339861237972</v>
      </c>
      <c r="O824" s="53" t="n">
        <f aca="false">SUM(J824:N824)</f>
        <v>-0.319936011951249</v>
      </c>
    </row>
    <row r="825" customFormat="false" ht="15" hidden="false" customHeight="false" outlineLevel="0" collapsed="false">
      <c r="A825" s="2" t="n">
        <v>817</v>
      </c>
      <c r="B825" s="53" t="n">
        <f aca="true">NORMINV(RAND(),0,B$7)</f>
        <v>1.15794097086448</v>
      </c>
      <c r="C825" s="53" t="n">
        <f aca="true">NORMINV(RAND(),0,C$7)</f>
        <v>-0.344604887156224</v>
      </c>
      <c r="D825" s="53" t="n">
        <f aca="true">NORMINV(RAND(),0,D$7)</f>
        <v>-0.205940369384972</v>
      </c>
      <c r="E825" s="53" t="n">
        <f aca="true">NORMINV(RAND(),0,E$7)</f>
        <v>-0.0810980565180436</v>
      </c>
      <c r="F825" s="53" t="n">
        <f aca="true">NORMINV(RAND(),0,F$7)</f>
        <v>0.2365594873108</v>
      </c>
      <c r="G825" s="53" t="n">
        <f aca="true">NORMINV(RAND(),0,G$7)</f>
        <v>0.0559456828891994</v>
      </c>
      <c r="H825" s="53" t="n">
        <f aca="true">NORMINV(RAND(),0,H$7)</f>
        <v>0.113470933391316</v>
      </c>
      <c r="I825" s="53" t="n">
        <f aca="false">SUM(B825:H825)</f>
        <v>0.932273761396557</v>
      </c>
      <c r="J825" s="53" t="n">
        <f aca="true">NORMINV(RAND(),0,J$7)</f>
        <v>-1.30802978595417</v>
      </c>
      <c r="K825" s="53" t="n">
        <f aca="true">NORMINV(RAND(),0,K$7)</f>
        <v>0.213553065157154</v>
      </c>
      <c r="L825" s="53" t="n">
        <f aca="true">NORMINV(RAND(),0,L$7)</f>
        <v>-0.0681440955379494</v>
      </c>
      <c r="M825" s="53" t="n">
        <f aca="true">NORMINV(RAND(),0,M$7)</f>
        <v>-0.151119196096016</v>
      </c>
      <c r="N825" s="53" t="n">
        <f aca="true">NORMINV(RAND(),0,N$7)</f>
        <v>-0.11862189402166</v>
      </c>
      <c r="O825" s="53" t="n">
        <f aca="false">SUM(J825:N825)</f>
        <v>-1.43236190645264</v>
      </c>
    </row>
    <row r="826" customFormat="false" ht="15" hidden="false" customHeight="false" outlineLevel="0" collapsed="false">
      <c r="A826" s="2" t="n">
        <v>818</v>
      </c>
      <c r="B826" s="53" t="n">
        <f aca="true">NORMINV(RAND(),0,B$7)</f>
        <v>-1.14995481484614</v>
      </c>
      <c r="C826" s="53" t="n">
        <f aca="true">NORMINV(RAND(),0,C$7)</f>
        <v>2.34617891133594</v>
      </c>
      <c r="D826" s="53" t="n">
        <f aca="true">NORMINV(RAND(),0,D$7)</f>
        <v>1.1109916384006</v>
      </c>
      <c r="E826" s="53" t="n">
        <f aca="true">NORMINV(RAND(),0,E$7)</f>
        <v>0.119206418698414</v>
      </c>
      <c r="F826" s="53" t="n">
        <f aca="true">NORMINV(RAND(),0,F$7)</f>
        <v>-0.353403729767848</v>
      </c>
      <c r="G826" s="53" t="n">
        <f aca="true">NORMINV(RAND(),0,G$7)</f>
        <v>-0.412356210221552</v>
      </c>
      <c r="H826" s="53" t="n">
        <f aca="true">NORMINV(RAND(),0,H$7)</f>
        <v>0.356753505041746</v>
      </c>
      <c r="I826" s="53" t="n">
        <f aca="false">SUM(B826:H826)</f>
        <v>2.01741571864115</v>
      </c>
      <c r="J826" s="53" t="n">
        <f aca="true">NORMINV(RAND(),0,J$7)</f>
        <v>-0.790531557741001</v>
      </c>
      <c r="K826" s="53" t="n">
        <f aca="true">NORMINV(RAND(),0,K$7)</f>
        <v>0.247891742136532</v>
      </c>
      <c r="L826" s="53" t="n">
        <f aca="true">NORMINV(RAND(),0,L$7)</f>
        <v>0.118076436853945</v>
      </c>
      <c r="M826" s="53" t="n">
        <f aca="true">NORMINV(RAND(),0,M$7)</f>
        <v>-0.0700440497907969</v>
      </c>
      <c r="N826" s="53" t="n">
        <f aca="true">NORMINV(RAND(),0,N$7)</f>
        <v>-0.313284630076157</v>
      </c>
      <c r="O826" s="53" t="n">
        <f aca="false">SUM(J826:N826)</f>
        <v>-0.807892058617478</v>
      </c>
    </row>
    <row r="827" customFormat="false" ht="15" hidden="false" customHeight="false" outlineLevel="0" collapsed="false">
      <c r="A827" s="2" t="n">
        <v>819</v>
      </c>
      <c r="B827" s="53" t="n">
        <f aca="true">NORMINV(RAND(),0,B$7)</f>
        <v>-0.578676120009131</v>
      </c>
      <c r="C827" s="53" t="n">
        <f aca="true">NORMINV(RAND(),0,C$7)</f>
        <v>3.65173297388394</v>
      </c>
      <c r="D827" s="53" t="n">
        <f aca="true">NORMINV(RAND(),0,D$7)</f>
        <v>2.32573413752978</v>
      </c>
      <c r="E827" s="53" t="n">
        <f aca="true">NORMINV(RAND(),0,E$7)</f>
        <v>0.26700952842572</v>
      </c>
      <c r="F827" s="53" t="n">
        <f aca="true">NORMINV(RAND(),0,F$7)</f>
        <v>0.282382894270189</v>
      </c>
      <c r="G827" s="53" t="n">
        <f aca="true">NORMINV(RAND(),0,G$7)</f>
        <v>-2.22135865289105</v>
      </c>
      <c r="H827" s="53" t="n">
        <f aca="true">NORMINV(RAND(),0,H$7)</f>
        <v>0.0294669491603612</v>
      </c>
      <c r="I827" s="53" t="n">
        <f aca="false">SUM(B827:H827)</f>
        <v>3.75629171036981</v>
      </c>
      <c r="J827" s="53" t="n">
        <f aca="true">NORMINV(RAND(),0,J$7)</f>
        <v>-1.65322440036783</v>
      </c>
      <c r="K827" s="53" t="n">
        <f aca="true">NORMINV(RAND(),0,K$7)</f>
        <v>1.04715286508052</v>
      </c>
      <c r="L827" s="53" t="n">
        <f aca="true">NORMINV(RAND(),0,L$7)</f>
        <v>0.788230196916233</v>
      </c>
      <c r="M827" s="53" t="n">
        <f aca="true">NORMINV(RAND(),0,M$7)</f>
        <v>-0.21946844626233</v>
      </c>
      <c r="N827" s="53" t="n">
        <f aca="true">NORMINV(RAND(),0,N$7)</f>
        <v>-0.194941983684975</v>
      </c>
      <c r="O827" s="53" t="n">
        <f aca="false">SUM(J827:N827)</f>
        <v>-0.23225176831839</v>
      </c>
    </row>
    <row r="828" customFormat="false" ht="15" hidden="false" customHeight="false" outlineLevel="0" collapsed="false">
      <c r="A828" s="2" t="n">
        <v>820</v>
      </c>
      <c r="B828" s="53" t="n">
        <f aca="true">NORMINV(RAND(),0,B$7)</f>
        <v>0.0218948139430721</v>
      </c>
      <c r="C828" s="53" t="n">
        <f aca="true">NORMINV(RAND(),0,C$7)</f>
        <v>2.43842790125281</v>
      </c>
      <c r="D828" s="53" t="n">
        <f aca="true">NORMINV(RAND(),0,D$7)</f>
        <v>1.86911379412917</v>
      </c>
      <c r="E828" s="53" t="n">
        <f aca="true">NORMINV(RAND(),0,E$7)</f>
        <v>-0.234343942557559</v>
      </c>
      <c r="F828" s="53" t="n">
        <f aca="true">NORMINV(RAND(),0,F$7)</f>
        <v>-0.339343250405513</v>
      </c>
      <c r="G828" s="53" t="n">
        <f aca="true">NORMINV(RAND(),0,G$7)</f>
        <v>-0.448314957296244</v>
      </c>
      <c r="H828" s="53" t="n">
        <f aca="true">NORMINV(RAND(),0,H$7)</f>
        <v>0.637066351488696</v>
      </c>
      <c r="I828" s="53" t="n">
        <f aca="false">SUM(B828:H828)</f>
        <v>3.94450071055443</v>
      </c>
      <c r="J828" s="53" t="n">
        <f aca="true">NORMINV(RAND(),0,J$7)</f>
        <v>-3.51001086189158</v>
      </c>
      <c r="K828" s="53" t="n">
        <f aca="true">NORMINV(RAND(),0,K$7)</f>
        <v>0.548108962667518</v>
      </c>
      <c r="L828" s="53" t="n">
        <f aca="true">NORMINV(RAND(),0,L$7)</f>
        <v>-0.124370097633746</v>
      </c>
      <c r="M828" s="53" t="n">
        <f aca="true">NORMINV(RAND(),0,M$7)</f>
        <v>0.266098996216464</v>
      </c>
      <c r="N828" s="53" t="n">
        <f aca="true">NORMINV(RAND(),0,N$7)</f>
        <v>-0.259193558092057</v>
      </c>
      <c r="O828" s="53" t="n">
        <f aca="false">SUM(J828:N828)</f>
        <v>-3.0793665587334</v>
      </c>
    </row>
    <row r="829" customFormat="false" ht="15" hidden="false" customHeight="false" outlineLevel="0" collapsed="false">
      <c r="A829" s="2" t="n">
        <v>821</v>
      </c>
      <c r="B829" s="53" t="n">
        <f aca="true">NORMINV(RAND(),0,B$7)</f>
        <v>-0.433172505636841</v>
      </c>
      <c r="C829" s="53" t="n">
        <f aca="true">NORMINV(RAND(),0,C$7)</f>
        <v>1.63589457565872</v>
      </c>
      <c r="D829" s="53" t="n">
        <f aca="true">NORMINV(RAND(),0,D$7)</f>
        <v>-0.858058401838252</v>
      </c>
      <c r="E829" s="53" t="n">
        <f aca="true">NORMINV(RAND(),0,E$7)</f>
        <v>-0.0491570661501702</v>
      </c>
      <c r="F829" s="53" t="n">
        <f aca="true">NORMINV(RAND(),0,F$7)</f>
        <v>-0.273756359022719</v>
      </c>
      <c r="G829" s="53" t="n">
        <f aca="true">NORMINV(RAND(),0,G$7)</f>
        <v>-0.84680163425743</v>
      </c>
      <c r="H829" s="53" t="n">
        <f aca="true">NORMINV(RAND(),0,H$7)</f>
        <v>0.514453756060389</v>
      </c>
      <c r="I829" s="53" t="n">
        <f aca="false">SUM(B829:H829)</f>
        <v>-0.3105976351863</v>
      </c>
      <c r="J829" s="53" t="n">
        <f aca="true">NORMINV(RAND(),0,J$7)</f>
        <v>0.467683623561554</v>
      </c>
      <c r="K829" s="53" t="n">
        <f aca="true">NORMINV(RAND(),0,K$7)</f>
        <v>0.3168789308545</v>
      </c>
      <c r="L829" s="53" t="n">
        <f aca="true">NORMINV(RAND(),0,L$7)</f>
        <v>-0.267740730315361</v>
      </c>
      <c r="M829" s="53" t="n">
        <f aca="true">NORMINV(RAND(),0,M$7)</f>
        <v>0.234977022030828</v>
      </c>
      <c r="N829" s="53" t="n">
        <f aca="true">NORMINV(RAND(),0,N$7)</f>
        <v>-0.160235068720266</v>
      </c>
      <c r="O829" s="53" t="n">
        <f aca="false">SUM(J829:N829)</f>
        <v>0.591563777411254</v>
      </c>
    </row>
    <row r="830" customFormat="false" ht="15" hidden="false" customHeight="false" outlineLevel="0" collapsed="false">
      <c r="A830" s="2" t="n">
        <v>822</v>
      </c>
      <c r="B830" s="53" t="n">
        <f aca="true">NORMINV(RAND(),0,B$7)</f>
        <v>-0.648489036785885</v>
      </c>
      <c r="C830" s="53" t="n">
        <f aca="true">NORMINV(RAND(),0,C$7)</f>
        <v>1.624438011342</v>
      </c>
      <c r="D830" s="53" t="n">
        <f aca="true">NORMINV(RAND(),0,D$7)</f>
        <v>-0.0717373537301094</v>
      </c>
      <c r="E830" s="53" t="n">
        <f aca="true">NORMINV(RAND(),0,E$7)</f>
        <v>-0.114657653511098</v>
      </c>
      <c r="F830" s="53" t="n">
        <f aca="true">NORMINV(RAND(),0,F$7)</f>
        <v>0.287169045077576</v>
      </c>
      <c r="G830" s="53" t="n">
        <f aca="true">NORMINV(RAND(),0,G$7)</f>
        <v>-0.409527881089347</v>
      </c>
      <c r="H830" s="53" t="n">
        <f aca="true">NORMINV(RAND(),0,H$7)</f>
        <v>0.0481726161246088</v>
      </c>
      <c r="I830" s="53" t="n">
        <f aca="false">SUM(B830:H830)</f>
        <v>0.715367747427745</v>
      </c>
      <c r="J830" s="53" t="n">
        <f aca="true">NORMINV(RAND(),0,J$7)</f>
        <v>-1.62464111238942</v>
      </c>
      <c r="K830" s="53" t="n">
        <f aca="true">NORMINV(RAND(),0,K$7)</f>
        <v>0.304085728289962</v>
      </c>
      <c r="L830" s="53" t="n">
        <f aca="true">NORMINV(RAND(),0,L$7)</f>
        <v>0.257784418221757</v>
      </c>
      <c r="M830" s="53" t="n">
        <f aca="true">NORMINV(RAND(),0,M$7)</f>
        <v>-0.228192938981942</v>
      </c>
      <c r="N830" s="53" t="n">
        <f aca="true">NORMINV(RAND(),0,N$7)</f>
        <v>0.0585436062969762</v>
      </c>
      <c r="O830" s="53" t="n">
        <f aca="false">SUM(J830:N830)</f>
        <v>-1.23242029856266</v>
      </c>
    </row>
    <row r="831" customFormat="false" ht="15" hidden="false" customHeight="false" outlineLevel="0" collapsed="false">
      <c r="A831" s="2" t="n">
        <v>823</v>
      </c>
      <c r="B831" s="53" t="n">
        <f aca="true">NORMINV(RAND(),0,B$7)</f>
        <v>0.567613159050081</v>
      </c>
      <c r="C831" s="53" t="n">
        <f aca="true">NORMINV(RAND(),0,C$7)</f>
        <v>1.03082101342848</v>
      </c>
      <c r="D831" s="53" t="n">
        <f aca="true">NORMINV(RAND(),0,D$7)</f>
        <v>-1.0196795203373</v>
      </c>
      <c r="E831" s="53" t="n">
        <f aca="true">NORMINV(RAND(),0,E$7)</f>
        <v>-0.385463937687564</v>
      </c>
      <c r="F831" s="53" t="n">
        <f aca="true">NORMINV(RAND(),0,F$7)</f>
        <v>0.230997191567265</v>
      </c>
      <c r="G831" s="53" t="n">
        <f aca="true">NORMINV(RAND(),0,G$7)</f>
        <v>-0.254396382787728</v>
      </c>
      <c r="H831" s="53" t="n">
        <f aca="true">NORMINV(RAND(),0,H$7)</f>
        <v>-0.241236166106983</v>
      </c>
      <c r="I831" s="53" t="n">
        <f aca="false">SUM(B831:H831)</f>
        <v>-0.0713446428737516</v>
      </c>
      <c r="J831" s="53" t="n">
        <f aca="true">NORMINV(RAND(),0,J$7)</f>
        <v>-0.938280784683128</v>
      </c>
      <c r="K831" s="53" t="n">
        <f aca="true">NORMINV(RAND(),0,K$7)</f>
        <v>0.255220592630328</v>
      </c>
      <c r="L831" s="53" t="n">
        <f aca="true">NORMINV(RAND(),0,L$7)</f>
        <v>0.104724272471562</v>
      </c>
      <c r="M831" s="53" t="n">
        <f aca="true">NORMINV(RAND(),0,M$7)</f>
        <v>-0.35409367531634</v>
      </c>
      <c r="N831" s="53" t="n">
        <f aca="true">NORMINV(RAND(),0,N$7)</f>
        <v>-0.333392106884018</v>
      </c>
      <c r="O831" s="53" t="n">
        <f aca="false">SUM(J831:N831)</f>
        <v>-1.2658217017816</v>
      </c>
    </row>
    <row r="832" customFormat="false" ht="15" hidden="false" customHeight="false" outlineLevel="0" collapsed="false">
      <c r="A832" s="2" t="n">
        <v>824</v>
      </c>
      <c r="B832" s="53" t="n">
        <f aca="true">NORMINV(RAND(),0,B$7)</f>
        <v>3.03097978471658</v>
      </c>
      <c r="C832" s="53" t="n">
        <f aca="true">NORMINV(RAND(),0,C$7)</f>
        <v>0.923209587252269</v>
      </c>
      <c r="D832" s="53" t="n">
        <f aca="true">NORMINV(RAND(),0,D$7)</f>
        <v>0.290185610739289</v>
      </c>
      <c r="E832" s="53" t="n">
        <f aca="true">NORMINV(RAND(),0,E$7)</f>
        <v>0.0392916959432289</v>
      </c>
      <c r="F832" s="53" t="n">
        <f aca="true">NORMINV(RAND(),0,F$7)</f>
        <v>-0.630513242047524</v>
      </c>
      <c r="G832" s="53" t="n">
        <f aca="true">NORMINV(RAND(),0,G$7)</f>
        <v>-0.164433414270607</v>
      </c>
      <c r="H832" s="53" t="n">
        <f aca="true">NORMINV(RAND(),0,H$7)</f>
        <v>0.293974280205056</v>
      </c>
      <c r="I832" s="53" t="n">
        <f aca="false">SUM(B832:H832)</f>
        <v>3.78269430253829</v>
      </c>
      <c r="J832" s="53" t="n">
        <f aca="true">NORMINV(RAND(),0,J$7)</f>
        <v>-0.591081330589209</v>
      </c>
      <c r="K832" s="53" t="n">
        <f aca="true">NORMINV(RAND(),0,K$7)</f>
        <v>-0.0777018993183474</v>
      </c>
      <c r="L832" s="53" t="n">
        <f aca="true">NORMINV(RAND(),0,L$7)</f>
        <v>0.202804008331167</v>
      </c>
      <c r="M832" s="53" t="n">
        <f aca="true">NORMINV(RAND(),0,M$7)</f>
        <v>0.00165361728450054</v>
      </c>
      <c r="N832" s="53" t="n">
        <f aca="true">NORMINV(RAND(),0,N$7)</f>
        <v>0.331446807204218</v>
      </c>
      <c r="O832" s="53" t="n">
        <f aca="false">SUM(J832:N832)</f>
        <v>-0.132878797087672</v>
      </c>
    </row>
    <row r="833" customFormat="false" ht="15" hidden="false" customHeight="false" outlineLevel="0" collapsed="false">
      <c r="A833" s="2" t="n">
        <v>825</v>
      </c>
      <c r="B833" s="53" t="n">
        <f aca="true">NORMINV(RAND(),0,B$7)</f>
        <v>1.46468526818091</v>
      </c>
      <c r="C833" s="53" t="n">
        <f aca="true">NORMINV(RAND(),0,C$7)</f>
        <v>2.24512745456337</v>
      </c>
      <c r="D833" s="53" t="n">
        <f aca="true">NORMINV(RAND(),0,D$7)</f>
        <v>2.36126668389096</v>
      </c>
      <c r="E833" s="53" t="n">
        <f aca="true">NORMINV(RAND(),0,E$7)</f>
        <v>0.107519335787379</v>
      </c>
      <c r="F833" s="53" t="n">
        <f aca="true">NORMINV(RAND(),0,F$7)</f>
        <v>0.3380158483846</v>
      </c>
      <c r="G833" s="53" t="n">
        <f aca="true">NORMINV(RAND(),0,G$7)</f>
        <v>0.714162860504261</v>
      </c>
      <c r="H833" s="53" t="n">
        <f aca="true">NORMINV(RAND(),0,H$7)</f>
        <v>-0.190328607202361</v>
      </c>
      <c r="I833" s="53" t="n">
        <f aca="false">SUM(B833:H833)</f>
        <v>7.04044884410911</v>
      </c>
      <c r="J833" s="53" t="n">
        <f aca="true">NORMINV(RAND(),0,J$7)</f>
        <v>1.96022915944251</v>
      </c>
      <c r="K833" s="53" t="n">
        <f aca="true">NORMINV(RAND(),0,K$7)</f>
        <v>0.0107765426231976</v>
      </c>
      <c r="L833" s="53" t="n">
        <f aca="true">NORMINV(RAND(),0,L$7)</f>
        <v>0.186452611428438</v>
      </c>
      <c r="M833" s="53" t="n">
        <f aca="true">NORMINV(RAND(),0,M$7)</f>
        <v>-0.207487696240391</v>
      </c>
      <c r="N833" s="53" t="n">
        <f aca="true">NORMINV(RAND(),0,N$7)</f>
        <v>0.0374049119082934</v>
      </c>
      <c r="O833" s="53" t="n">
        <f aca="false">SUM(J833:N833)</f>
        <v>1.98737552916205</v>
      </c>
    </row>
    <row r="834" customFormat="false" ht="15" hidden="false" customHeight="false" outlineLevel="0" collapsed="false">
      <c r="A834" s="2" t="n">
        <v>826</v>
      </c>
      <c r="B834" s="53" t="n">
        <f aca="true">NORMINV(RAND(),0,B$7)</f>
        <v>2.87316018263685</v>
      </c>
      <c r="C834" s="53" t="n">
        <f aca="true">NORMINV(RAND(),0,C$7)</f>
        <v>-2.44127375706243</v>
      </c>
      <c r="D834" s="53" t="n">
        <f aca="true">NORMINV(RAND(),0,D$7)</f>
        <v>1.12395007504234</v>
      </c>
      <c r="E834" s="53" t="n">
        <f aca="true">NORMINV(RAND(),0,E$7)</f>
        <v>-0.936680959836558</v>
      </c>
      <c r="F834" s="53" t="n">
        <f aca="true">NORMINV(RAND(),0,F$7)</f>
        <v>-0.366588733811568</v>
      </c>
      <c r="G834" s="53" t="n">
        <f aca="true">NORMINV(RAND(),0,G$7)</f>
        <v>0.132379295214556</v>
      </c>
      <c r="H834" s="53" t="n">
        <f aca="true">NORMINV(RAND(),0,H$7)</f>
        <v>0.480875347761948</v>
      </c>
      <c r="I834" s="53" t="n">
        <f aca="false">SUM(B834:H834)</f>
        <v>0.865821449945146</v>
      </c>
      <c r="J834" s="53" t="n">
        <f aca="true">NORMINV(RAND(),0,J$7)</f>
        <v>0.241994257892806</v>
      </c>
      <c r="K834" s="53" t="n">
        <f aca="true">NORMINV(RAND(),0,K$7)</f>
        <v>-0.160705558187382</v>
      </c>
      <c r="L834" s="53" t="n">
        <f aca="true">NORMINV(RAND(),0,L$7)</f>
        <v>-0.0507047877643812</v>
      </c>
      <c r="M834" s="53" t="n">
        <f aca="true">NORMINV(RAND(),0,M$7)</f>
        <v>-0.267782336930983</v>
      </c>
      <c r="N834" s="53" t="n">
        <f aca="true">NORMINV(RAND(),0,N$7)</f>
        <v>-0.234019259428769</v>
      </c>
      <c r="O834" s="53" t="n">
        <f aca="false">SUM(J834:N834)</f>
        <v>-0.471217684418709</v>
      </c>
    </row>
    <row r="835" customFormat="false" ht="15" hidden="false" customHeight="false" outlineLevel="0" collapsed="false">
      <c r="A835" s="2" t="n">
        <v>827</v>
      </c>
      <c r="B835" s="53" t="n">
        <f aca="true">NORMINV(RAND(),0,B$7)</f>
        <v>-0.790782158519145</v>
      </c>
      <c r="C835" s="53" t="n">
        <f aca="true">NORMINV(RAND(),0,C$7)</f>
        <v>1.21978581376561</v>
      </c>
      <c r="D835" s="53" t="n">
        <f aca="true">NORMINV(RAND(),0,D$7)</f>
        <v>1.1514868654428</v>
      </c>
      <c r="E835" s="53" t="n">
        <f aca="true">NORMINV(RAND(),0,E$7)</f>
        <v>-0.481928617794647</v>
      </c>
      <c r="F835" s="53" t="n">
        <f aca="true">NORMINV(RAND(),0,F$7)</f>
        <v>0.0421802091288863</v>
      </c>
      <c r="G835" s="53" t="n">
        <f aca="true">NORMINV(RAND(),0,G$7)</f>
        <v>0.658483878601706</v>
      </c>
      <c r="H835" s="53" t="n">
        <f aca="true">NORMINV(RAND(),0,H$7)</f>
        <v>-0.21712425947483</v>
      </c>
      <c r="I835" s="53" t="n">
        <f aca="false">SUM(B835:H835)</f>
        <v>1.58210173115038</v>
      </c>
      <c r="J835" s="53" t="n">
        <f aca="true">NORMINV(RAND(),0,J$7)</f>
        <v>-2.03521733554147</v>
      </c>
      <c r="K835" s="53" t="n">
        <f aca="true">NORMINV(RAND(),0,K$7)</f>
        <v>0.294902408601765</v>
      </c>
      <c r="L835" s="53" t="n">
        <f aca="true">NORMINV(RAND(),0,L$7)</f>
        <v>-0.251855601984025</v>
      </c>
      <c r="M835" s="53" t="n">
        <f aca="true">NORMINV(RAND(),0,M$7)</f>
        <v>0.313207625233265</v>
      </c>
      <c r="N835" s="53" t="n">
        <f aca="true">NORMINV(RAND(),0,N$7)</f>
        <v>-0.247165083720292</v>
      </c>
      <c r="O835" s="53" t="n">
        <f aca="false">SUM(J835:N835)</f>
        <v>-1.92612798741076</v>
      </c>
    </row>
    <row r="836" customFormat="false" ht="15" hidden="false" customHeight="false" outlineLevel="0" collapsed="false">
      <c r="A836" s="2" t="n">
        <v>828</v>
      </c>
      <c r="B836" s="53" t="n">
        <f aca="true">NORMINV(RAND(),0,B$7)</f>
        <v>-1.75407231850605</v>
      </c>
      <c r="C836" s="53" t="n">
        <f aca="true">NORMINV(RAND(),0,C$7)</f>
        <v>-1.28689797456364</v>
      </c>
      <c r="D836" s="53" t="n">
        <f aca="true">NORMINV(RAND(),0,D$7)</f>
        <v>-0.801152819672243</v>
      </c>
      <c r="E836" s="53" t="n">
        <f aca="true">NORMINV(RAND(),0,E$7)</f>
        <v>-0.0867838037404774</v>
      </c>
      <c r="F836" s="53" t="n">
        <f aca="true">NORMINV(RAND(),0,F$7)</f>
        <v>0.271255265756455</v>
      </c>
      <c r="G836" s="53" t="n">
        <f aca="true">NORMINV(RAND(),0,G$7)</f>
        <v>-0.160994970276558</v>
      </c>
      <c r="H836" s="53" t="n">
        <f aca="true">NORMINV(RAND(),0,H$7)</f>
        <v>-0.140574298561343</v>
      </c>
      <c r="I836" s="53" t="n">
        <f aca="false">SUM(B836:H836)</f>
        <v>-3.95922091956386</v>
      </c>
      <c r="J836" s="53" t="n">
        <f aca="true">NORMINV(RAND(),0,J$7)</f>
        <v>-1.5452572264519</v>
      </c>
      <c r="K836" s="53" t="n">
        <f aca="true">NORMINV(RAND(),0,K$7)</f>
        <v>-0.644629041973201</v>
      </c>
      <c r="L836" s="53" t="n">
        <f aca="true">NORMINV(RAND(),0,L$7)</f>
        <v>0.119565428727375</v>
      </c>
      <c r="M836" s="53" t="n">
        <f aca="true">NORMINV(RAND(),0,M$7)</f>
        <v>0.283757967577546</v>
      </c>
      <c r="N836" s="53" t="n">
        <f aca="true">NORMINV(RAND(),0,N$7)</f>
        <v>-0.00270481206658291</v>
      </c>
      <c r="O836" s="53" t="n">
        <f aca="false">SUM(J836:N836)</f>
        <v>-1.78926768418677</v>
      </c>
    </row>
    <row r="837" customFormat="false" ht="15" hidden="false" customHeight="false" outlineLevel="0" collapsed="false">
      <c r="A837" s="2" t="n">
        <v>829</v>
      </c>
      <c r="B837" s="53" t="n">
        <f aca="true">NORMINV(RAND(),0,B$7)</f>
        <v>-3.16398534496449</v>
      </c>
      <c r="C837" s="53" t="n">
        <f aca="true">NORMINV(RAND(),0,C$7)</f>
        <v>0.652549603648249</v>
      </c>
      <c r="D837" s="53" t="n">
        <f aca="true">NORMINV(RAND(),0,D$7)</f>
        <v>0.969714611040917</v>
      </c>
      <c r="E837" s="53" t="n">
        <f aca="true">NORMINV(RAND(),0,E$7)</f>
        <v>-0.139768738831938</v>
      </c>
      <c r="F837" s="53" t="n">
        <f aca="true">NORMINV(RAND(),0,F$7)</f>
        <v>-0.21252148917338</v>
      </c>
      <c r="G837" s="53" t="n">
        <f aca="true">NORMINV(RAND(),0,G$7)</f>
        <v>-1.03060900662936</v>
      </c>
      <c r="H837" s="53" t="n">
        <f aca="true">NORMINV(RAND(),0,H$7)</f>
        <v>0.120948109744395</v>
      </c>
      <c r="I837" s="53" t="n">
        <f aca="false">SUM(B837:H837)</f>
        <v>-2.80367225516561</v>
      </c>
      <c r="J837" s="53" t="n">
        <f aca="true">NORMINV(RAND(),0,J$7)</f>
        <v>-2.04643100596072</v>
      </c>
      <c r="K837" s="53" t="n">
        <f aca="true">NORMINV(RAND(),0,K$7)</f>
        <v>-0.801085833974613</v>
      </c>
      <c r="L837" s="53" t="n">
        <f aca="true">NORMINV(RAND(),0,L$7)</f>
        <v>0.0296159153260897</v>
      </c>
      <c r="M837" s="53" t="n">
        <f aca="true">NORMINV(RAND(),0,M$7)</f>
        <v>0.0201487469517983</v>
      </c>
      <c r="N837" s="53" t="n">
        <f aca="true">NORMINV(RAND(),0,N$7)</f>
        <v>-0.0683294251963491</v>
      </c>
      <c r="O837" s="53" t="n">
        <f aca="false">SUM(J837:N837)</f>
        <v>-2.86608160285379</v>
      </c>
    </row>
    <row r="838" customFormat="false" ht="15" hidden="false" customHeight="false" outlineLevel="0" collapsed="false">
      <c r="A838" s="2" t="n">
        <v>830</v>
      </c>
      <c r="B838" s="53" t="n">
        <f aca="true">NORMINV(RAND(),0,B$7)</f>
        <v>1.3634735001559</v>
      </c>
      <c r="C838" s="53" t="n">
        <f aca="true">NORMINV(RAND(),0,C$7)</f>
        <v>1.8898877866916</v>
      </c>
      <c r="D838" s="53" t="n">
        <f aca="true">NORMINV(RAND(),0,D$7)</f>
        <v>1.16068545116843</v>
      </c>
      <c r="E838" s="53" t="n">
        <f aca="true">NORMINV(RAND(),0,E$7)</f>
        <v>-0.632858167134739</v>
      </c>
      <c r="F838" s="53" t="n">
        <f aca="true">NORMINV(RAND(),0,F$7)</f>
        <v>0.260515704892433</v>
      </c>
      <c r="G838" s="53" t="n">
        <f aca="true">NORMINV(RAND(),0,G$7)</f>
        <v>-0.339849852560943</v>
      </c>
      <c r="H838" s="53" t="n">
        <f aca="true">NORMINV(RAND(),0,H$7)</f>
        <v>0.285664388936842</v>
      </c>
      <c r="I838" s="53" t="n">
        <f aca="false">SUM(B838:H838)</f>
        <v>3.98751881214953</v>
      </c>
      <c r="J838" s="53" t="n">
        <f aca="true">NORMINV(RAND(),0,J$7)</f>
        <v>-1.86435395238308</v>
      </c>
      <c r="K838" s="53" t="n">
        <f aca="true">NORMINV(RAND(),0,K$7)</f>
        <v>-0.736872205564904</v>
      </c>
      <c r="L838" s="53" t="n">
        <f aca="true">NORMINV(RAND(),0,L$7)</f>
        <v>-0.500986059922961</v>
      </c>
      <c r="M838" s="53" t="n">
        <f aca="true">NORMINV(RAND(),0,M$7)</f>
        <v>-0.302206802115013</v>
      </c>
      <c r="N838" s="53" t="n">
        <f aca="true">NORMINV(RAND(),0,N$7)</f>
        <v>-0.0338231322755891</v>
      </c>
      <c r="O838" s="53" t="n">
        <f aca="false">SUM(J838:N838)</f>
        <v>-3.43824215226155</v>
      </c>
    </row>
    <row r="839" customFormat="false" ht="15" hidden="false" customHeight="false" outlineLevel="0" collapsed="false">
      <c r="A839" s="2" t="n">
        <v>831</v>
      </c>
      <c r="B839" s="53" t="n">
        <f aca="true">NORMINV(RAND(),0,B$7)</f>
        <v>1.15543715104518</v>
      </c>
      <c r="C839" s="53" t="n">
        <f aca="true">NORMINV(RAND(),0,C$7)</f>
        <v>-1.18439769437409</v>
      </c>
      <c r="D839" s="53" t="n">
        <f aca="true">NORMINV(RAND(),0,D$7)</f>
        <v>-0.746346382189616</v>
      </c>
      <c r="E839" s="53" t="n">
        <f aca="true">NORMINV(RAND(),0,E$7)</f>
        <v>0.302334197866893</v>
      </c>
      <c r="F839" s="53" t="n">
        <f aca="true">NORMINV(RAND(),0,F$7)</f>
        <v>-0.392832026608376</v>
      </c>
      <c r="G839" s="53" t="n">
        <f aca="true">NORMINV(RAND(),0,G$7)</f>
        <v>0.735687372203653</v>
      </c>
      <c r="H839" s="53" t="n">
        <f aca="true">NORMINV(RAND(),0,H$7)</f>
        <v>-0.124616930718251</v>
      </c>
      <c r="I839" s="53" t="n">
        <f aca="false">SUM(B839:H839)</f>
        <v>-0.254734312774603</v>
      </c>
      <c r="J839" s="53" t="n">
        <f aca="true">NORMINV(RAND(),0,J$7)</f>
        <v>-1.95259991160112</v>
      </c>
      <c r="K839" s="53" t="n">
        <f aca="true">NORMINV(RAND(),0,K$7)</f>
        <v>-0.222102655648853</v>
      </c>
      <c r="L839" s="53" t="n">
        <f aca="true">NORMINV(RAND(),0,L$7)</f>
        <v>0.0120784688579754</v>
      </c>
      <c r="M839" s="53" t="n">
        <f aca="true">NORMINV(RAND(),0,M$7)</f>
        <v>0.00300677632821889</v>
      </c>
      <c r="N839" s="53" t="n">
        <f aca="true">NORMINV(RAND(),0,N$7)</f>
        <v>0.0915633181139714</v>
      </c>
      <c r="O839" s="53" t="n">
        <f aca="false">SUM(J839:N839)</f>
        <v>-2.06805400394981</v>
      </c>
    </row>
    <row r="840" customFormat="false" ht="15" hidden="false" customHeight="false" outlineLevel="0" collapsed="false">
      <c r="A840" s="2" t="n">
        <v>832</v>
      </c>
      <c r="B840" s="53" t="n">
        <f aca="true">NORMINV(RAND(),0,B$7)</f>
        <v>-1.0456269374275</v>
      </c>
      <c r="C840" s="53" t="n">
        <f aca="true">NORMINV(RAND(),0,C$7)</f>
        <v>-2.03532352724311</v>
      </c>
      <c r="D840" s="53" t="n">
        <f aca="true">NORMINV(RAND(),0,D$7)</f>
        <v>3.7804185555242</v>
      </c>
      <c r="E840" s="53" t="n">
        <f aca="true">NORMINV(RAND(),0,E$7)</f>
        <v>-0.116671913747153</v>
      </c>
      <c r="F840" s="53" t="n">
        <f aca="true">NORMINV(RAND(),0,F$7)</f>
        <v>0.267167799254591</v>
      </c>
      <c r="G840" s="53" t="n">
        <f aca="true">NORMINV(RAND(),0,G$7)</f>
        <v>0.355954439349082</v>
      </c>
      <c r="H840" s="53" t="n">
        <f aca="true">NORMINV(RAND(),0,H$7)</f>
        <v>-0.706708871845501</v>
      </c>
      <c r="I840" s="53" t="n">
        <f aca="false">SUM(B840:H840)</f>
        <v>0.499209543864611</v>
      </c>
      <c r="J840" s="53" t="n">
        <f aca="true">NORMINV(RAND(),0,J$7)</f>
        <v>-2.72663041337942</v>
      </c>
      <c r="K840" s="53" t="n">
        <f aca="true">NORMINV(RAND(),0,K$7)</f>
        <v>-0.152846959349192</v>
      </c>
      <c r="L840" s="53" t="n">
        <f aca="true">NORMINV(RAND(),0,L$7)</f>
        <v>0.186667843593331</v>
      </c>
      <c r="M840" s="53" t="n">
        <f aca="true">NORMINV(RAND(),0,M$7)</f>
        <v>0.0324307693907073</v>
      </c>
      <c r="N840" s="53" t="n">
        <f aca="true">NORMINV(RAND(),0,N$7)</f>
        <v>-0.213207177270538</v>
      </c>
      <c r="O840" s="53" t="n">
        <f aca="false">SUM(J840:N840)</f>
        <v>-2.87358593701511</v>
      </c>
    </row>
    <row r="841" customFormat="false" ht="15" hidden="false" customHeight="false" outlineLevel="0" collapsed="false">
      <c r="A841" s="2" t="n">
        <v>833</v>
      </c>
      <c r="B841" s="53" t="n">
        <f aca="true">NORMINV(RAND(),0,B$7)</f>
        <v>-1.73102839422788</v>
      </c>
      <c r="C841" s="53" t="n">
        <f aca="true">NORMINV(RAND(),0,C$7)</f>
        <v>-0.136609601221809</v>
      </c>
      <c r="D841" s="53" t="n">
        <f aca="true">NORMINV(RAND(),0,D$7)</f>
        <v>0.802296172574357</v>
      </c>
      <c r="E841" s="53" t="n">
        <f aca="true">NORMINV(RAND(),0,E$7)</f>
        <v>-0.415766455846673</v>
      </c>
      <c r="F841" s="53" t="n">
        <f aca="true">NORMINV(RAND(),0,F$7)</f>
        <v>0.260971605964998</v>
      </c>
      <c r="G841" s="53" t="n">
        <f aca="true">NORMINV(RAND(),0,G$7)</f>
        <v>-2.73177923222478</v>
      </c>
      <c r="H841" s="53" t="n">
        <f aca="true">NORMINV(RAND(),0,H$7)</f>
        <v>-0.551834728297272</v>
      </c>
      <c r="I841" s="53" t="n">
        <f aca="false">SUM(B841:H841)</f>
        <v>-4.50375063327906</v>
      </c>
      <c r="J841" s="53" t="n">
        <f aca="true">NORMINV(RAND(),0,J$7)</f>
        <v>1.08593286303949</v>
      </c>
      <c r="K841" s="53" t="n">
        <f aca="true">NORMINV(RAND(),0,K$7)</f>
        <v>-0.625676800024177</v>
      </c>
      <c r="L841" s="53" t="n">
        <f aca="true">NORMINV(RAND(),0,L$7)</f>
        <v>-0.107963445803867</v>
      </c>
      <c r="M841" s="53" t="n">
        <f aca="true">NORMINV(RAND(),0,M$7)</f>
        <v>-0.171828160502536</v>
      </c>
      <c r="N841" s="53" t="n">
        <f aca="true">NORMINV(RAND(),0,N$7)</f>
        <v>0.331168964917279</v>
      </c>
      <c r="O841" s="53" t="n">
        <f aca="false">SUM(J841:N841)</f>
        <v>0.51163342162619</v>
      </c>
    </row>
    <row r="842" customFormat="false" ht="15" hidden="false" customHeight="false" outlineLevel="0" collapsed="false">
      <c r="A842" s="2" t="n">
        <v>834</v>
      </c>
      <c r="B842" s="53" t="n">
        <f aca="true">NORMINV(RAND(),0,B$7)</f>
        <v>-2.23935475821725</v>
      </c>
      <c r="C842" s="53" t="n">
        <f aca="true">NORMINV(RAND(),0,C$7)</f>
        <v>0.0823713970325774</v>
      </c>
      <c r="D842" s="53" t="n">
        <f aca="true">NORMINV(RAND(),0,D$7)</f>
        <v>-0.145844499178201</v>
      </c>
      <c r="E842" s="53" t="n">
        <f aca="true">NORMINV(RAND(),0,E$7)</f>
        <v>0.204979475465498</v>
      </c>
      <c r="F842" s="53" t="n">
        <f aca="true">NORMINV(RAND(),0,F$7)</f>
        <v>0.267798112400239</v>
      </c>
      <c r="G842" s="53" t="n">
        <f aca="true">NORMINV(RAND(),0,G$7)</f>
        <v>-1.15208823434856</v>
      </c>
      <c r="H842" s="53" t="n">
        <f aca="true">NORMINV(RAND(),0,H$7)</f>
        <v>0.25582426204575</v>
      </c>
      <c r="I842" s="53" t="n">
        <f aca="false">SUM(B842:H842)</f>
        <v>-2.72631424479994</v>
      </c>
      <c r="J842" s="53" t="n">
        <f aca="true">NORMINV(RAND(),0,J$7)</f>
        <v>-0.715798106891555</v>
      </c>
      <c r="K842" s="53" t="n">
        <f aca="true">NORMINV(RAND(),0,K$7)</f>
        <v>-0.630132035523416</v>
      </c>
      <c r="L842" s="53" t="n">
        <f aca="true">NORMINV(RAND(),0,L$7)</f>
        <v>-0.141200178801401</v>
      </c>
      <c r="M842" s="53" t="n">
        <f aca="true">NORMINV(RAND(),0,M$7)</f>
        <v>-0.033127914791666</v>
      </c>
      <c r="N842" s="53" t="n">
        <f aca="true">NORMINV(RAND(),0,N$7)</f>
        <v>0.215342449938775</v>
      </c>
      <c r="O842" s="53" t="n">
        <f aca="false">SUM(J842:N842)</f>
        <v>-1.30491578606926</v>
      </c>
    </row>
    <row r="843" customFormat="false" ht="15" hidden="false" customHeight="false" outlineLevel="0" collapsed="false">
      <c r="A843" s="2" t="n">
        <v>835</v>
      </c>
      <c r="B843" s="53" t="n">
        <f aca="true">NORMINV(RAND(),0,B$7)</f>
        <v>-1.93474959828937</v>
      </c>
      <c r="C843" s="53" t="n">
        <f aca="true">NORMINV(RAND(),0,C$7)</f>
        <v>-1.50009587983487</v>
      </c>
      <c r="D843" s="53" t="n">
        <f aca="true">NORMINV(RAND(),0,D$7)</f>
        <v>1.53345429429081</v>
      </c>
      <c r="E843" s="53" t="n">
        <f aca="true">NORMINV(RAND(),0,E$7)</f>
        <v>0.664426200586484</v>
      </c>
      <c r="F843" s="53" t="n">
        <f aca="true">NORMINV(RAND(),0,F$7)</f>
        <v>0.429000089296556</v>
      </c>
      <c r="G843" s="53" t="n">
        <f aca="true">NORMINV(RAND(),0,G$7)</f>
        <v>0.4700798402096</v>
      </c>
      <c r="H843" s="53" t="n">
        <f aca="true">NORMINV(RAND(),0,H$7)</f>
        <v>-0.043933848144478</v>
      </c>
      <c r="I843" s="53" t="n">
        <f aca="false">SUM(B843:H843)</f>
        <v>-0.381818901885271</v>
      </c>
      <c r="J843" s="53" t="n">
        <f aca="true">NORMINV(RAND(),0,J$7)</f>
        <v>0.546849195237204</v>
      </c>
      <c r="K843" s="53" t="n">
        <f aca="true">NORMINV(RAND(),0,K$7)</f>
        <v>-0.445506772283014</v>
      </c>
      <c r="L843" s="53" t="n">
        <f aca="true">NORMINV(RAND(),0,L$7)</f>
        <v>0.538722005283092</v>
      </c>
      <c r="M843" s="53" t="n">
        <f aca="true">NORMINV(RAND(),0,M$7)</f>
        <v>-0.0818541403226209</v>
      </c>
      <c r="N843" s="53" t="n">
        <f aca="true">NORMINV(RAND(),0,N$7)</f>
        <v>-0.280468141419132</v>
      </c>
      <c r="O843" s="53" t="n">
        <f aca="false">SUM(J843:N843)</f>
        <v>0.27774214649553</v>
      </c>
    </row>
    <row r="844" customFormat="false" ht="15" hidden="false" customHeight="false" outlineLevel="0" collapsed="false">
      <c r="A844" s="2" t="n">
        <v>836</v>
      </c>
      <c r="B844" s="53" t="n">
        <f aca="true">NORMINV(RAND(),0,B$7)</f>
        <v>4.02407500473493</v>
      </c>
      <c r="C844" s="53" t="n">
        <f aca="true">NORMINV(RAND(),0,C$7)</f>
        <v>-0.882401092310118</v>
      </c>
      <c r="D844" s="53" t="n">
        <f aca="true">NORMINV(RAND(),0,D$7)</f>
        <v>3.15170594352514</v>
      </c>
      <c r="E844" s="53" t="n">
        <f aca="true">NORMINV(RAND(),0,E$7)</f>
        <v>-0.215678304901451</v>
      </c>
      <c r="F844" s="53" t="n">
        <f aca="true">NORMINV(RAND(),0,F$7)</f>
        <v>0.297430904041175</v>
      </c>
      <c r="G844" s="53" t="n">
        <f aca="true">NORMINV(RAND(),0,G$7)</f>
        <v>0.222146730556823</v>
      </c>
      <c r="H844" s="53" t="n">
        <f aca="true">NORMINV(RAND(),0,H$7)</f>
        <v>0.565206878700865</v>
      </c>
      <c r="I844" s="53" t="n">
        <f aca="false">SUM(B844:H844)</f>
        <v>7.16248606434737</v>
      </c>
      <c r="J844" s="53" t="n">
        <f aca="true">NORMINV(RAND(),0,J$7)</f>
        <v>1.82020748711188</v>
      </c>
      <c r="K844" s="53" t="n">
        <f aca="true">NORMINV(RAND(),0,K$7)</f>
        <v>-0.861739050695874</v>
      </c>
      <c r="L844" s="53" t="n">
        <f aca="true">NORMINV(RAND(),0,L$7)</f>
        <v>0.0475392495308926</v>
      </c>
      <c r="M844" s="53" t="n">
        <f aca="true">NORMINV(RAND(),0,M$7)</f>
        <v>-0.0801165878446087</v>
      </c>
      <c r="N844" s="53" t="n">
        <f aca="true">NORMINV(RAND(),0,N$7)</f>
        <v>0.504598933183718</v>
      </c>
      <c r="O844" s="53" t="n">
        <f aca="false">SUM(J844:N844)</f>
        <v>1.43049003128601</v>
      </c>
    </row>
    <row r="845" customFormat="false" ht="15" hidden="false" customHeight="false" outlineLevel="0" collapsed="false">
      <c r="A845" s="2" t="n">
        <v>837</v>
      </c>
      <c r="B845" s="53" t="n">
        <f aca="true">NORMINV(RAND(),0,B$7)</f>
        <v>-2.54666195275687</v>
      </c>
      <c r="C845" s="53" t="n">
        <f aca="true">NORMINV(RAND(),0,C$7)</f>
        <v>1.39698018152849</v>
      </c>
      <c r="D845" s="53" t="n">
        <f aca="true">NORMINV(RAND(),0,D$7)</f>
        <v>0.853293691584793</v>
      </c>
      <c r="E845" s="53" t="n">
        <f aca="true">NORMINV(RAND(),0,E$7)</f>
        <v>-0.387789445258631</v>
      </c>
      <c r="F845" s="53" t="n">
        <f aca="true">NORMINV(RAND(),0,F$7)</f>
        <v>0.426116708216642</v>
      </c>
      <c r="G845" s="53" t="n">
        <f aca="true">NORMINV(RAND(),0,G$7)</f>
        <v>1.09025228261133</v>
      </c>
      <c r="H845" s="53" t="n">
        <f aca="true">NORMINV(RAND(),0,H$7)</f>
        <v>0.524185748136181</v>
      </c>
      <c r="I845" s="53" t="n">
        <f aca="false">SUM(B845:H845)</f>
        <v>1.35637721406194</v>
      </c>
      <c r="J845" s="53" t="n">
        <f aca="true">NORMINV(RAND(),0,J$7)</f>
        <v>-1.05286915033939</v>
      </c>
      <c r="K845" s="53" t="n">
        <f aca="true">NORMINV(RAND(),0,K$7)</f>
        <v>-0.15126418059965</v>
      </c>
      <c r="L845" s="53" t="n">
        <f aca="true">NORMINV(RAND(),0,L$7)</f>
        <v>-0.367931409078476</v>
      </c>
      <c r="M845" s="53" t="n">
        <f aca="true">NORMINV(RAND(),0,M$7)</f>
        <v>0.060264053205034</v>
      </c>
      <c r="N845" s="53" t="n">
        <f aca="true">NORMINV(RAND(),0,N$7)</f>
        <v>0.676038506404745</v>
      </c>
      <c r="O845" s="53" t="n">
        <f aca="false">SUM(J845:N845)</f>
        <v>-0.835762180407734</v>
      </c>
    </row>
    <row r="846" customFormat="false" ht="15" hidden="false" customHeight="false" outlineLevel="0" collapsed="false">
      <c r="A846" s="2" t="n">
        <v>838</v>
      </c>
      <c r="B846" s="53" t="n">
        <f aca="true">NORMINV(RAND(),0,B$7)</f>
        <v>1.11176836306316</v>
      </c>
      <c r="C846" s="53" t="n">
        <f aca="true">NORMINV(RAND(),0,C$7)</f>
        <v>0.723171421196776</v>
      </c>
      <c r="D846" s="53" t="n">
        <f aca="true">NORMINV(RAND(),0,D$7)</f>
        <v>1.39913441211819</v>
      </c>
      <c r="E846" s="53" t="n">
        <f aca="true">NORMINV(RAND(),0,E$7)</f>
        <v>-0.713348822011368</v>
      </c>
      <c r="F846" s="53" t="n">
        <f aca="true">NORMINV(RAND(),0,F$7)</f>
        <v>-0.178712845476982</v>
      </c>
      <c r="G846" s="53" t="n">
        <f aca="true">NORMINV(RAND(),0,G$7)</f>
        <v>-0.251098625943646</v>
      </c>
      <c r="H846" s="53" t="n">
        <f aca="true">NORMINV(RAND(),0,H$7)</f>
        <v>-0.377399302207295</v>
      </c>
      <c r="I846" s="53" t="n">
        <f aca="false">SUM(B846:H846)</f>
        <v>1.71351460073884</v>
      </c>
      <c r="J846" s="53" t="n">
        <f aca="true">NORMINV(RAND(),0,J$7)</f>
        <v>2.06808681965533</v>
      </c>
      <c r="K846" s="53" t="n">
        <f aca="true">NORMINV(RAND(),0,K$7)</f>
        <v>0.0741236316170624</v>
      </c>
      <c r="L846" s="53" t="n">
        <f aca="true">NORMINV(RAND(),0,L$7)</f>
        <v>0.0277873511703568</v>
      </c>
      <c r="M846" s="53" t="n">
        <f aca="true">NORMINV(RAND(),0,M$7)</f>
        <v>-0.131251195858167</v>
      </c>
      <c r="N846" s="53" t="n">
        <f aca="true">NORMINV(RAND(),0,N$7)</f>
        <v>-0.0120675530682806</v>
      </c>
      <c r="O846" s="53" t="n">
        <f aca="false">SUM(J846:N846)</f>
        <v>2.0266790535163</v>
      </c>
    </row>
    <row r="847" customFormat="false" ht="15" hidden="false" customHeight="false" outlineLevel="0" collapsed="false">
      <c r="A847" s="2" t="n">
        <v>839</v>
      </c>
      <c r="B847" s="53" t="n">
        <f aca="true">NORMINV(RAND(),0,B$7)</f>
        <v>2.32060597594607</v>
      </c>
      <c r="C847" s="53" t="n">
        <f aca="true">NORMINV(RAND(),0,C$7)</f>
        <v>1.14441699206095</v>
      </c>
      <c r="D847" s="53" t="n">
        <f aca="true">NORMINV(RAND(),0,D$7)</f>
        <v>-3.07797736444657</v>
      </c>
      <c r="E847" s="53" t="n">
        <f aca="true">NORMINV(RAND(),0,E$7)</f>
        <v>-0.497490066317188</v>
      </c>
      <c r="F847" s="53" t="n">
        <f aca="true">NORMINV(RAND(),0,F$7)</f>
        <v>0.186700609539426</v>
      </c>
      <c r="G847" s="53" t="n">
        <f aca="true">NORMINV(RAND(),0,G$7)</f>
        <v>-2.72828710344097</v>
      </c>
      <c r="H847" s="53" t="n">
        <f aca="true">NORMINV(RAND(),0,H$7)</f>
        <v>0.124352940699696</v>
      </c>
      <c r="I847" s="53" t="n">
        <f aca="false">SUM(B847:H847)</f>
        <v>-2.52767801595859</v>
      </c>
      <c r="J847" s="53" t="n">
        <f aca="true">NORMINV(RAND(),0,J$7)</f>
        <v>-0.495865979937696</v>
      </c>
      <c r="K847" s="53" t="n">
        <f aca="true">NORMINV(RAND(),0,K$7)</f>
        <v>-0.324208796568528</v>
      </c>
      <c r="L847" s="53" t="n">
        <f aca="true">NORMINV(RAND(),0,L$7)</f>
        <v>-0.220521133691414</v>
      </c>
      <c r="M847" s="53" t="n">
        <f aca="true">NORMINV(RAND(),0,M$7)</f>
        <v>-0.362643324521509</v>
      </c>
      <c r="N847" s="53" t="n">
        <f aca="true">NORMINV(RAND(),0,N$7)</f>
        <v>0.452717094365635</v>
      </c>
      <c r="O847" s="53" t="n">
        <f aca="false">SUM(J847:N847)</f>
        <v>-0.950522140353511</v>
      </c>
    </row>
    <row r="848" customFormat="false" ht="15" hidden="false" customHeight="false" outlineLevel="0" collapsed="false">
      <c r="A848" s="2" t="n">
        <v>840</v>
      </c>
      <c r="B848" s="53" t="n">
        <f aca="true">NORMINV(RAND(),0,B$7)</f>
        <v>0.060795349358815</v>
      </c>
      <c r="C848" s="53" t="n">
        <f aca="true">NORMINV(RAND(),0,C$7)</f>
        <v>-0.449452954000013</v>
      </c>
      <c r="D848" s="53" t="n">
        <f aca="true">NORMINV(RAND(),0,D$7)</f>
        <v>0.862638222718172</v>
      </c>
      <c r="E848" s="53" t="n">
        <f aca="true">NORMINV(RAND(),0,E$7)</f>
        <v>-0.340751843086322</v>
      </c>
      <c r="F848" s="53" t="n">
        <f aca="true">NORMINV(RAND(),0,F$7)</f>
        <v>0.0954066283004908</v>
      </c>
      <c r="G848" s="53" t="n">
        <f aca="true">NORMINV(RAND(),0,G$7)</f>
        <v>-0.633665673480603</v>
      </c>
      <c r="H848" s="53" t="n">
        <f aca="true">NORMINV(RAND(),0,H$7)</f>
        <v>-0.287077879886591</v>
      </c>
      <c r="I848" s="53" t="n">
        <f aca="false">SUM(B848:H848)</f>
        <v>-0.692108150076051</v>
      </c>
      <c r="J848" s="53" t="n">
        <f aca="true">NORMINV(RAND(),0,J$7)</f>
        <v>-0.425166648998781</v>
      </c>
      <c r="K848" s="53" t="n">
        <f aca="true">NORMINV(RAND(),0,K$7)</f>
        <v>-0.568514437937587</v>
      </c>
      <c r="L848" s="53" t="n">
        <f aca="true">NORMINV(RAND(),0,L$7)</f>
        <v>0.116315477591254</v>
      </c>
      <c r="M848" s="53" t="n">
        <f aca="true">NORMINV(RAND(),0,M$7)</f>
        <v>-0.323013334120837</v>
      </c>
      <c r="N848" s="53" t="n">
        <f aca="true">NORMINV(RAND(),0,N$7)</f>
        <v>0.00316103000182536</v>
      </c>
      <c r="O848" s="53" t="n">
        <f aca="false">SUM(J848:N848)</f>
        <v>-1.19721791346413</v>
      </c>
    </row>
    <row r="849" customFormat="false" ht="15" hidden="false" customHeight="false" outlineLevel="0" collapsed="false">
      <c r="A849" s="2" t="n">
        <v>841</v>
      </c>
      <c r="B849" s="53" t="n">
        <f aca="true">NORMINV(RAND(),0,B$7)</f>
        <v>-1.43082925389581</v>
      </c>
      <c r="C849" s="53" t="n">
        <f aca="true">NORMINV(RAND(),0,C$7)</f>
        <v>1.47156280258508</v>
      </c>
      <c r="D849" s="53" t="n">
        <f aca="true">NORMINV(RAND(),0,D$7)</f>
        <v>0.822625888090501</v>
      </c>
      <c r="E849" s="53" t="n">
        <f aca="true">NORMINV(RAND(),0,E$7)</f>
        <v>-0.208075174759706</v>
      </c>
      <c r="F849" s="53" t="n">
        <f aca="true">NORMINV(RAND(),0,F$7)</f>
        <v>-0.359039892151701</v>
      </c>
      <c r="G849" s="53" t="n">
        <f aca="true">NORMINV(RAND(),0,G$7)</f>
        <v>-0.289533239655619</v>
      </c>
      <c r="H849" s="53" t="n">
        <f aca="true">NORMINV(RAND(),0,H$7)</f>
        <v>-0.516153505678151</v>
      </c>
      <c r="I849" s="53" t="n">
        <f aca="false">SUM(B849:H849)</f>
        <v>-0.509442375465406</v>
      </c>
      <c r="J849" s="53" t="n">
        <f aca="true">NORMINV(RAND(),0,J$7)</f>
        <v>-1.97767256273224</v>
      </c>
      <c r="K849" s="53" t="n">
        <f aca="true">NORMINV(RAND(),0,K$7)</f>
        <v>0.301983459548526</v>
      </c>
      <c r="L849" s="53" t="n">
        <f aca="true">NORMINV(RAND(),0,L$7)</f>
        <v>0.398388422321296</v>
      </c>
      <c r="M849" s="53" t="n">
        <f aca="true">NORMINV(RAND(),0,M$7)</f>
        <v>0.0107223484820224</v>
      </c>
      <c r="N849" s="53" t="n">
        <f aca="true">NORMINV(RAND(),0,N$7)</f>
        <v>-0.269338697329679</v>
      </c>
      <c r="O849" s="53" t="n">
        <f aca="false">SUM(J849:N849)</f>
        <v>-1.53591702971007</v>
      </c>
    </row>
    <row r="850" customFormat="false" ht="15" hidden="false" customHeight="false" outlineLevel="0" collapsed="false">
      <c r="A850" s="2" t="n">
        <v>842</v>
      </c>
      <c r="B850" s="53" t="n">
        <f aca="true">NORMINV(RAND(),0,B$7)</f>
        <v>-1.4426419379761</v>
      </c>
      <c r="C850" s="53" t="n">
        <f aca="true">NORMINV(RAND(),0,C$7)</f>
        <v>-1.62062104141001</v>
      </c>
      <c r="D850" s="53" t="n">
        <f aca="true">NORMINV(RAND(),0,D$7)</f>
        <v>-3.15742893096419</v>
      </c>
      <c r="E850" s="53" t="n">
        <f aca="true">NORMINV(RAND(),0,E$7)</f>
        <v>0.46456191153002</v>
      </c>
      <c r="F850" s="53" t="n">
        <f aca="true">NORMINV(RAND(),0,F$7)</f>
        <v>0.353701905878555</v>
      </c>
      <c r="G850" s="53" t="n">
        <f aca="true">NORMINV(RAND(),0,G$7)</f>
        <v>1.12139817987568</v>
      </c>
      <c r="H850" s="53" t="n">
        <f aca="true">NORMINV(RAND(),0,H$7)</f>
        <v>0.21720627609546</v>
      </c>
      <c r="I850" s="53" t="n">
        <f aca="false">SUM(B850:H850)</f>
        <v>-4.06382363697058</v>
      </c>
      <c r="J850" s="53" t="n">
        <f aca="true">NORMINV(RAND(),0,J$7)</f>
        <v>-0.357373870350936</v>
      </c>
      <c r="K850" s="53" t="n">
        <f aca="true">NORMINV(RAND(),0,K$7)</f>
        <v>0.779275832653216</v>
      </c>
      <c r="L850" s="53" t="n">
        <f aca="true">NORMINV(RAND(),0,L$7)</f>
        <v>0.111568395929423</v>
      </c>
      <c r="M850" s="53" t="n">
        <f aca="true">NORMINV(RAND(),0,M$7)</f>
        <v>0.207251994352143</v>
      </c>
      <c r="N850" s="53" t="n">
        <f aca="true">NORMINV(RAND(),0,N$7)</f>
        <v>0.113079554500805</v>
      </c>
      <c r="O850" s="53" t="n">
        <f aca="false">SUM(J850:N850)</f>
        <v>0.853801907084652</v>
      </c>
    </row>
    <row r="851" customFormat="false" ht="15" hidden="false" customHeight="false" outlineLevel="0" collapsed="false">
      <c r="A851" s="2" t="n">
        <v>843</v>
      </c>
      <c r="B851" s="53" t="n">
        <f aca="true">NORMINV(RAND(),0,B$7)</f>
        <v>-1.3617274630143</v>
      </c>
      <c r="C851" s="53" t="n">
        <f aca="true">NORMINV(RAND(),0,C$7)</f>
        <v>2.10803427116495</v>
      </c>
      <c r="D851" s="53" t="n">
        <f aca="true">NORMINV(RAND(),0,D$7)</f>
        <v>1.24898434357274</v>
      </c>
      <c r="E851" s="53" t="n">
        <f aca="true">NORMINV(RAND(),0,E$7)</f>
        <v>-0.109354050289222</v>
      </c>
      <c r="F851" s="53" t="n">
        <f aca="true">NORMINV(RAND(),0,F$7)</f>
        <v>-0.268287740737264</v>
      </c>
      <c r="G851" s="53" t="n">
        <f aca="true">NORMINV(RAND(),0,G$7)</f>
        <v>-0.155730064275804</v>
      </c>
      <c r="H851" s="53" t="n">
        <f aca="true">NORMINV(RAND(),0,H$7)</f>
        <v>0.145760234508457</v>
      </c>
      <c r="I851" s="53" t="n">
        <f aca="false">SUM(B851:H851)</f>
        <v>1.60767953092956</v>
      </c>
      <c r="J851" s="53" t="n">
        <f aca="true">NORMINV(RAND(),0,J$7)</f>
        <v>1.67477340420028</v>
      </c>
      <c r="K851" s="53" t="n">
        <f aca="true">NORMINV(RAND(),0,K$7)</f>
        <v>0.932413055012677</v>
      </c>
      <c r="L851" s="53" t="n">
        <f aca="true">NORMINV(RAND(),0,L$7)</f>
        <v>-0.104230559695966</v>
      </c>
      <c r="M851" s="53" t="n">
        <f aca="true">NORMINV(RAND(),0,M$7)</f>
        <v>-0.0206333758059681</v>
      </c>
      <c r="N851" s="53" t="n">
        <f aca="true">NORMINV(RAND(),0,N$7)</f>
        <v>0.311847490856645</v>
      </c>
      <c r="O851" s="53" t="n">
        <f aca="false">SUM(J851:N851)</f>
        <v>2.79417001456767</v>
      </c>
    </row>
    <row r="852" customFormat="false" ht="15" hidden="false" customHeight="false" outlineLevel="0" collapsed="false">
      <c r="A852" s="2" t="n">
        <v>844</v>
      </c>
      <c r="B852" s="53" t="n">
        <f aca="true">NORMINV(RAND(),0,B$7)</f>
        <v>2.3831594961801</v>
      </c>
      <c r="C852" s="53" t="n">
        <f aca="true">NORMINV(RAND(),0,C$7)</f>
        <v>1.54694580416154</v>
      </c>
      <c r="D852" s="53" t="n">
        <f aca="true">NORMINV(RAND(),0,D$7)</f>
        <v>-1.31963002923875</v>
      </c>
      <c r="E852" s="53" t="n">
        <f aca="true">NORMINV(RAND(),0,E$7)</f>
        <v>-0.0635587543368702</v>
      </c>
      <c r="F852" s="53" t="n">
        <f aca="true">NORMINV(RAND(),0,F$7)</f>
        <v>0.15904045508086</v>
      </c>
      <c r="G852" s="53" t="n">
        <f aca="true">NORMINV(RAND(),0,G$7)</f>
        <v>-1.27307556408174</v>
      </c>
      <c r="H852" s="53" t="n">
        <f aca="true">NORMINV(RAND(),0,H$7)</f>
        <v>0.0621785680485354</v>
      </c>
      <c r="I852" s="53" t="n">
        <f aca="false">SUM(B852:H852)</f>
        <v>1.49505997581367</v>
      </c>
      <c r="J852" s="53" t="n">
        <f aca="true">NORMINV(RAND(),0,J$7)</f>
        <v>-0.0545924462491433</v>
      </c>
      <c r="K852" s="53" t="n">
        <f aca="true">NORMINV(RAND(),0,K$7)</f>
        <v>0.134568095236458</v>
      </c>
      <c r="L852" s="53" t="n">
        <f aca="true">NORMINV(RAND(),0,L$7)</f>
        <v>-0.151998379576993</v>
      </c>
      <c r="M852" s="53" t="n">
        <f aca="true">NORMINV(RAND(),0,M$7)</f>
        <v>-0.10446751774571</v>
      </c>
      <c r="N852" s="53" t="n">
        <f aca="true">NORMINV(RAND(),0,N$7)</f>
        <v>0.0213046680757864</v>
      </c>
      <c r="O852" s="53" t="n">
        <f aca="false">SUM(J852:N852)</f>
        <v>-0.155185580259602</v>
      </c>
    </row>
    <row r="853" customFormat="false" ht="15" hidden="false" customHeight="false" outlineLevel="0" collapsed="false">
      <c r="A853" s="2" t="n">
        <v>845</v>
      </c>
      <c r="B853" s="53" t="n">
        <f aca="true">NORMINV(RAND(),0,B$7)</f>
        <v>-1.60856403835368</v>
      </c>
      <c r="C853" s="53" t="n">
        <f aca="true">NORMINV(RAND(),0,C$7)</f>
        <v>-3.61164325839662</v>
      </c>
      <c r="D853" s="53" t="n">
        <f aca="true">NORMINV(RAND(),0,D$7)</f>
        <v>0.608036045522799</v>
      </c>
      <c r="E853" s="53" t="n">
        <f aca="true">NORMINV(RAND(),0,E$7)</f>
        <v>-0.369110695830164</v>
      </c>
      <c r="F853" s="53" t="n">
        <f aca="true">NORMINV(RAND(),0,F$7)</f>
        <v>0.132421480878104</v>
      </c>
      <c r="G853" s="53" t="n">
        <f aca="true">NORMINV(RAND(),0,G$7)</f>
        <v>2.25702013966673</v>
      </c>
      <c r="H853" s="53" t="n">
        <f aca="true">NORMINV(RAND(),0,H$7)</f>
        <v>0.441162814097931</v>
      </c>
      <c r="I853" s="53" t="n">
        <f aca="false">SUM(B853:H853)</f>
        <v>-2.1506775124149</v>
      </c>
      <c r="J853" s="53" t="n">
        <f aca="true">NORMINV(RAND(),0,J$7)</f>
        <v>-4.11554271282434</v>
      </c>
      <c r="K853" s="53" t="n">
        <f aca="true">NORMINV(RAND(),0,K$7)</f>
        <v>-0.940267931919824</v>
      </c>
      <c r="L853" s="53" t="n">
        <f aca="true">NORMINV(RAND(),0,L$7)</f>
        <v>0.531673227230535</v>
      </c>
      <c r="M853" s="53" t="n">
        <f aca="true">NORMINV(RAND(),0,M$7)</f>
        <v>0.263847521069694</v>
      </c>
      <c r="N853" s="53" t="n">
        <f aca="true">NORMINV(RAND(),0,N$7)</f>
        <v>-0.340155594241648</v>
      </c>
      <c r="O853" s="53" t="n">
        <f aca="false">SUM(J853:N853)</f>
        <v>-4.60044549068559</v>
      </c>
    </row>
    <row r="854" customFormat="false" ht="15" hidden="false" customHeight="false" outlineLevel="0" collapsed="false">
      <c r="A854" s="2" t="n">
        <v>846</v>
      </c>
      <c r="B854" s="53" t="n">
        <f aca="true">NORMINV(RAND(),0,B$7)</f>
        <v>-3.53026192991462</v>
      </c>
      <c r="C854" s="53" t="n">
        <f aca="true">NORMINV(RAND(),0,C$7)</f>
        <v>1.31033002362639</v>
      </c>
      <c r="D854" s="53" t="n">
        <f aca="true">NORMINV(RAND(),0,D$7)</f>
        <v>2.65523289532971</v>
      </c>
      <c r="E854" s="53" t="n">
        <f aca="true">NORMINV(RAND(),0,E$7)</f>
        <v>0.215782369740568</v>
      </c>
      <c r="F854" s="53" t="n">
        <f aca="true">NORMINV(RAND(),0,F$7)</f>
        <v>-0.063448713945547</v>
      </c>
      <c r="G854" s="53" t="n">
        <f aca="true">NORMINV(RAND(),0,G$7)</f>
        <v>1.76798655231967</v>
      </c>
      <c r="H854" s="53" t="n">
        <f aca="true">NORMINV(RAND(),0,H$7)</f>
        <v>-0.588564828622919</v>
      </c>
      <c r="I854" s="53" t="n">
        <f aca="false">SUM(B854:H854)</f>
        <v>1.76705636853325</v>
      </c>
      <c r="J854" s="53" t="n">
        <f aca="true">NORMINV(RAND(),0,J$7)</f>
        <v>-0.11860115333189</v>
      </c>
      <c r="K854" s="53" t="n">
        <f aca="true">NORMINV(RAND(),0,K$7)</f>
        <v>0.705296834256596</v>
      </c>
      <c r="L854" s="53" t="n">
        <f aca="true">NORMINV(RAND(),0,L$7)</f>
        <v>-0.310793143626544</v>
      </c>
      <c r="M854" s="53" t="n">
        <f aca="true">NORMINV(RAND(),0,M$7)</f>
        <v>-0.0423959304304475</v>
      </c>
      <c r="N854" s="53" t="n">
        <f aca="true">NORMINV(RAND(),0,N$7)</f>
        <v>-0.427061955715038</v>
      </c>
      <c r="O854" s="53" t="n">
        <f aca="false">SUM(J854:N854)</f>
        <v>-0.193555348847324</v>
      </c>
    </row>
    <row r="855" customFormat="false" ht="15" hidden="false" customHeight="false" outlineLevel="0" collapsed="false">
      <c r="A855" s="2" t="n">
        <v>847</v>
      </c>
      <c r="B855" s="53" t="n">
        <f aca="true">NORMINV(RAND(),0,B$7)</f>
        <v>-1.04349941100784</v>
      </c>
      <c r="C855" s="53" t="n">
        <f aca="true">NORMINV(RAND(),0,C$7)</f>
        <v>-0.97750510861015</v>
      </c>
      <c r="D855" s="53" t="n">
        <f aca="true">NORMINV(RAND(),0,D$7)</f>
        <v>1.21276564440332</v>
      </c>
      <c r="E855" s="53" t="n">
        <f aca="true">NORMINV(RAND(),0,E$7)</f>
        <v>0.0938727704048941</v>
      </c>
      <c r="F855" s="53" t="n">
        <f aca="true">NORMINV(RAND(),0,F$7)</f>
        <v>-0.501836237093788</v>
      </c>
      <c r="G855" s="53" t="n">
        <f aca="true">NORMINV(RAND(),0,G$7)</f>
        <v>-0.933180254876405</v>
      </c>
      <c r="H855" s="53" t="n">
        <f aca="true">NORMINV(RAND(),0,H$7)</f>
        <v>0.0940497201459386</v>
      </c>
      <c r="I855" s="53" t="n">
        <f aca="false">SUM(B855:H855)</f>
        <v>-2.05533287663403</v>
      </c>
      <c r="J855" s="53" t="n">
        <f aca="true">NORMINV(RAND(),0,J$7)</f>
        <v>-2.86557349231604</v>
      </c>
      <c r="K855" s="53" t="n">
        <f aca="true">NORMINV(RAND(),0,K$7)</f>
        <v>-0.730022719432621</v>
      </c>
      <c r="L855" s="53" t="n">
        <f aca="true">NORMINV(RAND(),0,L$7)</f>
        <v>0.150186387103017</v>
      </c>
      <c r="M855" s="53" t="n">
        <f aca="true">NORMINV(RAND(),0,M$7)</f>
        <v>0.063714184098957</v>
      </c>
      <c r="N855" s="53" t="n">
        <f aca="true">NORMINV(RAND(),0,N$7)</f>
        <v>0.403305214263797</v>
      </c>
      <c r="O855" s="53" t="n">
        <f aca="false">SUM(J855:N855)</f>
        <v>-2.97839042628289</v>
      </c>
    </row>
    <row r="856" customFormat="false" ht="15" hidden="false" customHeight="false" outlineLevel="0" collapsed="false">
      <c r="A856" s="2" t="n">
        <v>848</v>
      </c>
      <c r="B856" s="53" t="n">
        <f aca="true">NORMINV(RAND(),0,B$7)</f>
        <v>-1.25415186404248</v>
      </c>
      <c r="C856" s="53" t="n">
        <f aca="true">NORMINV(RAND(),0,C$7)</f>
        <v>1.37649310730714</v>
      </c>
      <c r="D856" s="53" t="n">
        <f aca="true">NORMINV(RAND(),0,D$7)</f>
        <v>-1.67402210076652</v>
      </c>
      <c r="E856" s="53" t="n">
        <f aca="true">NORMINV(RAND(),0,E$7)</f>
        <v>-0.165241299227029</v>
      </c>
      <c r="F856" s="53" t="n">
        <f aca="true">NORMINV(RAND(),0,F$7)</f>
        <v>0.0426331756852593</v>
      </c>
      <c r="G856" s="53" t="n">
        <f aca="true">NORMINV(RAND(),0,G$7)</f>
        <v>-1.13395904032394</v>
      </c>
      <c r="H856" s="53" t="n">
        <f aca="true">NORMINV(RAND(),0,H$7)</f>
        <v>-0.0281879840840628</v>
      </c>
      <c r="I856" s="53" t="n">
        <f aca="false">SUM(B856:H856)</f>
        <v>-2.83643600545163</v>
      </c>
      <c r="J856" s="53" t="n">
        <f aca="true">NORMINV(RAND(),0,J$7)</f>
        <v>4.11620027471492</v>
      </c>
      <c r="K856" s="53" t="n">
        <f aca="true">NORMINV(RAND(),0,K$7)</f>
        <v>-0.482266556030784</v>
      </c>
      <c r="L856" s="53" t="n">
        <f aca="true">NORMINV(RAND(),0,L$7)</f>
        <v>0.735128244116232</v>
      </c>
      <c r="M856" s="53" t="n">
        <f aca="true">NORMINV(RAND(),0,M$7)</f>
        <v>-0.253449340074814</v>
      </c>
      <c r="N856" s="53" t="n">
        <f aca="true">NORMINV(RAND(),0,N$7)</f>
        <v>-0.318508766045037</v>
      </c>
      <c r="O856" s="53" t="n">
        <f aca="false">SUM(J856:N856)</f>
        <v>3.79710385668052</v>
      </c>
    </row>
    <row r="857" customFormat="false" ht="15" hidden="false" customHeight="false" outlineLevel="0" collapsed="false">
      <c r="A857" s="2" t="n">
        <v>849</v>
      </c>
      <c r="B857" s="53" t="n">
        <f aca="true">NORMINV(RAND(),0,B$7)</f>
        <v>-1.94210477708211</v>
      </c>
      <c r="C857" s="53" t="n">
        <f aca="true">NORMINV(RAND(),0,C$7)</f>
        <v>1.08269369944475</v>
      </c>
      <c r="D857" s="53" t="n">
        <f aca="true">NORMINV(RAND(),0,D$7)</f>
        <v>1.74154736584553</v>
      </c>
      <c r="E857" s="53" t="n">
        <f aca="true">NORMINV(RAND(),0,E$7)</f>
        <v>0.196990168920077</v>
      </c>
      <c r="F857" s="53" t="n">
        <f aca="true">NORMINV(RAND(),0,F$7)</f>
        <v>-0.347977034768428</v>
      </c>
      <c r="G857" s="53" t="n">
        <f aca="true">NORMINV(RAND(),0,G$7)</f>
        <v>0.0574233915412375</v>
      </c>
      <c r="H857" s="53" t="n">
        <f aca="true">NORMINV(RAND(),0,H$7)</f>
        <v>-0.560575131249135</v>
      </c>
      <c r="I857" s="53" t="n">
        <f aca="false">SUM(B857:H857)</f>
        <v>0.227997682651917</v>
      </c>
      <c r="J857" s="53" t="n">
        <f aca="true">NORMINV(RAND(),0,J$7)</f>
        <v>0.0546174032060083</v>
      </c>
      <c r="K857" s="53" t="n">
        <f aca="true">NORMINV(RAND(),0,K$7)</f>
        <v>-0.22510982799117</v>
      </c>
      <c r="L857" s="53" t="n">
        <f aca="true">NORMINV(RAND(),0,L$7)</f>
        <v>0.0454115686068377</v>
      </c>
      <c r="M857" s="53" t="n">
        <f aca="true">NORMINV(RAND(),0,M$7)</f>
        <v>0.0346198971655605</v>
      </c>
      <c r="N857" s="53" t="n">
        <f aca="true">NORMINV(RAND(),0,N$7)</f>
        <v>0.45195479850851</v>
      </c>
      <c r="O857" s="53" t="n">
        <f aca="false">SUM(J857:N857)</f>
        <v>0.361493839495746</v>
      </c>
    </row>
    <row r="858" customFormat="false" ht="15" hidden="false" customHeight="false" outlineLevel="0" collapsed="false">
      <c r="A858" s="2" t="n">
        <v>850</v>
      </c>
      <c r="B858" s="53" t="n">
        <f aca="true">NORMINV(RAND(),0,B$7)</f>
        <v>-1.72328241977001</v>
      </c>
      <c r="C858" s="53" t="n">
        <f aca="true">NORMINV(RAND(),0,C$7)</f>
        <v>0.804624617518171</v>
      </c>
      <c r="D858" s="53" t="n">
        <f aca="true">NORMINV(RAND(),0,D$7)</f>
        <v>1.71775911618124</v>
      </c>
      <c r="E858" s="53" t="n">
        <f aca="true">NORMINV(RAND(),0,E$7)</f>
        <v>0.228003904042077</v>
      </c>
      <c r="F858" s="53" t="n">
        <f aca="true">NORMINV(RAND(),0,F$7)</f>
        <v>0.671127094831495</v>
      </c>
      <c r="G858" s="53" t="n">
        <f aca="true">NORMINV(RAND(),0,G$7)</f>
        <v>-0.707301093561053</v>
      </c>
      <c r="H858" s="53" t="n">
        <f aca="true">NORMINV(RAND(),0,H$7)</f>
        <v>0.205314222884166</v>
      </c>
      <c r="I858" s="53" t="n">
        <f aca="false">SUM(B858:H858)</f>
        <v>1.19624544212609</v>
      </c>
      <c r="J858" s="53" t="n">
        <f aca="true">NORMINV(RAND(),0,J$7)</f>
        <v>1.82303281524257</v>
      </c>
      <c r="K858" s="53" t="n">
        <f aca="true">NORMINV(RAND(),0,K$7)</f>
        <v>0.724063559563269</v>
      </c>
      <c r="L858" s="53" t="n">
        <f aca="true">NORMINV(RAND(),0,L$7)</f>
        <v>0.338194830489428</v>
      </c>
      <c r="M858" s="53" t="n">
        <f aca="true">NORMINV(RAND(),0,M$7)</f>
        <v>-0.128434819827432</v>
      </c>
      <c r="N858" s="53" t="n">
        <f aca="true">NORMINV(RAND(),0,N$7)</f>
        <v>-0.00097648771635772</v>
      </c>
      <c r="O858" s="53" t="n">
        <f aca="false">SUM(J858:N858)</f>
        <v>2.75587989775148</v>
      </c>
    </row>
    <row r="859" customFormat="false" ht="15" hidden="false" customHeight="false" outlineLevel="0" collapsed="false">
      <c r="A859" s="2" t="n">
        <v>851</v>
      </c>
      <c r="B859" s="53" t="n">
        <f aca="true">NORMINV(RAND(),0,B$7)</f>
        <v>1.11558722361543</v>
      </c>
      <c r="C859" s="53" t="n">
        <f aca="true">NORMINV(RAND(),0,C$7)</f>
        <v>0.150155696020265</v>
      </c>
      <c r="D859" s="53" t="n">
        <f aca="true">NORMINV(RAND(),0,D$7)</f>
        <v>-2.53282696828298</v>
      </c>
      <c r="E859" s="53" t="n">
        <f aca="true">NORMINV(RAND(),0,E$7)</f>
        <v>0.0322935143688217</v>
      </c>
      <c r="F859" s="53" t="n">
        <f aca="true">NORMINV(RAND(),0,F$7)</f>
        <v>0.568834080717985</v>
      </c>
      <c r="G859" s="53" t="n">
        <f aca="true">NORMINV(RAND(),0,G$7)</f>
        <v>-1.48903814890622</v>
      </c>
      <c r="H859" s="53" t="n">
        <f aca="true">NORMINV(RAND(),0,H$7)</f>
        <v>0.185784816096242</v>
      </c>
      <c r="I859" s="53" t="n">
        <f aca="false">SUM(B859:H859)</f>
        <v>-1.96920978637046</v>
      </c>
      <c r="J859" s="53" t="n">
        <f aca="true">NORMINV(RAND(),0,J$7)</f>
        <v>-1.21197973885104</v>
      </c>
      <c r="K859" s="53" t="n">
        <f aca="true">NORMINV(RAND(),0,K$7)</f>
        <v>0.165440144268305</v>
      </c>
      <c r="L859" s="53" t="n">
        <f aca="true">NORMINV(RAND(),0,L$7)</f>
        <v>-0.159655242302009</v>
      </c>
      <c r="M859" s="53" t="n">
        <f aca="true">NORMINV(RAND(),0,M$7)</f>
        <v>0.0333030057571939</v>
      </c>
      <c r="N859" s="53" t="n">
        <f aca="true">NORMINV(RAND(),0,N$7)</f>
        <v>0.558186249872714</v>
      </c>
      <c r="O859" s="53" t="n">
        <f aca="false">SUM(J859:N859)</f>
        <v>-0.614705581254831</v>
      </c>
    </row>
    <row r="860" customFormat="false" ht="15" hidden="false" customHeight="false" outlineLevel="0" collapsed="false">
      <c r="A860" s="2" t="n">
        <v>852</v>
      </c>
      <c r="B860" s="53" t="n">
        <f aca="true">NORMINV(RAND(),0,B$7)</f>
        <v>-0.912596659068844</v>
      </c>
      <c r="C860" s="53" t="n">
        <f aca="true">NORMINV(RAND(),0,C$7)</f>
        <v>0.528791263569559</v>
      </c>
      <c r="D860" s="53" t="n">
        <f aca="true">NORMINV(RAND(),0,D$7)</f>
        <v>-1.41362196631342</v>
      </c>
      <c r="E860" s="53" t="n">
        <f aca="true">NORMINV(RAND(),0,E$7)</f>
        <v>-0.145106077945253</v>
      </c>
      <c r="F860" s="53" t="n">
        <f aca="true">NORMINV(RAND(),0,F$7)</f>
        <v>0.0546261836583105</v>
      </c>
      <c r="G860" s="53" t="n">
        <f aca="true">NORMINV(RAND(),0,G$7)</f>
        <v>0.127189629700213</v>
      </c>
      <c r="H860" s="53" t="n">
        <f aca="true">NORMINV(RAND(),0,H$7)</f>
        <v>-0.0623161409962849</v>
      </c>
      <c r="I860" s="53" t="n">
        <f aca="false">SUM(B860:H860)</f>
        <v>-1.82303376739572</v>
      </c>
      <c r="J860" s="53" t="n">
        <f aca="true">NORMINV(RAND(),0,J$7)</f>
        <v>-1.58990508606772</v>
      </c>
      <c r="K860" s="53" t="n">
        <f aca="true">NORMINV(RAND(),0,K$7)</f>
        <v>0.678891662870056</v>
      </c>
      <c r="L860" s="53" t="n">
        <f aca="true">NORMINV(RAND(),0,L$7)</f>
        <v>-0.354791799741152</v>
      </c>
      <c r="M860" s="53" t="n">
        <f aca="true">NORMINV(RAND(),0,M$7)</f>
        <v>0.18087326712315</v>
      </c>
      <c r="N860" s="53" t="n">
        <f aca="true">NORMINV(RAND(),0,N$7)</f>
        <v>0.509540094310951</v>
      </c>
      <c r="O860" s="53" t="n">
        <f aca="false">SUM(J860:N860)</f>
        <v>-0.575391861504713</v>
      </c>
    </row>
    <row r="861" customFormat="false" ht="15" hidden="false" customHeight="false" outlineLevel="0" collapsed="false">
      <c r="A861" s="2" t="n">
        <v>853</v>
      </c>
      <c r="B861" s="53" t="n">
        <f aca="true">NORMINV(RAND(),0,B$7)</f>
        <v>0.769653467835228</v>
      </c>
      <c r="C861" s="53" t="n">
        <f aca="true">NORMINV(RAND(),0,C$7)</f>
        <v>-0.887887033377735</v>
      </c>
      <c r="D861" s="53" t="n">
        <f aca="true">NORMINV(RAND(),0,D$7)</f>
        <v>-1.01694137619994</v>
      </c>
      <c r="E861" s="53" t="n">
        <f aca="true">NORMINV(RAND(),0,E$7)</f>
        <v>-0.160071864681998</v>
      </c>
      <c r="F861" s="53" t="n">
        <f aca="true">NORMINV(RAND(),0,F$7)</f>
        <v>-0.0464782784511229</v>
      </c>
      <c r="G861" s="53" t="n">
        <f aca="true">NORMINV(RAND(),0,G$7)</f>
        <v>2.01597339424917</v>
      </c>
      <c r="H861" s="53" t="n">
        <f aca="true">NORMINV(RAND(),0,H$7)</f>
        <v>-0.368263285022312</v>
      </c>
      <c r="I861" s="53" t="n">
        <f aca="false">SUM(B861:H861)</f>
        <v>0.305985024351289</v>
      </c>
      <c r="J861" s="53" t="n">
        <f aca="true">NORMINV(RAND(),0,J$7)</f>
        <v>-4.14106122159863</v>
      </c>
      <c r="K861" s="53" t="n">
        <f aca="true">NORMINV(RAND(),0,K$7)</f>
        <v>1.1728847357406</v>
      </c>
      <c r="L861" s="53" t="n">
        <f aca="true">NORMINV(RAND(),0,L$7)</f>
        <v>0.0777532919849842</v>
      </c>
      <c r="M861" s="53" t="n">
        <f aca="true">NORMINV(RAND(),0,M$7)</f>
        <v>0.0625873721982961</v>
      </c>
      <c r="N861" s="53" t="n">
        <f aca="true">NORMINV(RAND(),0,N$7)</f>
        <v>0.583667408278454</v>
      </c>
      <c r="O861" s="53" t="n">
        <f aca="false">SUM(J861:N861)</f>
        <v>-2.2441684133963</v>
      </c>
    </row>
    <row r="862" customFormat="false" ht="15" hidden="false" customHeight="false" outlineLevel="0" collapsed="false">
      <c r="A862" s="2" t="n">
        <v>854</v>
      </c>
      <c r="B862" s="53" t="n">
        <f aca="true">NORMINV(RAND(),0,B$7)</f>
        <v>0.577832404535641</v>
      </c>
      <c r="C862" s="53" t="n">
        <f aca="true">NORMINV(RAND(),0,C$7)</f>
        <v>-2.41598846873567</v>
      </c>
      <c r="D862" s="53" t="n">
        <f aca="true">NORMINV(RAND(),0,D$7)</f>
        <v>-0.347916588741567</v>
      </c>
      <c r="E862" s="53" t="n">
        <f aca="true">NORMINV(RAND(),0,E$7)</f>
        <v>0.157542298880149</v>
      </c>
      <c r="F862" s="53" t="n">
        <f aca="true">NORMINV(RAND(),0,F$7)</f>
        <v>0.257690552976108</v>
      </c>
      <c r="G862" s="53" t="n">
        <f aca="true">NORMINV(RAND(),0,G$7)</f>
        <v>0.540859220550124</v>
      </c>
      <c r="H862" s="53" t="n">
        <f aca="true">NORMINV(RAND(),0,H$7)</f>
        <v>-0.658611325839129</v>
      </c>
      <c r="I862" s="53" t="n">
        <f aca="false">SUM(B862:H862)</f>
        <v>-1.88859190637435</v>
      </c>
      <c r="J862" s="53" t="n">
        <f aca="true">NORMINV(RAND(),0,J$7)</f>
        <v>-2.59752014299654</v>
      </c>
      <c r="K862" s="53" t="n">
        <f aca="true">NORMINV(RAND(),0,K$7)</f>
        <v>-0.164672279009375</v>
      </c>
      <c r="L862" s="53" t="n">
        <f aca="true">NORMINV(RAND(),0,L$7)</f>
        <v>-0.214085448444984</v>
      </c>
      <c r="M862" s="53" t="n">
        <f aca="true">NORMINV(RAND(),0,M$7)</f>
        <v>0.0313125651554295</v>
      </c>
      <c r="N862" s="53" t="n">
        <f aca="true">NORMINV(RAND(),0,N$7)</f>
        <v>-0.425314768947292</v>
      </c>
      <c r="O862" s="53" t="n">
        <f aca="false">SUM(J862:N862)</f>
        <v>-3.37028007424276</v>
      </c>
    </row>
    <row r="863" customFormat="false" ht="15" hidden="false" customHeight="false" outlineLevel="0" collapsed="false">
      <c r="A863" s="2" t="n">
        <v>855</v>
      </c>
      <c r="B863" s="53" t="n">
        <f aca="true">NORMINV(RAND(),0,B$7)</f>
        <v>0.491033830632604</v>
      </c>
      <c r="C863" s="53" t="n">
        <f aca="true">NORMINV(RAND(),0,C$7)</f>
        <v>0.300970836295087</v>
      </c>
      <c r="D863" s="53" t="n">
        <f aca="true">NORMINV(RAND(),0,D$7)</f>
        <v>-1.91625127303055</v>
      </c>
      <c r="E863" s="53" t="n">
        <f aca="true">NORMINV(RAND(),0,E$7)</f>
        <v>0.709090966792568</v>
      </c>
      <c r="F863" s="53" t="n">
        <f aca="true">NORMINV(RAND(),0,F$7)</f>
        <v>-0.40813469790866</v>
      </c>
      <c r="G863" s="53" t="n">
        <f aca="true">NORMINV(RAND(),0,G$7)</f>
        <v>1.49082080690241</v>
      </c>
      <c r="H863" s="53" t="n">
        <f aca="true">NORMINV(RAND(),0,H$7)</f>
        <v>0.295395570417041</v>
      </c>
      <c r="I863" s="53" t="n">
        <f aca="false">SUM(B863:H863)</f>
        <v>0.9629260401005</v>
      </c>
      <c r="J863" s="53" t="n">
        <f aca="true">NORMINV(RAND(),0,J$7)</f>
        <v>-3.88744968124505</v>
      </c>
      <c r="K863" s="53" t="n">
        <f aca="true">NORMINV(RAND(),0,K$7)</f>
        <v>0.101121460928919</v>
      </c>
      <c r="L863" s="53" t="n">
        <f aca="true">NORMINV(RAND(),0,L$7)</f>
        <v>0.479330171190858</v>
      </c>
      <c r="M863" s="53" t="n">
        <f aca="true">NORMINV(RAND(),0,M$7)</f>
        <v>0.0287414200619817</v>
      </c>
      <c r="N863" s="53" t="n">
        <f aca="true">NORMINV(RAND(),0,N$7)</f>
        <v>-0.0365725409154346</v>
      </c>
      <c r="O863" s="53" t="n">
        <f aca="false">SUM(J863:N863)</f>
        <v>-3.31482916997873</v>
      </c>
    </row>
    <row r="864" customFormat="false" ht="15" hidden="false" customHeight="false" outlineLevel="0" collapsed="false">
      <c r="A864" s="2" t="n">
        <v>856</v>
      </c>
      <c r="B864" s="53" t="n">
        <f aca="true">NORMINV(RAND(),0,B$7)</f>
        <v>-0.431420872480944</v>
      </c>
      <c r="C864" s="53" t="n">
        <f aca="true">NORMINV(RAND(),0,C$7)</f>
        <v>1.53311928210825</v>
      </c>
      <c r="D864" s="53" t="n">
        <f aca="true">NORMINV(RAND(),0,D$7)</f>
        <v>-1.57409177555409</v>
      </c>
      <c r="E864" s="53" t="n">
        <f aca="true">NORMINV(RAND(),0,E$7)</f>
        <v>-0.279326498839507</v>
      </c>
      <c r="F864" s="53" t="n">
        <f aca="true">NORMINV(RAND(),0,F$7)</f>
        <v>-0.164132525796776</v>
      </c>
      <c r="G864" s="53" t="n">
        <f aca="true">NORMINV(RAND(),0,G$7)</f>
        <v>-1.27540141381197</v>
      </c>
      <c r="H864" s="53" t="n">
        <f aca="true">NORMINV(RAND(),0,H$7)</f>
        <v>-0.0479630606011887</v>
      </c>
      <c r="I864" s="53" t="n">
        <f aca="false">SUM(B864:H864)</f>
        <v>-2.23921686497622</v>
      </c>
      <c r="J864" s="53" t="n">
        <f aca="true">NORMINV(RAND(),0,J$7)</f>
        <v>-3.65910292851091</v>
      </c>
      <c r="K864" s="53" t="n">
        <f aca="true">NORMINV(RAND(),0,K$7)</f>
        <v>-1.01021704791846</v>
      </c>
      <c r="L864" s="53" t="n">
        <f aca="true">NORMINV(RAND(),0,L$7)</f>
        <v>-0.589192627922818</v>
      </c>
      <c r="M864" s="53" t="n">
        <f aca="true">NORMINV(RAND(),0,M$7)</f>
        <v>-0.0822882625353205</v>
      </c>
      <c r="N864" s="53" t="n">
        <f aca="true">NORMINV(RAND(),0,N$7)</f>
        <v>-0.263082399794798</v>
      </c>
      <c r="O864" s="53" t="n">
        <f aca="false">SUM(J864:N864)</f>
        <v>-5.60388326668231</v>
      </c>
    </row>
    <row r="865" customFormat="false" ht="15" hidden="false" customHeight="false" outlineLevel="0" collapsed="false">
      <c r="A865" s="2" t="n">
        <v>857</v>
      </c>
      <c r="B865" s="53" t="n">
        <f aca="true">NORMINV(RAND(),0,B$7)</f>
        <v>2.66580833423316</v>
      </c>
      <c r="C865" s="53" t="n">
        <f aca="true">NORMINV(RAND(),0,C$7)</f>
        <v>3.07972594064106</v>
      </c>
      <c r="D865" s="53" t="n">
        <f aca="true">NORMINV(RAND(),0,D$7)</f>
        <v>-0.910948062295784</v>
      </c>
      <c r="E865" s="53" t="n">
        <f aca="true">NORMINV(RAND(),0,E$7)</f>
        <v>0.985448074805287</v>
      </c>
      <c r="F865" s="53" t="n">
        <f aca="true">NORMINV(RAND(),0,F$7)</f>
        <v>0.595628416086793</v>
      </c>
      <c r="G865" s="53" t="n">
        <f aca="true">NORMINV(RAND(),0,G$7)</f>
        <v>-1.41948228024102</v>
      </c>
      <c r="H865" s="53" t="n">
        <f aca="true">NORMINV(RAND(),0,H$7)</f>
        <v>-0.610100285328543</v>
      </c>
      <c r="I865" s="53" t="n">
        <f aca="false">SUM(B865:H865)</f>
        <v>4.38608013790095</v>
      </c>
      <c r="J865" s="53" t="n">
        <f aca="true">NORMINV(RAND(),0,J$7)</f>
        <v>-0.666543448661576</v>
      </c>
      <c r="K865" s="53" t="n">
        <f aca="true">NORMINV(RAND(),0,K$7)</f>
        <v>-0.749921074458606</v>
      </c>
      <c r="L865" s="53" t="n">
        <f aca="true">NORMINV(RAND(),0,L$7)</f>
        <v>0.00979573213482336</v>
      </c>
      <c r="M865" s="53" t="n">
        <f aca="true">NORMINV(RAND(),0,M$7)</f>
        <v>-0.443817322564112</v>
      </c>
      <c r="N865" s="53" t="n">
        <f aca="true">NORMINV(RAND(),0,N$7)</f>
        <v>-0.58357154433954</v>
      </c>
      <c r="O865" s="53" t="n">
        <f aca="false">SUM(J865:N865)</f>
        <v>-2.43405765788901</v>
      </c>
    </row>
    <row r="866" customFormat="false" ht="15" hidden="false" customHeight="false" outlineLevel="0" collapsed="false">
      <c r="A866" s="2" t="n">
        <v>858</v>
      </c>
      <c r="B866" s="53" t="n">
        <f aca="true">NORMINV(RAND(),0,B$7)</f>
        <v>0.660111519283216</v>
      </c>
      <c r="C866" s="53" t="n">
        <f aca="true">NORMINV(RAND(),0,C$7)</f>
        <v>0.685479398755141</v>
      </c>
      <c r="D866" s="53" t="n">
        <f aca="true">NORMINV(RAND(),0,D$7)</f>
        <v>1.24523255738356</v>
      </c>
      <c r="E866" s="53" t="n">
        <f aca="true">NORMINV(RAND(),0,E$7)</f>
        <v>-0.0464360163508063</v>
      </c>
      <c r="F866" s="53" t="n">
        <f aca="true">NORMINV(RAND(),0,F$7)</f>
        <v>-0.0917263620396568</v>
      </c>
      <c r="G866" s="53" t="n">
        <f aca="true">NORMINV(RAND(),0,G$7)</f>
        <v>-0.275230756934669</v>
      </c>
      <c r="H866" s="53" t="n">
        <f aca="true">NORMINV(RAND(),0,H$7)</f>
        <v>0.409063945218031</v>
      </c>
      <c r="I866" s="53" t="n">
        <f aca="false">SUM(B866:H866)</f>
        <v>2.58649428531482</v>
      </c>
      <c r="J866" s="53" t="n">
        <f aca="true">NORMINV(RAND(),0,J$7)</f>
        <v>0.858545312681493</v>
      </c>
      <c r="K866" s="53" t="n">
        <f aca="true">NORMINV(RAND(),0,K$7)</f>
        <v>1.32414668430156</v>
      </c>
      <c r="L866" s="53" t="n">
        <f aca="true">NORMINV(RAND(),0,L$7)</f>
        <v>0.0700121768897239</v>
      </c>
      <c r="M866" s="53" t="n">
        <f aca="true">NORMINV(RAND(),0,M$7)</f>
        <v>0.127486965360203</v>
      </c>
      <c r="N866" s="53" t="n">
        <f aca="true">NORMINV(RAND(),0,N$7)</f>
        <v>0.107920196145183</v>
      </c>
      <c r="O866" s="53" t="n">
        <f aca="false">SUM(J866:N866)</f>
        <v>2.48811133537816</v>
      </c>
    </row>
    <row r="867" customFormat="false" ht="15" hidden="false" customHeight="false" outlineLevel="0" collapsed="false">
      <c r="A867" s="2" t="n">
        <v>859</v>
      </c>
      <c r="B867" s="53" t="n">
        <f aca="true">NORMINV(RAND(),0,B$7)</f>
        <v>0.079694259579148</v>
      </c>
      <c r="C867" s="53" t="n">
        <f aca="true">NORMINV(RAND(),0,C$7)</f>
        <v>-0.54440918563753</v>
      </c>
      <c r="D867" s="53" t="n">
        <f aca="true">NORMINV(RAND(),0,D$7)</f>
        <v>0.695040802802764</v>
      </c>
      <c r="E867" s="53" t="n">
        <f aca="true">NORMINV(RAND(),0,E$7)</f>
        <v>1.06610591543398</v>
      </c>
      <c r="F867" s="53" t="n">
        <f aca="true">NORMINV(RAND(),0,F$7)</f>
        <v>0.028868851259779</v>
      </c>
      <c r="G867" s="53" t="n">
        <f aca="true">NORMINV(RAND(),0,G$7)</f>
        <v>1.58810396611461</v>
      </c>
      <c r="H867" s="53" t="n">
        <f aca="true">NORMINV(RAND(),0,H$7)</f>
        <v>0.211183635137833</v>
      </c>
      <c r="I867" s="53" t="n">
        <f aca="false">SUM(B867:H867)</f>
        <v>3.12458824469058</v>
      </c>
      <c r="J867" s="53" t="n">
        <f aca="true">NORMINV(RAND(),0,J$7)</f>
        <v>3.63075195173092</v>
      </c>
      <c r="K867" s="53" t="n">
        <f aca="true">NORMINV(RAND(),0,K$7)</f>
        <v>0.859738663620719</v>
      </c>
      <c r="L867" s="53" t="n">
        <f aca="true">NORMINV(RAND(),0,L$7)</f>
        <v>0.0567982645590252</v>
      </c>
      <c r="M867" s="53" t="n">
        <f aca="true">NORMINV(RAND(),0,M$7)</f>
        <v>0.0123092610294934</v>
      </c>
      <c r="N867" s="53" t="n">
        <f aca="true">NORMINV(RAND(),0,N$7)</f>
        <v>0.535523910557939</v>
      </c>
      <c r="O867" s="53" t="n">
        <f aca="false">SUM(J867:N867)</f>
        <v>5.0951220514981</v>
      </c>
    </row>
    <row r="868" customFormat="false" ht="15" hidden="false" customHeight="false" outlineLevel="0" collapsed="false">
      <c r="A868" s="2" t="n">
        <v>860</v>
      </c>
      <c r="B868" s="53" t="n">
        <f aca="true">NORMINV(RAND(),0,B$7)</f>
        <v>1.11819260034235</v>
      </c>
      <c r="C868" s="53" t="n">
        <f aca="true">NORMINV(RAND(),0,C$7)</f>
        <v>-1.58786386492413</v>
      </c>
      <c r="D868" s="53" t="n">
        <f aca="true">NORMINV(RAND(),0,D$7)</f>
        <v>-0.0328724182342666</v>
      </c>
      <c r="E868" s="53" t="n">
        <f aca="true">NORMINV(RAND(),0,E$7)</f>
        <v>0.111604439533641</v>
      </c>
      <c r="F868" s="53" t="n">
        <f aca="true">NORMINV(RAND(),0,F$7)</f>
        <v>0.440242752435895</v>
      </c>
      <c r="G868" s="53" t="n">
        <f aca="true">NORMINV(RAND(),0,G$7)</f>
        <v>1.05541499089681</v>
      </c>
      <c r="H868" s="53" t="n">
        <f aca="true">NORMINV(RAND(),0,H$7)</f>
        <v>0.0736326830136414</v>
      </c>
      <c r="I868" s="53" t="n">
        <f aca="false">SUM(B868:H868)</f>
        <v>1.17835118306395</v>
      </c>
      <c r="J868" s="53" t="n">
        <f aca="true">NORMINV(RAND(),0,J$7)</f>
        <v>0.272548975207552</v>
      </c>
      <c r="K868" s="53" t="n">
        <f aca="true">NORMINV(RAND(),0,K$7)</f>
        <v>-0.486950588276477</v>
      </c>
      <c r="L868" s="53" t="n">
        <f aca="true">NORMINV(RAND(),0,L$7)</f>
        <v>-0.314790183646973</v>
      </c>
      <c r="M868" s="53" t="n">
        <f aca="true">NORMINV(RAND(),0,M$7)</f>
        <v>0.0446494721809093</v>
      </c>
      <c r="N868" s="53" t="n">
        <f aca="true">NORMINV(RAND(),0,N$7)</f>
        <v>0.389343791308951</v>
      </c>
      <c r="O868" s="53" t="n">
        <f aca="false">SUM(J868:N868)</f>
        <v>-0.0951985332260385</v>
      </c>
    </row>
    <row r="869" customFormat="false" ht="15" hidden="false" customHeight="false" outlineLevel="0" collapsed="false">
      <c r="A869" s="2" t="n">
        <v>861</v>
      </c>
      <c r="B869" s="53" t="n">
        <f aca="true">NORMINV(RAND(),0,B$7)</f>
        <v>2.84652502932201</v>
      </c>
      <c r="C869" s="53" t="n">
        <f aca="true">NORMINV(RAND(),0,C$7)</f>
        <v>-0.481556023921105</v>
      </c>
      <c r="D869" s="53" t="n">
        <f aca="true">NORMINV(RAND(),0,D$7)</f>
        <v>-2.32216845168685</v>
      </c>
      <c r="E869" s="53" t="n">
        <f aca="true">NORMINV(RAND(),0,E$7)</f>
        <v>-0.819878550950818</v>
      </c>
      <c r="F869" s="53" t="n">
        <f aca="true">NORMINV(RAND(),0,F$7)</f>
        <v>0.32562948350198</v>
      </c>
      <c r="G869" s="53" t="n">
        <f aca="true">NORMINV(RAND(),0,G$7)</f>
        <v>-0.567322812216318</v>
      </c>
      <c r="H869" s="53" t="n">
        <f aca="true">NORMINV(RAND(),0,H$7)</f>
        <v>0.0361462518129403</v>
      </c>
      <c r="I869" s="53" t="n">
        <f aca="false">SUM(B869:H869)</f>
        <v>-0.982625074138156</v>
      </c>
      <c r="J869" s="53" t="n">
        <f aca="true">NORMINV(RAND(),0,J$7)</f>
        <v>-1.97053193066969</v>
      </c>
      <c r="K869" s="53" t="n">
        <f aca="true">NORMINV(RAND(),0,K$7)</f>
        <v>-0.464276356730204</v>
      </c>
      <c r="L869" s="53" t="n">
        <f aca="true">NORMINV(RAND(),0,L$7)</f>
        <v>-0.53849352564575</v>
      </c>
      <c r="M869" s="53" t="n">
        <f aca="true">NORMINV(RAND(),0,M$7)</f>
        <v>0.335011794664177</v>
      </c>
      <c r="N869" s="53" t="n">
        <f aca="true">NORMINV(RAND(),0,N$7)</f>
        <v>0.264001826868689</v>
      </c>
      <c r="O869" s="53" t="n">
        <f aca="false">SUM(J869:N869)</f>
        <v>-2.37428819151278</v>
      </c>
    </row>
    <row r="870" customFormat="false" ht="15" hidden="false" customHeight="false" outlineLevel="0" collapsed="false">
      <c r="A870" s="2" t="n">
        <v>862</v>
      </c>
      <c r="B870" s="53" t="n">
        <f aca="true">NORMINV(RAND(),0,B$7)</f>
        <v>-2.21235611513062</v>
      </c>
      <c r="C870" s="53" t="n">
        <f aca="true">NORMINV(RAND(),0,C$7)</f>
        <v>0.991280226578391</v>
      </c>
      <c r="D870" s="53" t="n">
        <f aca="true">NORMINV(RAND(),0,D$7)</f>
        <v>1.43764360620629</v>
      </c>
      <c r="E870" s="53" t="n">
        <f aca="true">NORMINV(RAND(),0,E$7)</f>
        <v>-0.145460662656297</v>
      </c>
      <c r="F870" s="53" t="n">
        <f aca="true">NORMINV(RAND(),0,F$7)</f>
        <v>-0.205617875329083</v>
      </c>
      <c r="G870" s="53" t="n">
        <f aca="true">NORMINV(RAND(),0,G$7)</f>
        <v>-2.50342350821548</v>
      </c>
      <c r="H870" s="53" t="n">
        <f aca="true">NORMINV(RAND(),0,H$7)</f>
        <v>-0.394025367173782</v>
      </c>
      <c r="I870" s="53" t="n">
        <f aca="false">SUM(B870:H870)</f>
        <v>-3.03195969572058</v>
      </c>
      <c r="J870" s="53" t="n">
        <f aca="true">NORMINV(RAND(),0,J$7)</f>
        <v>1.48552794357691</v>
      </c>
      <c r="K870" s="53" t="n">
        <f aca="true">NORMINV(RAND(),0,K$7)</f>
        <v>-0.36147151683637</v>
      </c>
      <c r="L870" s="53" t="n">
        <f aca="true">NORMINV(RAND(),0,L$7)</f>
        <v>-0.181582530821689</v>
      </c>
      <c r="M870" s="53" t="n">
        <f aca="true">NORMINV(RAND(),0,M$7)</f>
        <v>-0.155117920619117</v>
      </c>
      <c r="N870" s="53" t="n">
        <f aca="true">NORMINV(RAND(),0,N$7)</f>
        <v>-0.197195836039237</v>
      </c>
      <c r="O870" s="53" t="n">
        <f aca="false">SUM(J870:N870)</f>
        <v>0.5901601392605</v>
      </c>
    </row>
    <row r="871" customFormat="false" ht="15" hidden="false" customHeight="false" outlineLevel="0" collapsed="false">
      <c r="A871" s="2" t="n">
        <v>863</v>
      </c>
      <c r="B871" s="53" t="n">
        <f aca="true">NORMINV(RAND(),0,B$7)</f>
        <v>-1.32766229856948</v>
      </c>
      <c r="C871" s="53" t="n">
        <f aca="true">NORMINV(RAND(),0,C$7)</f>
        <v>0.504617867662856</v>
      </c>
      <c r="D871" s="53" t="n">
        <f aca="true">NORMINV(RAND(),0,D$7)</f>
        <v>2.58331016976434</v>
      </c>
      <c r="E871" s="53" t="n">
        <f aca="true">NORMINV(RAND(),0,E$7)</f>
        <v>0.183199072580299</v>
      </c>
      <c r="F871" s="53" t="n">
        <f aca="true">NORMINV(RAND(),0,F$7)</f>
        <v>-0.258126691740607</v>
      </c>
      <c r="G871" s="53" t="n">
        <f aca="true">NORMINV(RAND(),0,G$7)</f>
        <v>2.48817179079671</v>
      </c>
      <c r="H871" s="53" t="n">
        <f aca="true">NORMINV(RAND(),0,H$7)</f>
        <v>0.0614658832377375</v>
      </c>
      <c r="I871" s="53" t="n">
        <f aca="false">SUM(B871:H871)</f>
        <v>4.23497579373186</v>
      </c>
      <c r="J871" s="53" t="n">
        <f aca="true">NORMINV(RAND(),0,J$7)</f>
        <v>-1.92918041594789</v>
      </c>
      <c r="K871" s="53" t="n">
        <f aca="true">NORMINV(RAND(),0,K$7)</f>
        <v>-0.277309574319833</v>
      </c>
      <c r="L871" s="53" t="n">
        <f aca="true">NORMINV(RAND(),0,L$7)</f>
        <v>0.00104076943876553</v>
      </c>
      <c r="M871" s="53" t="n">
        <f aca="true">NORMINV(RAND(),0,M$7)</f>
        <v>-0.32162498886592</v>
      </c>
      <c r="N871" s="53" t="n">
        <f aca="true">NORMINV(RAND(),0,N$7)</f>
        <v>-0.0989629288117361</v>
      </c>
      <c r="O871" s="53" t="n">
        <f aca="false">SUM(J871:N871)</f>
        <v>-2.62603713850662</v>
      </c>
    </row>
    <row r="872" customFormat="false" ht="15" hidden="false" customHeight="false" outlineLevel="0" collapsed="false">
      <c r="A872" s="2" t="n">
        <v>864</v>
      </c>
      <c r="B872" s="53" t="n">
        <f aca="true">NORMINV(RAND(),0,B$7)</f>
        <v>-0.253204127959086</v>
      </c>
      <c r="C872" s="53" t="n">
        <f aca="true">NORMINV(RAND(),0,C$7)</f>
        <v>2.00144468009776</v>
      </c>
      <c r="D872" s="53" t="n">
        <f aca="true">NORMINV(RAND(),0,D$7)</f>
        <v>-0.350428876830029</v>
      </c>
      <c r="E872" s="53" t="n">
        <f aca="true">NORMINV(RAND(),0,E$7)</f>
        <v>-0.194522131540536</v>
      </c>
      <c r="F872" s="53" t="n">
        <f aca="true">NORMINV(RAND(),0,F$7)</f>
        <v>0.150106236839627</v>
      </c>
      <c r="G872" s="53" t="n">
        <f aca="true">NORMINV(RAND(),0,G$7)</f>
        <v>1.67033497268086</v>
      </c>
      <c r="H872" s="53" t="n">
        <f aca="true">NORMINV(RAND(),0,H$7)</f>
        <v>0.222127659141916</v>
      </c>
      <c r="I872" s="53" t="n">
        <f aca="false">SUM(B872:H872)</f>
        <v>3.24585841243052</v>
      </c>
      <c r="J872" s="53" t="n">
        <f aca="true">NORMINV(RAND(),0,J$7)</f>
        <v>-3.52975280464957</v>
      </c>
      <c r="K872" s="53" t="n">
        <f aca="true">NORMINV(RAND(),0,K$7)</f>
        <v>0.546706549864457</v>
      </c>
      <c r="L872" s="53" t="n">
        <f aca="true">NORMINV(RAND(),0,L$7)</f>
        <v>-0.23570179749245</v>
      </c>
      <c r="M872" s="53" t="n">
        <f aca="true">NORMINV(RAND(),0,M$7)</f>
        <v>-0.0642242164017644</v>
      </c>
      <c r="N872" s="53" t="n">
        <f aca="true">NORMINV(RAND(),0,N$7)</f>
        <v>0.00874122285954415</v>
      </c>
      <c r="O872" s="53" t="n">
        <f aca="false">SUM(J872:N872)</f>
        <v>-3.27423104581978</v>
      </c>
    </row>
    <row r="873" customFormat="false" ht="15" hidden="false" customHeight="false" outlineLevel="0" collapsed="false">
      <c r="A873" s="2" t="n">
        <v>865</v>
      </c>
      <c r="B873" s="53" t="n">
        <f aca="true">NORMINV(RAND(),0,B$7)</f>
        <v>0.468209855515274</v>
      </c>
      <c r="C873" s="53" t="n">
        <f aca="true">NORMINV(RAND(),0,C$7)</f>
        <v>-2.19420764970776</v>
      </c>
      <c r="D873" s="53" t="n">
        <f aca="true">NORMINV(RAND(),0,D$7)</f>
        <v>0.357230630374431</v>
      </c>
      <c r="E873" s="53" t="n">
        <f aca="true">NORMINV(RAND(),0,E$7)</f>
        <v>0.129439317408153</v>
      </c>
      <c r="F873" s="53" t="n">
        <f aca="true">NORMINV(RAND(),0,F$7)</f>
        <v>-0.101241948244023</v>
      </c>
      <c r="G873" s="53" t="n">
        <f aca="true">NORMINV(RAND(),0,G$7)</f>
        <v>-1.65764305719926</v>
      </c>
      <c r="H873" s="53" t="n">
        <f aca="true">NORMINV(RAND(),0,H$7)</f>
        <v>0.139691699652728</v>
      </c>
      <c r="I873" s="53" t="n">
        <f aca="false">SUM(B873:H873)</f>
        <v>-2.85852115220046</v>
      </c>
      <c r="J873" s="53" t="n">
        <f aca="true">NORMINV(RAND(),0,J$7)</f>
        <v>-1.67855799800808</v>
      </c>
      <c r="K873" s="53" t="n">
        <f aca="true">NORMINV(RAND(),0,K$7)</f>
        <v>0.199434808818032</v>
      </c>
      <c r="L873" s="53" t="n">
        <f aca="true">NORMINV(RAND(),0,L$7)</f>
        <v>0.128524459447168</v>
      </c>
      <c r="M873" s="53" t="n">
        <f aca="true">NORMINV(RAND(),0,M$7)</f>
        <v>0.19668808162546</v>
      </c>
      <c r="N873" s="53" t="n">
        <f aca="true">NORMINV(RAND(),0,N$7)</f>
        <v>0.204201003854437</v>
      </c>
      <c r="O873" s="53" t="n">
        <f aca="false">SUM(J873:N873)</f>
        <v>-0.94970964426298</v>
      </c>
    </row>
    <row r="874" customFormat="false" ht="15" hidden="false" customHeight="false" outlineLevel="0" collapsed="false">
      <c r="A874" s="2" t="n">
        <v>866</v>
      </c>
      <c r="B874" s="53" t="n">
        <f aca="true">NORMINV(RAND(),0,B$7)</f>
        <v>-0.1121813369683</v>
      </c>
      <c r="C874" s="53" t="n">
        <f aca="true">NORMINV(RAND(),0,C$7)</f>
        <v>-1.58883615661418</v>
      </c>
      <c r="D874" s="53" t="n">
        <f aca="true">NORMINV(RAND(),0,D$7)</f>
        <v>-4.01979645169943</v>
      </c>
      <c r="E874" s="53" t="n">
        <f aca="true">NORMINV(RAND(),0,E$7)</f>
        <v>-0.066790233919347</v>
      </c>
      <c r="F874" s="53" t="n">
        <f aca="true">NORMINV(RAND(),0,F$7)</f>
        <v>0.287314216889125</v>
      </c>
      <c r="G874" s="53" t="n">
        <f aca="true">NORMINV(RAND(),0,G$7)</f>
        <v>0.494883517756689</v>
      </c>
      <c r="H874" s="53" t="n">
        <f aca="true">NORMINV(RAND(),0,H$7)</f>
        <v>-0.0465798444606275</v>
      </c>
      <c r="I874" s="53" t="n">
        <f aca="false">SUM(B874:H874)</f>
        <v>-5.05198628901607</v>
      </c>
      <c r="J874" s="53" t="n">
        <f aca="true">NORMINV(RAND(),0,J$7)</f>
        <v>3.90515800079748</v>
      </c>
      <c r="K874" s="53" t="n">
        <f aca="true">NORMINV(RAND(),0,K$7)</f>
        <v>-0.26171252480556</v>
      </c>
      <c r="L874" s="53" t="n">
        <f aca="true">NORMINV(RAND(),0,L$7)</f>
        <v>0.166298619940816</v>
      </c>
      <c r="M874" s="53" t="n">
        <f aca="true">NORMINV(RAND(),0,M$7)</f>
        <v>-0.24051424909381</v>
      </c>
      <c r="N874" s="53" t="n">
        <f aca="true">NORMINV(RAND(),0,N$7)</f>
        <v>0.0193521899345036</v>
      </c>
      <c r="O874" s="53" t="n">
        <f aca="false">SUM(J874:N874)</f>
        <v>3.58858203677343</v>
      </c>
    </row>
    <row r="875" customFormat="false" ht="15" hidden="false" customHeight="false" outlineLevel="0" collapsed="false">
      <c r="A875" s="2" t="n">
        <v>867</v>
      </c>
      <c r="B875" s="53" t="n">
        <f aca="true">NORMINV(RAND(),0,B$7)</f>
        <v>-2.64212502399275</v>
      </c>
      <c r="C875" s="53" t="n">
        <f aca="true">NORMINV(RAND(),0,C$7)</f>
        <v>2.26929302561051</v>
      </c>
      <c r="D875" s="53" t="n">
        <f aca="true">NORMINV(RAND(),0,D$7)</f>
        <v>2.06402593969438</v>
      </c>
      <c r="E875" s="53" t="n">
        <f aca="true">NORMINV(RAND(),0,E$7)</f>
        <v>0.370885078546697</v>
      </c>
      <c r="F875" s="53" t="n">
        <f aca="true">NORMINV(RAND(),0,F$7)</f>
        <v>-0.461103279889741</v>
      </c>
      <c r="G875" s="53" t="n">
        <f aca="true">NORMINV(RAND(),0,G$7)</f>
        <v>-1.66016824284657</v>
      </c>
      <c r="H875" s="53" t="n">
        <f aca="true">NORMINV(RAND(),0,H$7)</f>
        <v>-0.201971126047624</v>
      </c>
      <c r="I875" s="53" t="n">
        <f aca="false">SUM(B875:H875)</f>
        <v>-0.261163628925097</v>
      </c>
      <c r="J875" s="53" t="n">
        <f aca="true">NORMINV(RAND(),0,J$7)</f>
        <v>2.41749004671597</v>
      </c>
      <c r="K875" s="53" t="n">
        <f aca="true">NORMINV(RAND(),0,K$7)</f>
        <v>0.651735130042003</v>
      </c>
      <c r="L875" s="53" t="n">
        <f aca="true">NORMINV(RAND(),0,L$7)</f>
        <v>0.205459708823601</v>
      </c>
      <c r="M875" s="53" t="n">
        <f aca="true">NORMINV(RAND(),0,M$7)</f>
        <v>0.472809009584981</v>
      </c>
      <c r="N875" s="53" t="n">
        <f aca="true">NORMINV(RAND(),0,N$7)</f>
        <v>-0.371743546190118</v>
      </c>
      <c r="O875" s="53" t="n">
        <f aca="false">SUM(J875:N875)</f>
        <v>3.37575034897643</v>
      </c>
    </row>
    <row r="876" customFormat="false" ht="15" hidden="false" customHeight="false" outlineLevel="0" collapsed="false">
      <c r="A876" s="2" t="n">
        <v>868</v>
      </c>
      <c r="B876" s="53" t="n">
        <f aca="true">NORMINV(RAND(),0,B$7)</f>
        <v>0.763489000447182</v>
      </c>
      <c r="C876" s="53" t="n">
        <f aca="true">NORMINV(RAND(),0,C$7)</f>
        <v>3.71683179040329</v>
      </c>
      <c r="D876" s="53" t="n">
        <f aca="true">NORMINV(RAND(),0,D$7)</f>
        <v>-2.82124816074667</v>
      </c>
      <c r="E876" s="53" t="n">
        <f aca="true">NORMINV(RAND(),0,E$7)</f>
        <v>0.0272427144391374</v>
      </c>
      <c r="F876" s="53" t="n">
        <f aca="true">NORMINV(RAND(),0,F$7)</f>
        <v>-0.0492196416180601</v>
      </c>
      <c r="G876" s="53" t="n">
        <f aca="true">NORMINV(RAND(),0,G$7)</f>
        <v>0.539786174722543</v>
      </c>
      <c r="H876" s="53" t="n">
        <f aca="true">NORMINV(RAND(),0,H$7)</f>
        <v>0.543270620755746</v>
      </c>
      <c r="I876" s="53" t="n">
        <f aca="false">SUM(B876:H876)</f>
        <v>2.72015249840317</v>
      </c>
      <c r="J876" s="53" t="n">
        <f aca="true">NORMINV(RAND(),0,J$7)</f>
        <v>0.194579659010058</v>
      </c>
      <c r="K876" s="53" t="n">
        <f aca="true">NORMINV(RAND(),0,K$7)</f>
        <v>-0.736597087547564</v>
      </c>
      <c r="L876" s="53" t="n">
        <f aca="true">NORMINV(RAND(),0,L$7)</f>
        <v>-0.162130514025054</v>
      </c>
      <c r="M876" s="53" t="n">
        <f aca="true">NORMINV(RAND(),0,M$7)</f>
        <v>-0.273347845361208</v>
      </c>
      <c r="N876" s="53" t="n">
        <f aca="true">NORMINV(RAND(),0,N$7)</f>
        <v>0.541005117338521</v>
      </c>
      <c r="O876" s="53" t="n">
        <f aca="false">SUM(J876:N876)</f>
        <v>-0.436490670585248</v>
      </c>
    </row>
    <row r="877" customFormat="false" ht="15" hidden="false" customHeight="false" outlineLevel="0" collapsed="false">
      <c r="A877" s="2" t="n">
        <v>869</v>
      </c>
      <c r="B877" s="53" t="n">
        <f aca="true">NORMINV(RAND(),0,B$7)</f>
        <v>1.14605866679093</v>
      </c>
      <c r="C877" s="53" t="n">
        <f aca="true">NORMINV(RAND(),0,C$7)</f>
        <v>-0.260350799451196</v>
      </c>
      <c r="D877" s="53" t="n">
        <f aca="true">NORMINV(RAND(),0,D$7)</f>
        <v>-0.163592214885554</v>
      </c>
      <c r="E877" s="53" t="n">
        <f aca="true">NORMINV(RAND(),0,E$7)</f>
        <v>-0.456054958045267</v>
      </c>
      <c r="F877" s="53" t="n">
        <f aca="true">NORMINV(RAND(),0,F$7)</f>
        <v>-0.166022117395836</v>
      </c>
      <c r="G877" s="53" t="n">
        <f aca="true">NORMINV(RAND(),0,G$7)</f>
        <v>-1.60391924114738</v>
      </c>
      <c r="H877" s="53" t="n">
        <f aca="true">NORMINV(RAND(),0,H$7)</f>
        <v>0.599583084731081</v>
      </c>
      <c r="I877" s="53" t="n">
        <f aca="false">SUM(B877:H877)</f>
        <v>-0.904297579403225</v>
      </c>
      <c r="J877" s="53" t="n">
        <f aca="true">NORMINV(RAND(),0,J$7)</f>
        <v>1.09415085564865</v>
      </c>
      <c r="K877" s="53" t="n">
        <f aca="true">NORMINV(RAND(),0,K$7)</f>
        <v>0.262141246600299</v>
      </c>
      <c r="L877" s="53" t="n">
        <f aca="true">NORMINV(RAND(),0,L$7)</f>
        <v>0.316182692389648</v>
      </c>
      <c r="M877" s="53" t="n">
        <f aca="true">NORMINV(RAND(),0,M$7)</f>
        <v>-0.275472838066665</v>
      </c>
      <c r="N877" s="53" t="n">
        <f aca="true">NORMINV(RAND(),0,N$7)</f>
        <v>0.499945759140193</v>
      </c>
      <c r="O877" s="53" t="n">
        <f aca="false">SUM(J877:N877)</f>
        <v>1.89694771571212</v>
      </c>
    </row>
    <row r="878" customFormat="false" ht="15" hidden="false" customHeight="false" outlineLevel="0" collapsed="false">
      <c r="A878" s="2" t="n">
        <v>870</v>
      </c>
      <c r="B878" s="53" t="n">
        <f aca="true">NORMINV(RAND(),0,B$7)</f>
        <v>-0.0408574323932997</v>
      </c>
      <c r="C878" s="53" t="n">
        <f aca="true">NORMINV(RAND(),0,C$7)</f>
        <v>-1.59508086111056</v>
      </c>
      <c r="D878" s="53" t="n">
        <f aca="true">NORMINV(RAND(),0,D$7)</f>
        <v>2.0697685156769</v>
      </c>
      <c r="E878" s="53" t="n">
        <f aca="true">NORMINV(RAND(),0,E$7)</f>
        <v>0.619392635491733</v>
      </c>
      <c r="F878" s="53" t="n">
        <f aca="true">NORMINV(RAND(),0,F$7)</f>
        <v>0.349235965171908</v>
      </c>
      <c r="G878" s="53" t="n">
        <f aca="true">NORMINV(RAND(),0,G$7)</f>
        <v>-2.10748825514447</v>
      </c>
      <c r="H878" s="53" t="n">
        <f aca="true">NORMINV(RAND(),0,H$7)</f>
        <v>-0.481181093601237</v>
      </c>
      <c r="I878" s="53" t="n">
        <f aca="false">SUM(B878:H878)</f>
        <v>-1.18621052590903</v>
      </c>
      <c r="J878" s="53" t="n">
        <f aca="true">NORMINV(RAND(),0,J$7)</f>
        <v>-0.144927761351914</v>
      </c>
      <c r="K878" s="53" t="n">
        <f aca="true">NORMINV(RAND(),0,K$7)</f>
        <v>0.642108400152608</v>
      </c>
      <c r="L878" s="53" t="n">
        <f aca="true">NORMINV(RAND(),0,L$7)</f>
        <v>-0.264566824055974</v>
      </c>
      <c r="M878" s="53" t="n">
        <f aca="true">NORMINV(RAND(),0,M$7)</f>
        <v>0.435095956430064</v>
      </c>
      <c r="N878" s="53" t="n">
        <f aca="true">NORMINV(RAND(),0,N$7)</f>
        <v>-0.317734983013105</v>
      </c>
      <c r="O878" s="53" t="n">
        <f aca="false">SUM(J878:N878)</f>
        <v>0.349974788161679</v>
      </c>
    </row>
    <row r="879" customFormat="false" ht="15" hidden="false" customHeight="false" outlineLevel="0" collapsed="false">
      <c r="A879" s="2" t="n">
        <v>871</v>
      </c>
      <c r="B879" s="53" t="n">
        <f aca="true">NORMINV(RAND(),0,B$7)</f>
        <v>-0.975719415421521</v>
      </c>
      <c r="C879" s="53" t="n">
        <f aca="true">NORMINV(RAND(),0,C$7)</f>
        <v>-1.50972315308543</v>
      </c>
      <c r="D879" s="53" t="n">
        <f aca="true">NORMINV(RAND(),0,D$7)</f>
        <v>-3.46352256738325</v>
      </c>
      <c r="E879" s="53" t="n">
        <f aca="true">NORMINV(RAND(),0,E$7)</f>
        <v>0.127762224486695</v>
      </c>
      <c r="F879" s="53" t="n">
        <f aca="true">NORMINV(RAND(),0,F$7)</f>
        <v>-0.115730360790646</v>
      </c>
      <c r="G879" s="53" t="n">
        <f aca="true">NORMINV(RAND(),0,G$7)</f>
        <v>-1.04352200542582</v>
      </c>
      <c r="H879" s="53" t="n">
        <f aca="true">NORMINV(RAND(),0,H$7)</f>
        <v>0.132409511556312</v>
      </c>
      <c r="I879" s="53" t="n">
        <f aca="false">SUM(B879:H879)</f>
        <v>-6.84804576606366</v>
      </c>
      <c r="J879" s="53" t="n">
        <f aca="true">NORMINV(RAND(),0,J$7)</f>
        <v>-1.71911474494719</v>
      </c>
      <c r="K879" s="53" t="n">
        <f aca="true">NORMINV(RAND(),0,K$7)</f>
        <v>-0.555859687636964</v>
      </c>
      <c r="L879" s="53" t="n">
        <f aca="true">NORMINV(RAND(),0,L$7)</f>
        <v>0.147545480136351</v>
      </c>
      <c r="M879" s="53" t="n">
        <f aca="true">NORMINV(RAND(),0,M$7)</f>
        <v>-0.0453703008248522</v>
      </c>
      <c r="N879" s="53" t="n">
        <f aca="true">NORMINV(RAND(),0,N$7)</f>
        <v>0.243875479499898</v>
      </c>
      <c r="O879" s="53" t="n">
        <f aca="false">SUM(J879:N879)</f>
        <v>-1.92892377377275</v>
      </c>
    </row>
    <row r="880" customFormat="false" ht="15" hidden="false" customHeight="false" outlineLevel="0" collapsed="false">
      <c r="A880" s="2" t="n">
        <v>872</v>
      </c>
      <c r="B880" s="53" t="n">
        <f aca="true">NORMINV(RAND(),0,B$7)</f>
        <v>0.763294206581853</v>
      </c>
      <c r="C880" s="53" t="n">
        <f aca="true">NORMINV(RAND(),0,C$7)</f>
        <v>2.58482228451522</v>
      </c>
      <c r="D880" s="53" t="n">
        <f aca="true">NORMINV(RAND(),0,D$7)</f>
        <v>-0.518618590877184</v>
      </c>
      <c r="E880" s="53" t="n">
        <f aca="true">NORMINV(RAND(),0,E$7)</f>
        <v>0.286569841875817</v>
      </c>
      <c r="F880" s="53" t="n">
        <f aca="true">NORMINV(RAND(),0,F$7)</f>
        <v>0.206290931740763</v>
      </c>
      <c r="G880" s="53" t="n">
        <f aca="true">NORMINV(RAND(),0,G$7)</f>
        <v>-0.313613503026068</v>
      </c>
      <c r="H880" s="53" t="n">
        <f aca="true">NORMINV(RAND(),0,H$7)</f>
        <v>-0.507697589103547</v>
      </c>
      <c r="I880" s="53" t="n">
        <f aca="false">SUM(B880:H880)</f>
        <v>2.50104758170685</v>
      </c>
      <c r="J880" s="53" t="n">
        <f aca="true">NORMINV(RAND(),0,J$7)</f>
        <v>-1.74433802181337</v>
      </c>
      <c r="K880" s="53" t="n">
        <f aca="true">NORMINV(RAND(),0,K$7)</f>
        <v>-1.02575021074676</v>
      </c>
      <c r="L880" s="53" t="n">
        <f aca="true">NORMINV(RAND(),0,L$7)</f>
        <v>0.0682555931012417</v>
      </c>
      <c r="M880" s="53" t="n">
        <f aca="true">NORMINV(RAND(),0,M$7)</f>
        <v>0.248853755518684</v>
      </c>
      <c r="N880" s="53" t="n">
        <f aca="true">NORMINV(RAND(),0,N$7)</f>
        <v>-0.495247909983866</v>
      </c>
      <c r="O880" s="53" t="n">
        <f aca="false">SUM(J880:N880)</f>
        <v>-2.94822679392407</v>
      </c>
    </row>
    <row r="881" customFormat="false" ht="15" hidden="false" customHeight="false" outlineLevel="0" collapsed="false">
      <c r="A881" s="2" t="n">
        <v>873</v>
      </c>
      <c r="B881" s="53" t="n">
        <f aca="true">NORMINV(RAND(),0,B$7)</f>
        <v>0.769657090838641</v>
      </c>
      <c r="C881" s="53" t="n">
        <f aca="true">NORMINV(RAND(),0,C$7)</f>
        <v>-0.644997296928095</v>
      </c>
      <c r="D881" s="53" t="n">
        <f aca="true">NORMINV(RAND(),0,D$7)</f>
        <v>-2.52698971366401</v>
      </c>
      <c r="E881" s="53" t="n">
        <f aca="true">NORMINV(RAND(),0,E$7)</f>
        <v>0.267010569985215</v>
      </c>
      <c r="F881" s="53" t="n">
        <f aca="true">NORMINV(RAND(),0,F$7)</f>
        <v>0.267072389455562</v>
      </c>
      <c r="G881" s="53" t="n">
        <f aca="true">NORMINV(RAND(),0,G$7)</f>
        <v>-0.660771278019352</v>
      </c>
      <c r="H881" s="53" t="n">
        <f aca="true">NORMINV(RAND(),0,H$7)</f>
        <v>0.0799949397682771</v>
      </c>
      <c r="I881" s="53" t="n">
        <f aca="false">SUM(B881:H881)</f>
        <v>-2.44902329856376</v>
      </c>
      <c r="J881" s="53" t="n">
        <f aca="true">NORMINV(RAND(),0,J$7)</f>
        <v>0.311260773742856</v>
      </c>
      <c r="K881" s="53" t="n">
        <f aca="true">NORMINV(RAND(),0,K$7)</f>
        <v>0.615269497219018</v>
      </c>
      <c r="L881" s="53" t="n">
        <f aca="true">NORMINV(RAND(),0,L$7)</f>
        <v>-0.149774707001579</v>
      </c>
      <c r="M881" s="53" t="n">
        <f aca="true">NORMINV(RAND(),0,M$7)</f>
        <v>0.0919340496186178</v>
      </c>
      <c r="N881" s="53" t="n">
        <f aca="true">NORMINV(RAND(),0,N$7)</f>
        <v>0.190309941781242</v>
      </c>
      <c r="O881" s="53" t="n">
        <f aca="false">SUM(J881:N881)</f>
        <v>1.05899955536016</v>
      </c>
    </row>
    <row r="882" customFormat="false" ht="15" hidden="false" customHeight="false" outlineLevel="0" collapsed="false">
      <c r="A882" s="2" t="n">
        <v>874</v>
      </c>
      <c r="B882" s="53" t="n">
        <f aca="true">NORMINV(RAND(),0,B$7)</f>
        <v>-2.45282133709329</v>
      </c>
      <c r="C882" s="53" t="n">
        <f aca="true">NORMINV(RAND(),0,C$7)</f>
        <v>1.16450153377796</v>
      </c>
      <c r="D882" s="53" t="n">
        <f aca="true">NORMINV(RAND(),0,D$7)</f>
        <v>0.606311638791541</v>
      </c>
      <c r="E882" s="53" t="n">
        <f aca="true">NORMINV(RAND(),0,E$7)</f>
        <v>0.0865778028486333</v>
      </c>
      <c r="F882" s="53" t="n">
        <f aca="true">NORMINV(RAND(),0,F$7)</f>
        <v>0.00219775105644609</v>
      </c>
      <c r="G882" s="53" t="n">
        <f aca="true">NORMINV(RAND(),0,G$7)</f>
        <v>-1.71733092527684</v>
      </c>
      <c r="H882" s="53" t="n">
        <f aca="true">NORMINV(RAND(),0,H$7)</f>
        <v>-0.0455879036840625</v>
      </c>
      <c r="I882" s="53" t="n">
        <f aca="false">SUM(B882:H882)</f>
        <v>-2.35615143957961</v>
      </c>
      <c r="J882" s="53" t="n">
        <f aca="true">NORMINV(RAND(),0,J$7)</f>
        <v>-1.61691820578256</v>
      </c>
      <c r="K882" s="53" t="n">
        <f aca="true">NORMINV(RAND(),0,K$7)</f>
        <v>0.0438266466991531</v>
      </c>
      <c r="L882" s="53" t="n">
        <f aca="true">NORMINV(RAND(),0,L$7)</f>
        <v>0.190659015535857</v>
      </c>
      <c r="M882" s="53" t="n">
        <f aca="true">NORMINV(RAND(),0,M$7)</f>
        <v>0.396012131768486</v>
      </c>
      <c r="N882" s="53" t="n">
        <f aca="true">NORMINV(RAND(),0,N$7)</f>
        <v>-0.916600458429256</v>
      </c>
      <c r="O882" s="53" t="n">
        <f aca="false">SUM(J882:N882)</f>
        <v>-1.90302087020832</v>
      </c>
    </row>
    <row r="883" customFormat="false" ht="15" hidden="false" customHeight="false" outlineLevel="0" collapsed="false">
      <c r="A883" s="2" t="n">
        <v>875</v>
      </c>
      <c r="B883" s="53" t="n">
        <f aca="true">NORMINV(RAND(),0,B$7)</f>
        <v>0.0215363797951269</v>
      </c>
      <c r="C883" s="53" t="n">
        <f aca="true">NORMINV(RAND(),0,C$7)</f>
        <v>0.0510891148709975</v>
      </c>
      <c r="D883" s="53" t="n">
        <f aca="true">NORMINV(RAND(),0,D$7)</f>
        <v>-2.04352223826812</v>
      </c>
      <c r="E883" s="53" t="n">
        <f aca="true">NORMINV(RAND(),0,E$7)</f>
        <v>0.728398156661817</v>
      </c>
      <c r="F883" s="53" t="n">
        <f aca="true">NORMINV(RAND(),0,F$7)</f>
        <v>-0.0769623921640893</v>
      </c>
      <c r="G883" s="53" t="n">
        <f aca="true">NORMINV(RAND(),0,G$7)</f>
        <v>-0.416366921773619</v>
      </c>
      <c r="H883" s="53" t="n">
        <f aca="true">NORMINV(RAND(),0,H$7)</f>
        <v>0.626297110674521</v>
      </c>
      <c r="I883" s="53" t="n">
        <f aca="false">SUM(B883:H883)</f>
        <v>-1.10953079020337</v>
      </c>
      <c r="J883" s="53" t="n">
        <f aca="true">NORMINV(RAND(),0,J$7)</f>
        <v>-0.515891144370482</v>
      </c>
      <c r="K883" s="53" t="n">
        <f aca="true">NORMINV(RAND(),0,K$7)</f>
        <v>0.302801675875529</v>
      </c>
      <c r="L883" s="53" t="n">
        <f aca="true">NORMINV(RAND(),0,L$7)</f>
        <v>-0.442210010610802</v>
      </c>
      <c r="M883" s="53" t="n">
        <f aca="true">NORMINV(RAND(),0,M$7)</f>
        <v>-0.133300714026428</v>
      </c>
      <c r="N883" s="53" t="n">
        <f aca="true">NORMINV(RAND(),0,N$7)</f>
        <v>0.104915544883591</v>
      </c>
      <c r="O883" s="53" t="n">
        <f aca="false">SUM(J883:N883)</f>
        <v>-0.683684648248592</v>
      </c>
    </row>
    <row r="884" customFormat="false" ht="15" hidden="false" customHeight="false" outlineLevel="0" collapsed="false">
      <c r="A884" s="2" t="n">
        <v>876</v>
      </c>
      <c r="B884" s="53" t="n">
        <f aca="true">NORMINV(RAND(),0,B$7)</f>
        <v>-1.22764588533768</v>
      </c>
      <c r="C884" s="53" t="n">
        <f aca="true">NORMINV(RAND(),0,C$7)</f>
        <v>1.29390511394705</v>
      </c>
      <c r="D884" s="53" t="n">
        <f aca="true">NORMINV(RAND(),0,D$7)</f>
        <v>-2.13364603889576</v>
      </c>
      <c r="E884" s="53" t="n">
        <f aca="true">NORMINV(RAND(),0,E$7)</f>
        <v>-0.243002008695211</v>
      </c>
      <c r="F884" s="53" t="n">
        <f aca="true">NORMINV(RAND(),0,F$7)</f>
        <v>-0.209979465606609</v>
      </c>
      <c r="G884" s="53" t="n">
        <f aca="true">NORMINV(RAND(),0,G$7)</f>
        <v>1.82695352979044</v>
      </c>
      <c r="H884" s="53" t="n">
        <f aca="true">NORMINV(RAND(),0,H$7)</f>
        <v>-0.36405278066138</v>
      </c>
      <c r="I884" s="53" t="n">
        <f aca="false">SUM(B884:H884)</f>
        <v>-1.05746753545915</v>
      </c>
      <c r="J884" s="53" t="n">
        <f aca="true">NORMINV(RAND(),0,J$7)</f>
        <v>-1.81193549170762</v>
      </c>
      <c r="K884" s="53" t="n">
        <f aca="true">NORMINV(RAND(),0,K$7)</f>
        <v>-0.461663452170843</v>
      </c>
      <c r="L884" s="53" t="n">
        <f aca="true">NORMINV(RAND(),0,L$7)</f>
        <v>0.811231721444738</v>
      </c>
      <c r="M884" s="53" t="n">
        <f aca="true">NORMINV(RAND(),0,M$7)</f>
        <v>-0.544764581189412</v>
      </c>
      <c r="N884" s="53" t="n">
        <f aca="true">NORMINV(RAND(),0,N$7)</f>
        <v>-0.097052258641723</v>
      </c>
      <c r="O884" s="53" t="n">
        <f aca="false">SUM(J884:N884)</f>
        <v>-2.10418406226486</v>
      </c>
    </row>
    <row r="885" customFormat="false" ht="15" hidden="false" customHeight="false" outlineLevel="0" collapsed="false">
      <c r="A885" s="2" t="n">
        <v>877</v>
      </c>
      <c r="B885" s="53" t="n">
        <f aca="true">NORMINV(RAND(),0,B$7)</f>
        <v>-0.524880683241587</v>
      </c>
      <c r="C885" s="53" t="n">
        <f aca="true">NORMINV(RAND(),0,C$7)</f>
        <v>3.20182048364224</v>
      </c>
      <c r="D885" s="53" t="n">
        <f aca="true">NORMINV(RAND(),0,D$7)</f>
        <v>0.535321709839907</v>
      </c>
      <c r="E885" s="53" t="n">
        <f aca="true">NORMINV(RAND(),0,E$7)</f>
        <v>-0.263423439209544</v>
      </c>
      <c r="F885" s="53" t="n">
        <f aca="true">NORMINV(RAND(),0,F$7)</f>
        <v>-0.55755741350227</v>
      </c>
      <c r="G885" s="53" t="n">
        <f aca="true">NORMINV(RAND(),0,G$7)</f>
        <v>-0.74595014582855</v>
      </c>
      <c r="H885" s="53" t="n">
        <f aca="true">NORMINV(RAND(),0,H$7)</f>
        <v>-0.396887950761603</v>
      </c>
      <c r="I885" s="53" t="n">
        <f aca="false">SUM(B885:H885)</f>
        <v>1.24844256093859</v>
      </c>
      <c r="J885" s="53" t="n">
        <f aca="true">NORMINV(RAND(),0,J$7)</f>
        <v>1.18508473514829</v>
      </c>
      <c r="K885" s="53" t="n">
        <f aca="true">NORMINV(RAND(),0,K$7)</f>
        <v>-0.0827877242031225</v>
      </c>
      <c r="L885" s="53" t="n">
        <f aca="true">NORMINV(RAND(),0,L$7)</f>
        <v>0.286935518992497</v>
      </c>
      <c r="M885" s="53" t="n">
        <f aca="true">NORMINV(RAND(),0,M$7)</f>
        <v>0.163280756853764</v>
      </c>
      <c r="N885" s="53" t="n">
        <f aca="true">NORMINV(RAND(),0,N$7)</f>
        <v>0.442606452469845</v>
      </c>
      <c r="O885" s="53" t="n">
        <f aca="false">SUM(J885:N885)</f>
        <v>1.99511973926127</v>
      </c>
    </row>
    <row r="886" customFormat="false" ht="15" hidden="false" customHeight="false" outlineLevel="0" collapsed="false">
      <c r="A886" s="2" t="n">
        <v>878</v>
      </c>
      <c r="B886" s="53" t="n">
        <f aca="true">NORMINV(RAND(),0,B$7)</f>
        <v>-1.70499933072486</v>
      </c>
      <c r="C886" s="53" t="n">
        <f aca="true">NORMINV(RAND(),0,C$7)</f>
        <v>-0.953530405641184</v>
      </c>
      <c r="D886" s="53" t="n">
        <f aca="true">NORMINV(RAND(),0,D$7)</f>
        <v>0.941272626851818</v>
      </c>
      <c r="E886" s="53" t="n">
        <f aca="true">NORMINV(RAND(),0,E$7)</f>
        <v>0.46831026118666</v>
      </c>
      <c r="F886" s="53" t="n">
        <f aca="true">NORMINV(RAND(),0,F$7)</f>
        <v>-0.0695069709083224</v>
      </c>
      <c r="G886" s="53" t="n">
        <f aca="true">NORMINV(RAND(),0,G$7)</f>
        <v>0.225049693970334</v>
      </c>
      <c r="H886" s="53" t="n">
        <f aca="true">NORMINV(RAND(),0,H$7)</f>
        <v>0.45318571841767</v>
      </c>
      <c r="I886" s="53" t="n">
        <f aca="false">SUM(B886:H886)</f>
        <v>-0.640218406847885</v>
      </c>
      <c r="J886" s="53" t="n">
        <f aca="true">NORMINV(RAND(),0,J$7)</f>
        <v>-1.54844799739543</v>
      </c>
      <c r="K886" s="53" t="n">
        <f aca="true">NORMINV(RAND(),0,K$7)</f>
        <v>0.211013530000187</v>
      </c>
      <c r="L886" s="53" t="n">
        <f aca="true">NORMINV(RAND(),0,L$7)</f>
        <v>-0.377661236674017</v>
      </c>
      <c r="M886" s="53" t="n">
        <f aca="true">NORMINV(RAND(),0,M$7)</f>
        <v>0.276426360856985</v>
      </c>
      <c r="N886" s="53" t="n">
        <f aca="true">NORMINV(RAND(),0,N$7)</f>
        <v>-0.0780769782731377</v>
      </c>
      <c r="O886" s="53" t="n">
        <f aca="false">SUM(J886:N886)</f>
        <v>-1.51674632148541</v>
      </c>
    </row>
    <row r="887" customFormat="false" ht="15" hidden="false" customHeight="false" outlineLevel="0" collapsed="false">
      <c r="A887" s="2" t="n">
        <v>879</v>
      </c>
      <c r="B887" s="53" t="n">
        <f aca="true">NORMINV(RAND(),0,B$7)</f>
        <v>0.737976364030538</v>
      </c>
      <c r="C887" s="53" t="n">
        <f aca="true">NORMINV(RAND(),0,C$7)</f>
        <v>0.653925114188689</v>
      </c>
      <c r="D887" s="53" t="n">
        <f aca="true">NORMINV(RAND(),0,D$7)</f>
        <v>1.02945933464198</v>
      </c>
      <c r="E887" s="53" t="n">
        <f aca="true">NORMINV(RAND(),0,E$7)</f>
        <v>-0.0243692564851883</v>
      </c>
      <c r="F887" s="53" t="n">
        <f aca="true">NORMINV(RAND(),0,F$7)</f>
        <v>0.0353330564424098</v>
      </c>
      <c r="G887" s="53" t="n">
        <f aca="true">NORMINV(RAND(),0,G$7)</f>
        <v>-0.462569744382208</v>
      </c>
      <c r="H887" s="53" t="n">
        <f aca="true">NORMINV(RAND(),0,H$7)</f>
        <v>0.112083940487833</v>
      </c>
      <c r="I887" s="53" t="n">
        <f aca="false">SUM(B887:H887)</f>
        <v>2.08183880892405</v>
      </c>
      <c r="J887" s="53" t="n">
        <f aca="true">NORMINV(RAND(),0,J$7)</f>
        <v>3.03442935301249</v>
      </c>
      <c r="K887" s="53" t="n">
        <f aca="true">NORMINV(RAND(),0,K$7)</f>
        <v>-0.577125478706334</v>
      </c>
      <c r="L887" s="53" t="n">
        <f aca="true">NORMINV(RAND(),0,L$7)</f>
        <v>0.15490360670183</v>
      </c>
      <c r="M887" s="53" t="n">
        <f aca="true">NORMINV(RAND(),0,M$7)</f>
        <v>-0.203514338476854</v>
      </c>
      <c r="N887" s="53" t="n">
        <f aca="true">NORMINV(RAND(),0,N$7)</f>
        <v>0.0537801402710505</v>
      </c>
      <c r="O887" s="53" t="n">
        <f aca="false">SUM(J887:N887)</f>
        <v>2.46247328280218</v>
      </c>
    </row>
    <row r="888" customFormat="false" ht="15" hidden="false" customHeight="false" outlineLevel="0" collapsed="false">
      <c r="A888" s="2" t="n">
        <v>880</v>
      </c>
      <c r="B888" s="53" t="n">
        <f aca="true">NORMINV(RAND(),0,B$7)</f>
        <v>-0.0177241090969088</v>
      </c>
      <c r="C888" s="53" t="n">
        <f aca="true">NORMINV(RAND(),0,C$7)</f>
        <v>-0.506610857364369</v>
      </c>
      <c r="D888" s="53" t="n">
        <f aca="true">NORMINV(RAND(),0,D$7)</f>
        <v>-1.62264438592424</v>
      </c>
      <c r="E888" s="53" t="n">
        <f aca="true">NORMINV(RAND(),0,E$7)</f>
        <v>0.0870154453172733</v>
      </c>
      <c r="F888" s="53" t="n">
        <f aca="true">NORMINV(RAND(),0,F$7)</f>
        <v>0.254116823147902</v>
      </c>
      <c r="G888" s="53" t="n">
        <f aca="true">NORMINV(RAND(),0,G$7)</f>
        <v>0.0580547413487391</v>
      </c>
      <c r="H888" s="53" t="n">
        <f aca="true">NORMINV(RAND(),0,H$7)</f>
        <v>0.103605530936532</v>
      </c>
      <c r="I888" s="53" t="n">
        <f aca="false">SUM(B888:H888)</f>
        <v>-1.64418681163507</v>
      </c>
      <c r="J888" s="53" t="n">
        <f aca="true">NORMINV(RAND(),0,J$7)</f>
        <v>0.188742792987387</v>
      </c>
      <c r="K888" s="53" t="n">
        <f aca="true">NORMINV(RAND(),0,K$7)</f>
        <v>-0.978792477069118</v>
      </c>
      <c r="L888" s="53" t="n">
        <f aca="true">NORMINV(RAND(),0,L$7)</f>
        <v>0.0145557567493049</v>
      </c>
      <c r="M888" s="53" t="n">
        <f aca="true">NORMINV(RAND(),0,M$7)</f>
        <v>-0.106336191722995</v>
      </c>
      <c r="N888" s="53" t="n">
        <f aca="true">NORMINV(RAND(),0,N$7)</f>
        <v>-0.0902010570013577</v>
      </c>
      <c r="O888" s="53" t="n">
        <f aca="false">SUM(J888:N888)</f>
        <v>-0.972031176056778</v>
      </c>
    </row>
    <row r="889" customFormat="false" ht="15" hidden="false" customHeight="false" outlineLevel="0" collapsed="false">
      <c r="A889" s="2" t="n">
        <v>881</v>
      </c>
      <c r="B889" s="53" t="n">
        <f aca="true">NORMINV(RAND(),0,B$7)</f>
        <v>1.69824784302907</v>
      </c>
      <c r="C889" s="53" t="n">
        <f aca="true">NORMINV(RAND(),0,C$7)</f>
        <v>-1.91853915840194</v>
      </c>
      <c r="D889" s="53" t="n">
        <f aca="true">NORMINV(RAND(),0,D$7)</f>
        <v>3.64042012586147</v>
      </c>
      <c r="E889" s="53" t="n">
        <f aca="true">NORMINV(RAND(),0,E$7)</f>
        <v>-0.109710767755412</v>
      </c>
      <c r="F889" s="53" t="n">
        <f aca="true">NORMINV(RAND(),0,F$7)</f>
        <v>0.580952450707827</v>
      </c>
      <c r="G889" s="53" t="n">
        <f aca="true">NORMINV(RAND(),0,G$7)</f>
        <v>-0.872012065109301</v>
      </c>
      <c r="H889" s="53" t="n">
        <f aca="true">NORMINV(RAND(),0,H$7)</f>
        <v>-0.0487278372952439</v>
      </c>
      <c r="I889" s="53" t="n">
        <f aca="false">SUM(B889:H889)</f>
        <v>2.97063059103647</v>
      </c>
      <c r="J889" s="53" t="n">
        <f aca="true">NORMINV(RAND(),0,J$7)</f>
        <v>1.17076882916779</v>
      </c>
      <c r="K889" s="53" t="n">
        <f aca="true">NORMINV(RAND(),0,K$7)</f>
        <v>0.244728985815112</v>
      </c>
      <c r="L889" s="53" t="n">
        <f aca="true">NORMINV(RAND(),0,L$7)</f>
        <v>-0.0369663978389591</v>
      </c>
      <c r="M889" s="53" t="n">
        <f aca="true">NORMINV(RAND(),0,M$7)</f>
        <v>0.259503615021824</v>
      </c>
      <c r="N889" s="53" t="n">
        <f aca="true">NORMINV(RAND(),0,N$7)</f>
        <v>-0.63860507746623</v>
      </c>
      <c r="O889" s="53" t="n">
        <f aca="false">SUM(J889:N889)</f>
        <v>0.999429954699532</v>
      </c>
    </row>
    <row r="890" customFormat="false" ht="15" hidden="false" customHeight="false" outlineLevel="0" collapsed="false">
      <c r="A890" s="2" t="n">
        <v>882</v>
      </c>
      <c r="B890" s="53" t="n">
        <f aca="true">NORMINV(RAND(),0,B$7)</f>
        <v>-2.55524220469369</v>
      </c>
      <c r="C890" s="53" t="n">
        <f aca="true">NORMINV(RAND(),0,C$7)</f>
        <v>-0.925802212623184</v>
      </c>
      <c r="D890" s="53" t="n">
        <f aca="true">NORMINV(RAND(),0,D$7)</f>
        <v>2.59033960141207</v>
      </c>
      <c r="E890" s="53" t="n">
        <f aca="true">NORMINV(RAND(),0,E$7)</f>
        <v>-0.421987590996543</v>
      </c>
      <c r="F890" s="53" t="n">
        <f aca="true">NORMINV(RAND(),0,F$7)</f>
        <v>-0.0968622656199638</v>
      </c>
      <c r="G890" s="53" t="n">
        <f aca="true">NORMINV(RAND(),0,G$7)</f>
        <v>-0.674098285456271</v>
      </c>
      <c r="H890" s="53" t="n">
        <f aca="true">NORMINV(RAND(),0,H$7)</f>
        <v>0.0556507229666957</v>
      </c>
      <c r="I890" s="53" t="n">
        <f aca="false">SUM(B890:H890)</f>
        <v>-2.02800223501089</v>
      </c>
      <c r="J890" s="53" t="n">
        <f aca="true">NORMINV(RAND(),0,J$7)</f>
        <v>6.36613405303325</v>
      </c>
      <c r="K890" s="53" t="n">
        <f aca="true">NORMINV(RAND(),0,K$7)</f>
        <v>0.242636377399601</v>
      </c>
      <c r="L890" s="53" t="n">
        <f aca="true">NORMINV(RAND(),0,L$7)</f>
        <v>0.0639992217449809</v>
      </c>
      <c r="M890" s="53" t="n">
        <f aca="true">NORMINV(RAND(),0,M$7)</f>
        <v>-0.266195752512297</v>
      </c>
      <c r="N890" s="53" t="n">
        <f aca="true">NORMINV(RAND(),0,N$7)</f>
        <v>-0.771894109946673</v>
      </c>
      <c r="O890" s="53" t="n">
        <f aca="false">SUM(J890:N890)</f>
        <v>5.63467978971887</v>
      </c>
    </row>
    <row r="891" customFormat="false" ht="15" hidden="false" customHeight="false" outlineLevel="0" collapsed="false">
      <c r="A891" s="2" t="n">
        <v>883</v>
      </c>
      <c r="B891" s="53" t="n">
        <f aca="true">NORMINV(RAND(),0,B$7)</f>
        <v>0.305875791224627</v>
      </c>
      <c r="C891" s="53" t="n">
        <f aca="true">NORMINV(RAND(),0,C$7)</f>
        <v>-1.7304394404115</v>
      </c>
      <c r="D891" s="53" t="n">
        <f aca="true">NORMINV(RAND(),0,D$7)</f>
        <v>3.22214560611716</v>
      </c>
      <c r="E891" s="53" t="n">
        <f aca="true">NORMINV(RAND(),0,E$7)</f>
        <v>0.431768774019719</v>
      </c>
      <c r="F891" s="53" t="n">
        <f aca="true">NORMINV(RAND(),0,F$7)</f>
        <v>0.425182844073029</v>
      </c>
      <c r="G891" s="53" t="n">
        <f aca="true">NORMINV(RAND(),0,G$7)</f>
        <v>2.04072036407757</v>
      </c>
      <c r="H891" s="53" t="n">
        <f aca="true">NORMINV(RAND(),0,H$7)</f>
        <v>0.50939027337053</v>
      </c>
      <c r="I891" s="53" t="n">
        <f aca="false">SUM(B891:H891)</f>
        <v>5.20464421247114</v>
      </c>
      <c r="J891" s="53" t="n">
        <f aca="true">NORMINV(RAND(),0,J$7)</f>
        <v>1.08799226329325</v>
      </c>
      <c r="K891" s="53" t="n">
        <f aca="true">NORMINV(RAND(),0,K$7)</f>
        <v>-0.165775577903181</v>
      </c>
      <c r="L891" s="53" t="n">
        <f aca="true">NORMINV(RAND(),0,L$7)</f>
        <v>-0.657590932543265</v>
      </c>
      <c r="M891" s="53" t="n">
        <f aca="true">NORMINV(RAND(),0,M$7)</f>
        <v>-0.285053494226617</v>
      </c>
      <c r="N891" s="53" t="n">
        <f aca="true">NORMINV(RAND(),0,N$7)</f>
        <v>-0.204052071569088</v>
      </c>
      <c r="O891" s="53" t="n">
        <f aca="false">SUM(J891:N891)</f>
        <v>-0.224479812948901</v>
      </c>
    </row>
    <row r="892" customFormat="false" ht="15" hidden="false" customHeight="false" outlineLevel="0" collapsed="false">
      <c r="A892" s="2" t="n">
        <v>884</v>
      </c>
      <c r="B892" s="53" t="n">
        <f aca="true">NORMINV(RAND(),0,B$7)</f>
        <v>-1.67243970547927</v>
      </c>
      <c r="C892" s="53" t="n">
        <f aca="true">NORMINV(RAND(),0,C$7)</f>
        <v>2.58934721916689</v>
      </c>
      <c r="D892" s="53" t="n">
        <f aca="true">NORMINV(RAND(),0,D$7)</f>
        <v>1.9309839764027</v>
      </c>
      <c r="E892" s="53" t="n">
        <f aca="true">NORMINV(RAND(),0,E$7)</f>
        <v>-0.71532730193837</v>
      </c>
      <c r="F892" s="53" t="n">
        <f aca="true">NORMINV(RAND(),0,F$7)</f>
        <v>0.120357864057992</v>
      </c>
      <c r="G892" s="53" t="n">
        <f aca="true">NORMINV(RAND(),0,G$7)</f>
        <v>-0.329322831911496</v>
      </c>
      <c r="H892" s="53" t="n">
        <f aca="true">NORMINV(RAND(),0,H$7)</f>
        <v>-0.359216849009946</v>
      </c>
      <c r="I892" s="53" t="n">
        <f aca="false">SUM(B892:H892)</f>
        <v>1.5643823712885</v>
      </c>
      <c r="J892" s="53" t="n">
        <f aca="true">NORMINV(RAND(),0,J$7)</f>
        <v>-0.919265622245956</v>
      </c>
      <c r="K892" s="53" t="n">
        <f aca="true">NORMINV(RAND(),0,K$7)</f>
        <v>0.78370578689572</v>
      </c>
      <c r="L892" s="53" t="n">
        <f aca="true">NORMINV(RAND(),0,L$7)</f>
        <v>0.198781303080881</v>
      </c>
      <c r="M892" s="53" t="n">
        <f aca="true">NORMINV(RAND(),0,M$7)</f>
        <v>-0.406692094032689</v>
      </c>
      <c r="N892" s="53" t="n">
        <f aca="true">NORMINV(RAND(),0,N$7)</f>
        <v>-0.450837627408472</v>
      </c>
      <c r="O892" s="53" t="n">
        <f aca="false">SUM(J892:N892)</f>
        <v>-0.794308253710516</v>
      </c>
    </row>
    <row r="893" customFormat="false" ht="15" hidden="false" customHeight="false" outlineLevel="0" collapsed="false">
      <c r="A893" s="2" t="n">
        <v>885</v>
      </c>
      <c r="B893" s="53" t="n">
        <f aca="true">NORMINV(RAND(),0,B$7)</f>
        <v>-0.733120044554302</v>
      </c>
      <c r="C893" s="53" t="n">
        <f aca="true">NORMINV(RAND(),0,C$7)</f>
        <v>2.20806557721338</v>
      </c>
      <c r="D893" s="53" t="n">
        <f aca="true">NORMINV(RAND(),0,D$7)</f>
        <v>1.62730576090813</v>
      </c>
      <c r="E893" s="53" t="n">
        <f aca="true">NORMINV(RAND(),0,E$7)</f>
        <v>0.0525114762744454</v>
      </c>
      <c r="F893" s="53" t="n">
        <f aca="true">NORMINV(RAND(),0,F$7)</f>
        <v>-0.058066659982534</v>
      </c>
      <c r="G893" s="53" t="n">
        <f aca="true">NORMINV(RAND(),0,G$7)</f>
        <v>0.850101646438669</v>
      </c>
      <c r="H893" s="53" t="n">
        <f aca="true">NORMINV(RAND(),0,H$7)</f>
        <v>-0.156685215589592</v>
      </c>
      <c r="I893" s="53" t="n">
        <f aca="false">SUM(B893:H893)</f>
        <v>3.7901125407082</v>
      </c>
      <c r="J893" s="53" t="n">
        <f aca="true">NORMINV(RAND(),0,J$7)</f>
        <v>-4.7556102653085</v>
      </c>
      <c r="K893" s="53" t="n">
        <f aca="true">NORMINV(RAND(),0,K$7)</f>
        <v>0.24671654363593</v>
      </c>
      <c r="L893" s="53" t="n">
        <f aca="true">NORMINV(RAND(),0,L$7)</f>
        <v>0.0557906839694726</v>
      </c>
      <c r="M893" s="53" t="n">
        <f aca="true">NORMINV(RAND(),0,M$7)</f>
        <v>0.258802987698813</v>
      </c>
      <c r="N893" s="53" t="n">
        <f aca="true">NORMINV(RAND(),0,N$7)</f>
        <v>-0.0171192614906519</v>
      </c>
      <c r="O893" s="53" t="n">
        <f aca="false">SUM(J893:N893)</f>
        <v>-4.21141931149493</v>
      </c>
    </row>
    <row r="894" customFormat="false" ht="15" hidden="false" customHeight="false" outlineLevel="0" collapsed="false">
      <c r="A894" s="2" t="n">
        <v>886</v>
      </c>
      <c r="B894" s="53" t="n">
        <f aca="true">NORMINV(RAND(),0,B$7)</f>
        <v>-0.700532975778434</v>
      </c>
      <c r="C894" s="53" t="n">
        <f aca="true">NORMINV(RAND(),0,C$7)</f>
        <v>0.0692013665630681</v>
      </c>
      <c r="D894" s="53" t="n">
        <f aca="true">NORMINV(RAND(),0,D$7)</f>
        <v>-1.5346666333761</v>
      </c>
      <c r="E894" s="53" t="n">
        <f aca="true">NORMINV(RAND(),0,E$7)</f>
        <v>-0.0670656845170427</v>
      </c>
      <c r="F894" s="53" t="n">
        <f aca="true">NORMINV(RAND(),0,F$7)</f>
        <v>0.0195684643191725</v>
      </c>
      <c r="G894" s="53" t="n">
        <f aca="true">NORMINV(RAND(),0,G$7)</f>
        <v>-0.0598945722813922</v>
      </c>
      <c r="H894" s="53" t="n">
        <f aca="true">NORMINV(RAND(),0,H$7)</f>
        <v>-0.122352222315429</v>
      </c>
      <c r="I894" s="53" t="n">
        <f aca="false">SUM(B894:H894)</f>
        <v>-2.39574225738616</v>
      </c>
      <c r="J894" s="53" t="n">
        <f aca="true">NORMINV(RAND(),0,J$7)</f>
        <v>2.50086796989537</v>
      </c>
      <c r="K894" s="53" t="n">
        <f aca="true">NORMINV(RAND(),0,K$7)</f>
        <v>-0.523812244753142</v>
      </c>
      <c r="L894" s="53" t="n">
        <f aca="true">NORMINV(RAND(),0,L$7)</f>
        <v>0.418043270538086</v>
      </c>
      <c r="M894" s="53" t="n">
        <f aca="true">NORMINV(RAND(),0,M$7)</f>
        <v>-0.17014141578795</v>
      </c>
      <c r="N894" s="53" t="n">
        <f aca="true">NORMINV(RAND(),0,N$7)</f>
        <v>-0.332349785542799</v>
      </c>
      <c r="O894" s="53" t="n">
        <f aca="false">SUM(J894:N894)</f>
        <v>1.89260779434957</v>
      </c>
    </row>
    <row r="895" customFormat="false" ht="15" hidden="false" customHeight="false" outlineLevel="0" collapsed="false">
      <c r="A895" s="2" t="n">
        <v>887</v>
      </c>
      <c r="B895" s="53" t="n">
        <f aca="true">NORMINV(RAND(),0,B$7)</f>
        <v>-1.26179328872775</v>
      </c>
      <c r="C895" s="53" t="n">
        <f aca="true">NORMINV(RAND(),0,C$7)</f>
        <v>1.48915265024483</v>
      </c>
      <c r="D895" s="53" t="n">
        <f aca="true">NORMINV(RAND(),0,D$7)</f>
        <v>-0.232353322864071</v>
      </c>
      <c r="E895" s="53" t="n">
        <f aca="true">NORMINV(RAND(),0,E$7)</f>
        <v>0.113691818979907</v>
      </c>
      <c r="F895" s="53" t="n">
        <f aca="true">NORMINV(RAND(),0,F$7)</f>
        <v>-0.0363902417980854</v>
      </c>
      <c r="G895" s="53" t="n">
        <f aca="true">NORMINV(RAND(),0,G$7)</f>
        <v>1.35119317068355</v>
      </c>
      <c r="H895" s="53" t="n">
        <f aca="true">NORMINV(RAND(),0,H$7)</f>
        <v>0.1363396167712</v>
      </c>
      <c r="I895" s="53" t="n">
        <f aca="false">SUM(B895:H895)</f>
        <v>1.55984040328958</v>
      </c>
      <c r="J895" s="53" t="n">
        <f aca="true">NORMINV(RAND(),0,J$7)</f>
        <v>1.45488344239889</v>
      </c>
      <c r="K895" s="53" t="n">
        <f aca="true">NORMINV(RAND(),0,K$7)</f>
        <v>0.560111455189074</v>
      </c>
      <c r="L895" s="53" t="n">
        <f aca="true">NORMINV(RAND(),0,L$7)</f>
        <v>-0.248855998366217</v>
      </c>
      <c r="M895" s="53" t="n">
        <f aca="true">NORMINV(RAND(),0,M$7)</f>
        <v>0.177203815662523</v>
      </c>
      <c r="N895" s="53" t="n">
        <f aca="true">NORMINV(RAND(),0,N$7)</f>
        <v>-0.185418967274013</v>
      </c>
      <c r="O895" s="53" t="n">
        <f aca="false">SUM(J895:N895)</f>
        <v>1.75792374761025</v>
      </c>
    </row>
    <row r="896" customFormat="false" ht="15" hidden="false" customHeight="false" outlineLevel="0" collapsed="false">
      <c r="A896" s="2" t="n">
        <v>888</v>
      </c>
      <c r="B896" s="53" t="n">
        <f aca="true">NORMINV(RAND(),0,B$7)</f>
        <v>1.08009848610265</v>
      </c>
      <c r="C896" s="53" t="n">
        <f aca="true">NORMINV(RAND(),0,C$7)</f>
        <v>0.0558398634529638</v>
      </c>
      <c r="D896" s="53" t="n">
        <f aca="true">NORMINV(RAND(),0,D$7)</f>
        <v>-2.6081727911358</v>
      </c>
      <c r="E896" s="53" t="n">
        <f aca="true">NORMINV(RAND(),0,E$7)</f>
        <v>-0.126864114286664</v>
      </c>
      <c r="F896" s="53" t="n">
        <f aca="true">NORMINV(RAND(),0,F$7)</f>
        <v>0.43979261038866</v>
      </c>
      <c r="G896" s="53" t="n">
        <f aca="true">NORMINV(RAND(),0,G$7)</f>
        <v>-0.198687741706172</v>
      </c>
      <c r="H896" s="53" t="n">
        <f aca="true">NORMINV(RAND(),0,H$7)</f>
        <v>-0.479092889147159</v>
      </c>
      <c r="I896" s="53" t="n">
        <f aca="false">SUM(B896:H896)</f>
        <v>-1.83708657633152</v>
      </c>
      <c r="J896" s="53" t="n">
        <f aca="true">NORMINV(RAND(),0,J$7)</f>
        <v>2.34134067939204</v>
      </c>
      <c r="K896" s="53" t="n">
        <f aca="true">NORMINV(RAND(),0,K$7)</f>
        <v>0.0934399985041178</v>
      </c>
      <c r="L896" s="53" t="n">
        <f aca="true">NORMINV(RAND(),0,L$7)</f>
        <v>-0.252999666392331</v>
      </c>
      <c r="M896" s="53" t="n">
        <f aca="true">NORMINV(RAND(),0,M$7)</f>
        <v>0.103964245551053</v>
      </c>
      <c r="N896" s="53" t="n">
        <f aca="true">NORMINV(RAND(),0,N$7)</f>
        <v>-0.25036800240694</v>
      </c>
      <c r="O896" s="53" t="n">
        <f aca="false">SUM(J896:N896)</f>
        <v>2.03537725464794</v>
      </c>
    </row>
    <row r="897" customFormat="false" ht="15" hidden="false" customHeight="false" outlineLevel="0" collapsed="false">
      <c r="A897" s="2" t="n">
        <v>889</v>
      </c>
      <c r="B897" s="53" t="n">
        <f aca="true">NORMINV(RAND(),0,B$7)</f>
        <v>0.47136373556745</v>
      </c>
      <c r="C897" s="53" t="n">
        <f aca="true">NORMINV(RAND(),0,C$7)</f>
        <v>-1.24844071220359</v>
      </c>
      <c r="D897" s="53" t="n">
        <f aca="true">NORMINV(RAND(),0,D$7)</f>
        <v>4.52749927419622</v>
      </c>
      <c r="E897" s="53" t="n">
        <f aca="true">NORMINV(RAND(),0,E$7)</f>
        <v>0.467271417268998</v>
      </c>
      <c r="F897" s="53" t="n">
        <f aca="true">NORMINV(RAND(),0,F$7)</f>
        <v>-0.131078328197441</v>
      </c>
      <c r="G897" s="53" t="n">
        <f aca="true">NORMINV(RAND(),0,G$7)</f>
        <v>0.276019009409686</v>
      </c>
      <c r="H897" s="53" t="n">
        <f aca="true">NORMINV(RAND(),0,H$7)</f>
        <v>0.184476612273888</v>
      </c>
      <c r="I897" s="53" t="n">
        <f aca="false">SUM(B897:H897)</f>
        <v>4.54711100831521</v>
      </c>
      <c r="J897" s="53" t="n">
        <f aca="true">NORMINV(RAND(),0,J$7)</f>
        <v>1.32386723672937</v>
      </c>
      <c r="K897" s="53" t="n">
        <f aca="true">NORMINV(RAND(),0,K$7)</f>
        <v>-0.253195740943102</v>
      </c>
      <c r="L897" s="53" t="n">
        <f aca="true">NORMINV(RAND(),0,L$7)</f>
        <v>0.0448061205607729</v>
      </c>
      <c r="M897" s="53" t="n">
        <f aca="true">NORMINV(RAND(),0,M$7)</f>
        <v>0.302292326256939</v>
      </c>
      <c r="N897" s="53" t="n">
        <f aca="true">NORMINV(RAND(),0,N$7)</f>
        <v>-0.450305849718749</v>
      </c>
      <c r="O897" s="53" t="n">
        <f aca="false">SUM(J897:N897)</f>
        <v>0.96746409288523</v>
      </c>
    </row>
    <row r="898" customFormat="false" ht="15" hidden="false" customHeight="false" outlineLevel="0" collapsed="false">
      <c r="A898" s="2" t="n">
        <v>890</v>
      </c>
      <c r="B898" s="53" t="n">
        <f aca="true">NORMINV(RAND(),0,B$7)</f>
        <v>1.84385428141163</v>
      </c>
      <c r="C898" s="53" t="n">
        <f aca="true">NORMINV(RAND(),0,C$7)</f>
        <v>-1.39888202322272</v>
      </c>
      <c r="D898" s="53" t="n">
        <f aca="true">NORMINV(RAND(),0,D$7)</f>
        <v>-1.48635441952892</v>
      </c>
      <c r="E898" s="53" t="n">
        <f aca="true">NORMINV(RAND(),0,E$7)</f>
        <v>-0.0764672348168358</v>
      </c>
      <c r="F898" s="53" t="n">
        <f aca="true">NORMINV(RAND(),0,F$7)</f>
        <v>0.0256427286819364</v>
      </c>
      <c r="G898" s="53" t="n">
        <f aca="true">NORMINV(RAND(),0,G$7)</f>
        <v>1.6702125565129</v>
      </c>
      <c r="H898" s="53" t="n">
        <f aca="true">NORMINV(RAND(),0,H$7)</f>
        <v>0.0308022707018568</v>
      </c>
      <c r="I898" s="53" t="n">
        <f aca="false">SUM(B898:H898)</f>
        <v>0.608808159739854</v>
      </c>
      <c r="J898" s="53" t="n">
        <f aca="true">NORMINV(RAND(),0,J$7)</f>
        <v>-2.71635485654248</v>
      </c>
      <c r="K898" s="53" t="n">
        <f aca="true">NORMINV(RAND(),0,K$7)</f>
        <v>0.524826010486872</v>
      </c>
      <c r="L898" s="53" t="n">
        <f aca="true">NORMINV(RAND(),0,L$7)</f>
        <v>-0.120590453367265</v>
      </c>
      <c r="M898" s="53" t="n">
        <f aca="true">NORMINV(RAND(),0,M$7)</f>
        <v>0.234882462379931</v>
      </c>
      <c r="N898" s="53" t="n">
        <f aca="true">NORMINV(RAND(),0,N$7)</f>
        <v>0.184915721690852</v>
      </c>
      <c r="O898" s="53" t="n">
        <f aca="false">SUM(J898:N898)</f>
        <v>-1.89232111535209</v>
      </c>
    </row>
    <row r="899" customFormat="false" ht="15" hidden="false" customHeight="false" outlineLevel="0" collapsed="false">
      <c r="A899" s="2" t="n">
        <v>891</v>
      </c>
      <c r="B899" s="53" t="n">
        <f aca="true">NORMINV(RAND(),0,B$7)</f>
        <v>1.32876362092629</v>
      </c>
      <c r="C899" s="53" t="n">
        <f aca="true">NORMINV(RAND(),0,C$7)</f>
        <v>-0.688076372698584</v>
      </c>
      <c r="D899" s="53" t="n">
        <f aca="true">NORMINV(RAND(),0,D$7)</f>
        <v>1.49736281388227</v>
      </c>
      <c r="E899" s="53" t="n">
        <f aca="true">NORMINV(RAND(),0,E$7)</f>
        <v>-0.0862167655416237</v>
      </c>
      <c r="F899" s="53" t="n">
        <f aca="true">NORMINV(RAND(),0,F$7)</f>
        <v>-0.105875031441514</v>
      </c>
      <c r="G899" s="53" t="n">
        <f aca="true">NORMINV(RAND(),0,G$7)</f>
        <v>-0.387116986035005</v>
      </c>
      <c r="H899" s="53" t="n">
        <f aca="true">NORMINV(RAND(),0,H$7)</f>
        <v>0.630464425098863</v>
      </c>
      <c r="I899" s="53" t="n">
        <f aca="false">SUM(B899:H899)</f>
        <v>2.18930570419069</v>
      </c>
      <c r="J899" s="53" t="n">
        <f aca="true">NORMINV(RAND(),0,J$7)</f>
        <v>-0.762520717127244</v>
      </c>
      <c r="K899" s="53" t="n">
        <f aca="true">NORMINV(RAND(),0,K$7)</f>
        <v>-0.423544497004718</v>
      </c>
      <c r="L899" s="53" t="n">
        <f aca="true">NORMINV(RAND(),0,L$7)</f>
        <v>0.209455615558548</v>
      </c>
      <c r="M899" s="53" t="n">
        <f aca="true">NORMINV(RAND(),0,M$7)</f>
        <v>-0.0910488840615836</v>
      </c>
      <c r="N899" s="53" t="n">
        <f aca="true">NORMINV(RAND(),0,N$7)</f>
        <v>0.423938850347349</v>
      </c>
      <c r="O899" s="53" t="n">
        <f aca="false">SUM(J899:N899)</f>
        <v>-0.643719632287649</v>
      </c>
    </row>
    <row r="900" customFormat="false" ht="15" hidden="false" customHeight="false" outlineLevel="0" collapsed="false">
      <c r="A900" s="2" t="n">
        <v>892</v>
      </c>
      <c r="B900" s="53" t="n">
        <f aca="true">NORMINV(RAND(),0,B$7)</f>
        <v>-1.54073610670963</v>
      </c>
      <c r="C900" s="53" t="n">
        <f aca="true">NORMINV(RAND(),0,C$7)</f>
        <v>-0.923187259740411</v>
      </c>
      <c r="D900" s="53" t="n">
        <f aca="true">NORMINV(RAND(),0,D$7)</f>
        <v>0.844429819550057</v>
      </c>
      <c r="E900" s="53" t="n">
        <f aca="true">NORMINV(RAND(),0,E$7)</f>
        <v>0.152509265391657</v>
      </c>
      <c r="F900" s="53" t="n">
        <f aca="true">NORMINV(RAND(),0,F$7)</f>
        <v>0.00314805743770239</v>
      </c>
      <c r="G900" s="53" t="n">
        <f aca="true">NORMINV(RAND(),0,G$7)</f>
        <v>-0.571073850529813</v>
      </c>
      <c r="H900" s="53" t="n">
        <f aca="true">NORMINV(RAND(),0,H$7)</f>
        <v>0.237658143317106</v>
      </c>
      <c r="I900" s="53" t="n">
        <f aca="false">SUM(B900:H900)</f>
        <v>-1.79725193128333</v>
      </c>
      <c r="J900" s="53" t="n">
        <f aca="true">NORMINV(RAND(),0,J$7)</f>
        <v>-1.14820028593621</v>
      </c>
      <c r="K900" s="53" t="n">
        <f aca="true">NORMINV(RAND(),0,K$7)</f>
        <v>-0.0326895528894481</v>
      </c>
      <c r="L900" s="53" t="n">
        <f aca="true">NORMINV(RAND(),0,L$7)</f>
        <v>-0.200967712846486</v>
      </c>
      <c r="M900" s="53" t="n">
        <f aca="true">NORMINV(RAND(),0,M$7)</f>
        <v>-0.147186261157483</v>
      </c>
      <c r="N900" s="53" t="n">
        <f aca="true">NORMINV(RAND(),0,N$7)</f>
        <v>0.17937539460234</v>
      </c>
      <c r="O900" s="53" t="n">
        <f aca="false">SUM(J900:N900)</f>
        <v>-1.34966841822729</v>
      </c>
    </row>
    <row r="901" customFormat="false" ht="15" hidden="false" customHeight="false" outlineLevel="0" collapsed="false">
      <c r="A901" s="2" t="n">
        <v>893</v>
      </c>
      <c r="B901" s="53" t="n">
        <f aca="true">NORMINV(RAND(),0,B$7)</f>
        <v>1.25702575346389</v>
      </c>
      <c r="C901" s="53" t="n">
        <f aca="true">NORMINV(RAND(),0,C$7)</f>
        <v>-0.179095573170931</v>
      </c>
      <c r="D901" s="53" t="n">
        <f aca="true">NORMINV(RAND(),0,D$7)</f>
        <v>-3.48395933162539</v>
      </c>
      <c r="E901" s="53" t="n">
        <f aca="true">NORMINV(RAND(),0,E$7)</f>
        <v>-0.146055380261842</v>
      </c>
      <c r="F901" s="53" t="n">
        <f aca="true">NORMINV(RAND(),0,F$7)</f>
        <v>0.221223226506919</v>
      </c>
      <c r="G901" s="53" t="n">
        <f aca="true">NORMINV(RAND(),0,G$7)</f>
        <v>-1.6940308847445</v>
      </c>
      <c r="H901" s="53" t="n">
        <f aca="true">NORMINV(RAND(),0,H$7)</f>
        <v>0.125280450985472</v>
      </c>
      <c r="I901" s="53" t="n">
        <f aca="false">SUM(B901:H901)</f>
        <v>-3.89961173884638</v>
      </c>
      <c r="J901" s="53" t="n">
        <f aca="true">NORMINV(RAND(),0,J$7)</f>
        <v>-0.28309543662537</v>
      </c>
      <c r="K901" s="53" t="n">
        <f aca="true">NORMINV(RAND(),0,K$7)</f>
        <v>-0.289365558413488</v>
      </c>
      <c r="L901" s="53" t="n">
        <f aca="true">NORMINV(RAND(),0,L$7)</f>
        <v>-0.0961863732654419</v>
      </c>
      <c r="M901" s="53" t="n">
        <f aca="true">NORMINV(RAND(),0,M$7)</f>
        <v>-0.131972712110536</v>
      </c>
      <c r="N901" s="53" t="n">
        <f aca="true">NORMINV(RAND(),0,N$7)</f>
        <v>-0.0667763019397135</v>
      </c>
      <c r="O901" s="53" t="n">
        <f aca="false">SUM(J901:N901)</f>
        <v>-0.86739638235455</v>
      </c>
    </row>
    <row r="902" customFormat="false" ht="15" hidden="false" customHeight="false" outlineLevel="0" collapsed="false">
      <c r="A902" s="2" t="n">
        <v>894</v>
      </c>
      <c r="B902" s="53" t="n">
        <f aca="true">NORMINV(RAND(),0,B$7)</f>
        <v>-0.614801893593072</v>
      </c>
      <c r="C902" s="53" t="n">
        <f aca="true">NORMINV(RAND(),0,C$7)</f>
        <v>0.357607362710325</v>
      </c>
      <c r="D902" s="53" t="n">
        <f aca="true">NORMINV(RAND(),0,D$7)</f>
        <v>-0.012889013397408</v>
      </c>
      <c r="E902" s="53" t="n">
        <f aca="true">NORMINV(RAND(),0,E$7)</f>
        <v>-0.16967089299645</v>
      </c>
      <c r="F902" s="53" t="n">
        <f aca="true">NORMINV(RAND(),0,F$7)</f>
        <v>0.304246397090601</v>
      </c>
      <c r="G902" s="53" t="n">
        <f aca="true">NORMINV(RAND(),0,G$7)</f>
        <v>1.23267880957647</v>
      </c>
      <c r="H902" s="53" t="n">
        <f aca="true">NORMINV(RAND(),0,H$7)</f>
        <v>0.174942684352792</v>
      </c>
      <c r="I902" s="53" t="n">
        <f aca="false">SUM(B902:H902)</f>
        <v>1.27211345374326</v>
      </c>
      <c r="J902" s="53" t="n">
        <f aca="true">NORMINV(RAND(),0,J$7)</f>
        <v>1.86376687467</v>
      </c>
      <c r="K902" s="53" t="n">
        <f aca="true">NORMINV(RAND(),0,K$7)</f>
        <v>-0.38665896785207</v>
      </c>
      <c r="L902" s="53" t="n">
        <f aca="true">NORMINV(RAND(),0,L$7)</f>
        <v>0.644280930497004</v>
      </c>
      <c r="M902" s="53" t="n">
        <f aca="true">NORMINV(RAND(),0,M$7)</f>
        <v>-0.321624901736672</v>
      </c>
      <c r="N902" s="53" t="n">
        <f aca="true">NORMINV(RAND(),0,N$7)</f>
        <v>-0.015220553259709</v>
      </c>
      <c r="O902" s="53" t="n">
        <f aca="false">SUM(J902:N902)</f>
        <v>1.78454338231855</v>
      </c>
    </row>
    <row r="903" customFormat="false" ht="15" hidden="false" customHeight="false" outlineLevel="0" collapsed="false">
      <c r="A903" s="2" t="n">
        <v>895</v>
      </c>
      <c r="B903" s="53" t="n">
        <f aca="true">NORMINV(RAND(),0,B$7)</f>
        <v>0.446140913641287</v>
      </c>
      <c r="C903" s="53" t="n">
        <f aca="true">NORMINV(RAND(),0,C$7)</f>
        <v>0.13728852400488</v>
      </c>
      <c r="D903" s="53" t="n">
        <f aca="true">NORMINV(RAND(),0,D$7)</f>
        <v>-1.42126813450387</v>
      </c>
      <c r="E903" s="53" t="n">
        <f aca="true">NORMINV(RAND(),0,E$7)</f>
        <v>-0.14933261195896</v>
      </c>
      <c r="F903" s="53" t="n">
        <f aca="true">NORMINV(RAND(),0,F$7)</f>
        <v>-0.0999064558431691</v>
      </c>
      <c r="G903" s="53" t="n">
        <f aca="true">NORMINV(RAND(),0,G$7)</f>
        <v>-0.302265946530794</v>
      </c>
      <c r="H903" s="53" t="n">
        <f aca="true">NORMINV(RAND(),0,H$7)</f>
        <v>-0.417996546781773</v>
      </c>
      <c r="I903" s="53" t="n">
        <f aca="false">SUM(B903:H903)</f>
        <v>-1.8073402579724</v>
      </c>
      <c r="J903" s="53" t="n">
        <f aca="true">NORMINV(RAND(),0,J$7)</f>
        <v>3.20682520232315</v>
      </c>
      <c r="K903" s="53" t="n">
        <f aca="true">NORMINV(RAND(),0,K$7)</f>
        <v>0.861309310534194</v>
      </c>
      <c r="L903" s="53" t="n">
        <f aca="true">NORMINV(RAND(),0,L$7)</f>
        <v>0.18367511188118</v>
      </c>
      <c r="M903" s="53" t="n">
        <f aca="true">NORMINV(RAND(),0,M$7)</f>
        <v>0.224350616542743</v>
      </c>
      <c r="N903" s="53" t="n">
        <f aca="true">NORMINV(RAND(),0,N$7)</f>
        <v>-0.636747802025715</v>
      </c>
      <c r="O903" s="53" t="n">
        <f aca="false">SUM(J903:N903)</f>
        <v>3.83941243925555</v>
      </c>
    </row>
    <row r="904" customFormat="false" ht="15" hidden="false" customHeight="false" outlineLevel="0" collapsed="false">
      <c r="A904" s="2" t="n">
        <v>896</v>
      </c>
      <c r="B904" s="53" t="n">
        <f aca="true">NORMINV(RAND(),0,B$7)</f>
        <v>1.21021626465801</v>
      </c>
      <c r="C904" s="53" t="n">
        <f aca="true">NORMINV(RAND(),0,C$7)</f>
        <v>-3.1706241419804</v>
      </c>
      <c r="D904" s="53" t="n">
        <f aca="true">NORMINV(RAND(),0,D$7)</f>
        <v>-0.747781511823068</v>
      </c>
      <c r="E904" s="53" t="n">
        <f aca="true">NORMINV(RAND(),0,E$7)</f>
        <v>-0.497274482177593</v>
      </c>
      <c r="F904" s="53" t="n">
        <f aca="true">NORMINV(RAND(),0,F$7)</f>
        <v>0.200161386659613</v>
      </c>
      <c r="G904" s="53" t="n">
        <f aca="true">NORMINV(RAND(),0,G$7)</f>
        <v>1.30217196257053</v>
      </c>
      <c r="H904" s="53" t="n">
        <f aca="true">NORMINV(RAND(),0,H$7)</f>
        <v>-0.0829881665192704</v>
      </c>
      <c r="I904" s="53" t="n">
        <f aca="false">SUM(B904:H904)</f>
        <v>-1.78611868861219</v>
      </c>
      <c r="J904" s="53" t="n">
        <f aca="true">NORMINV(RAND(),0,J$7)</f>
        <v>-0.445488126581642</v>
      </c>
      <c r="K904" s="53" t="n">
        <f aca="true">NORMINV(RAND(),0,K$7)</f>
        <v>-0.443916151165477</v>
      </c>
      <c r="L904" s="53" t="n">
        <f aca="true">NORMINV(RAND(),0,L$7)</f>
        <v>-0.481832654286511</v>
      </c>
      <c r="M904" s="53" t="n">
        <f aca="true">NORMINV(RAND(),0,M$7)</f>
        <v>-0.172153581425374</v>
      </c>
      <c r="N904" s="53" t="n">
        <f aca="true">NORMINV(RAND(),0,N$7)</f>
        <v>0.385877255417111</v>
      </c>
      <c r="O904" s="53" t="n">
        <f aca="false">SUM(J904:N904)</f>
        <v>-1.15751325804189</v>
      </c>
    </row>
    <row r="905" customFormat="false" ht="15" hidden="false" customHeight="false" outlineLevel="0" collapsed="false">
      <c r="A905" s="2" t="n">
        <v>897</v>
      </c>
      <c r="B905" s="53" t="n">
        <f aca="true">NORMINV(RAND(),0,B$7)</f>
        <v>0.191738474600351</v>
      </c>
      <c r="C905" s="53" t="n">
        <f aca="true">NORMINV(RAND(),0,C$7)</f>
        <v>0.73568099981381</v>
      </c>
      <c r="D905" s="53" t="n">
        <f aca="true">NORMINV(RAND(),0,D$7)</f>
        <v>0.0438385156353362</v>
      </c>
      <c r="E905" s="53" t="n">
        <f aca="true">NORMINV(RAND(),0,E$7)</f>
        <v>-0.735267111224183</v>
      </c>
      <c r="F905" s="53" t="n">
        <f aca="true">NORMINV(RAND(),0,F$7)</f>
        <v>0.134554430485256</v>
      </c>
      <c r="G905" s="53" t="n">
        <f aca="true">NORMINV(RAND(),0,G$7)</f>
        <v>-0.000165783341230478</v>
      </c>
      <c r="H905" s="53" t="n">
        <f aca="true">NORMINV(RAND(),0,H$7)</f>
        <v>-0.809062549650254</v>
      </c>
      <c r="I905" s="53" t="n">
        <f aca="false">SUM(B905:H905)</f>
        <v>-0.438683023680914</v>
      </c>
      <c r="J905" s="53" t="n">
        <f aca="true">NORMINV(RAND(),0,J$7)</f>
        <v>-1.26155018868782</v>
      </c>
      <c r="K905" s="53" t="n">
        <f aca="true">NORMINV(RAND(),0,K$7)</f>
        <v>-0.803777650537068</v>
      </c>
      <c r="L905" s="53" t="n">
        <f aca="true">NORMINV(RAND(),0,L$7)</f>
        <v>-0.178662188695013</v>
      </c>
      <c r="M905" s="53" t="n">
        <f aca="true">NORMINV(RAND(),0,M$7)</f>
        <v>-0.324828623616577</v>
      </c>
      <c r="N905" s="53" t="n">
        <f aca="true">NORMINV(RAND(),0,N$7)</f>
        <v>0.128534350690649</v>
      </c>
      <c r="O905" s="53" t="n">
        <f aca="false">SUM(J905:N905)</f>
        <v>-2.44028430084583</v>
      </c>
    </row>
    <row r="906" customFormat="false" ht="15" hidden="false" customHeight="false" outlineLevel="0" collapsed="false">
      <c r="A906" s="2" t="n">
        <v>898</v>
      </c>
      <c r="B906" s="53" t="n">
        <f aca="true">NORMINV(RAND(),0,B$7)</f>
        <v>-1.41306189509539</v>
      </c>
      <c r="C906" s="53" t="n">
        <f aca="true">NORMINV(RAND(),0,C$7)</f>
        <v>0.60535671127841</v>
      </c>
      <c r="D906" s="53" t="n">
        <f aca="true">NORMINV(RAND(),0,D$7)</f>
        <v>1.29800587198848</v>
      </c>
      <c r="E906" s="53" t="n">
        <f aca="true">NORMINV(RAND(),0,E$7)</f>
        <v>0.307421997161894</v>
      </c>
      <c r="F906" s="53" t="n">
        <f aca="true">NORMINV(RAND(),0,F$7)</f>
        <v>0.102857032204502</v>
      </c>
      <c r="G906" s="53" t="n">
        <f aca="true">NORMINV(RAND(),0,G$7)</f>
        <v>-0.18946969602421</v>
      </c>
      <c r="H906" s="53" t="n">
        <f aca="true">NORMINV(RAND(),0,H$7)</f>
        <v>0.297688829767067</v>
      </c>
      <c r="I906" s="53" t="n">
        <f aca="false">SUM(B906:H906)</f>
        <v>1.00879885128075</v>
      </c>
      <c r="J906" s="53" t="n">
        <f aca="true">NORMINV(RAND(),0,J$7)</f>
        <v>-0.449778227083457</v>
      </c>
      <c r="K906" s="53" t="n">
        <f aca="true">NORMINV(RAND(),0,K$7)</f>
        <v>-0.166574614972387</v>
      </c>
      <c r="L906" s="53" t="n">
        <f aca="true">NORMINV(RAND(),0,L$7)</f>
        <v>-0.289593853952899</v>
      </c>
      <c r="M906" s="53" t="n">
        <f aca="true">NORMINV(RAND(),0,M$7)</f>
        <v>-0.062883081393592</v>
      </c>
      <c r="N906" s="53" t="n">
        <f aca="true">NORMINV(RAND(),0,N$7)</f>
        <v>0.171523262750672</v>
      </c>
      <c r="O906" s="53" t="n">
        <f aca="false">SUM(J906:N906)</f>
        <v>-0.797306514651663</v>
      </c>
    </row>
    <row r="907" customFormat="false" ht="15" hidden="false" customHeight="false" outlineLevel="0" collapsed="false">
      <c r="A907" s="2" t="n">
        <v>899</v>
      </c>
      <c r="B907" s="53" t="n">
        <f aca="true">NORMINV(RAND(),0,B$7)</f>
        <v>1.24886791582249</v>
      </c>
      <c r="C907" s="53" t="n">
        <f aca="true">NORMINV(RAND(),0,C$7)</f>
        <v>-1.1498605009921</v>
      </c>
      <c r="D907" s="53" t="n">
        <f aca="true">NORMINV(RAND(),0,D$7)</f>
        <v>-1.93526697019646</v>
      </c>
      <c r="E907" s="53" t="n">
        <f aca="true">NORMINV(RAND(),0,E$7)</f>
        <v>0.0320327324121283</v>
      </c>
      <c r="F907" s="53" t="n">
        <f aca="true">NORMINV(RAND(),0,F$7)</f>
        <v>0.000691891505823488</v>
      </c>
      <c r="G907" s="53" t="n">
        <f aca="true">NORMINV(RAND(),0,G$7)</f>
        <v>-1.48524416195246</v>
      </c>
      <c r="H907" s="53" t="n">
        <f aca="true">NORMINV(RAND(),0,H$7)</f>
        <v>-0.0445136197178215</v>
      </c>
      <c r="I907" s="53" t="n">
        <f aca="false">SUM(B907:H907)</f>
        <v>-3.3332927131184</v>
      </c>
      <c r="J907" s="53" t="n">
        <f aca="true">NORMINV(RAND(),0,J$7)</f>
        <v>2.1647231385881</v>
      </c>
      <c r="K907" s="53" t="n">
        <f aca="true">NORMINV(RAND(),0,K$7)</f>
        <v>1.04581685893396</v>
      </c>
      <c r="L907" s="53" t="n">
        <f aca="true">NORMINV(RAND(),0,L$7)</f>
        <v>-0.0220603727310962</v>
      </c>
      <c r="M907" s="53" t="n">
        <f aca="true">NORMINV(RAND(),0,M$7)</f>
        <v>-0.00117365461391124</v>
      </c>
      <c r="N907" s="53" t="n">
        <f aca="true">NORMINV(RAND(),0,N$7)</f>
        <v>-0.339057742667584</v>
      </c>
      <c r="O907" s="53" t="n">
        <f aca="false">SUM(J907:N907)</f>
        <v>2.84824822750948</v>
      </c>
    </row>
    <row r="908" customFormat="false" ht="15" hidden="false" customHeight="false" outlineLevel="0" collapsed="false">
      <c r="A908" s="2" t="n">
        <v>900</v>
      </c>
      <c r="B908" s="53" t="n">
        <f aca="true">NORMINV(RAND(),0,B$7)</f>
        <v>0.337142927850155</v>
      </c>
      <c r="C908" s="53" t="n">
        <f aca="true">NORMINV(RAND(),0,C$7)</f>
        <v>-1.05161981168527</v>
      </c>
      <c r="D908" s="53" t="n">
        <f aca="true">NORMINV(RAND(),0,D$7)</f>
        <v>3.63441927778444</v>
      </c>
      <c r="E908" s="53" t="n">
        <f aca="true">NORMINV(RAND(),0,E$7)</f>
        <v>0.215063108080606</v>
      </c>
      <c r="F908" s="53" t="n">
        <f aca="true">NORMINV(RAND(),0,F$7)</f>
        <v>-0.321703104548758</v>
      </c>
      <c r="G908" s="53" t="n">
        <f aca="true">NORMINV(RAND(),0,G$7)</f>
        <v>-1.32390494970097</v>
      </c>
      <c r="H908" s="53" t="n">
        <f aca="true">NORMINV(RAND(),0,H$7)</f>
        <v>0.406285624851787</v>
      </c>
      <c r="I908" s="53" t="n">
        <f aca="false">SUM(B908:H908)</f>
        <v>1.89568307263199</v>
      </c>
      <c r="J908" s="53" t="n">
        <f aca="true">NORMINV(RAND(),0,J$7)</f>
        <v>-1.65710240954419</v>
      </c>
      <c r="K908" s="53" t="n">
        <f aca="true">NORMINV(RAND(),0,K$7)</f>
        <v>-0.145342784304972</v>
      </c>
      <c r="L908" s="53" t="n">
        <f aca="true">NORMINV(RAND(),0,L$7)</f>
        <v>0.0938241895989507</v>
      </c>
      <c r="M908" s="53" t="n">
        <f aca="true">NORMINV(RAND(),0,M$7)</f>
        <v>0.178747545814702</v>
      </c>
      <c r="N908" s="53" t="n">
        <f aca="true">NORMINV(RAND(),0,N$7)</f>
        <v>0.0657954358092884</v>
      </c>
      <c r="O908" s="53" t="n">
        <f aca="false">SUM(J908:N908)</f>
        <v>-1.46407802262622</v>
      </c>
    </row>
    <row r="909" customFormat="false" ht="15" hidden="false" customHeight="false" outlineLevel="0" collapsed="false">
      <c r="A909" s="2" t="n">
        <v>901</v>
      </c>
      <c r="B909" s="53" t="n">
        <f aca="true">NORMINV(RAND(),0,B$7)</f>
        <v>-1.05608177528479</v>
      </c>
      <c r="C909" s="53" t="n">
        <f aca="true">NORMINV(RAND(),0,C$7)</f>
        <v>-0.923745283693473</v>
      </c>
      <c r="D909" s="53" t="n">
        <f aca="true">NORMINV(RAND(),0,D$7)</f>
        <v>0.682123766902576</v>
      </c>
      <c r="E909" s="53" t="n">
        <f aca="true">NORMINV(RAND(),0,E$7)</f>
        <v>0.063620403001432</v>
      </c>
      <c r="F909" s="53" t="n">
        <f aca="true">NORMINV(RAND(),0,F$7)</f>
        <v>-0.0372718134413164</v>
      </c>
      <c r="G909" s="53" t="n">
        <f aca="true">NORMINV(RAND(),0,G$7)</f>
        <v>1.76430028068511</v>
      </c>
      <c r="H909" s="53" t="n">
        <f aca="true">NORMINV(RAND(),0,H$7)</f>
        <v>0.590239405762901</v>
      </c>
      <c r="I909" s="53" t="n">
        <f aca="false">SUM(B909:H909)</f>
        <v>1.08318498393243</v>
      </c>
      <c r="J909" s="53" t="n">
        <f aca="true">NORMINV(RAND(),0,J$7)</f>
        <v>0.715241316761061</v>
      </c>
      <c r="K909" s="53" t="n">
        <f aca="true">NORMINV(RAND(),0,K$7)</f>
        <v>-0.699073354446779</v>
      </c>
      <c r="L909" s="53" t="n">
        <f aca="true">NORMINV(RAND(),0,L$7)</f>
        <v>-0.312908768851523</v>
      </c>
      <c r="M909" s="53" t="n">
        <f aca="true">NORMINV(RAND(),0,M$7)</f>
        <v>-0.0747142905967266</v>
      </c>
      <c r="N909" s="53" t="n">
        <f aca="true">NORMINV(RAND(),0,N$7)</f>
        <v>-0.194786390338759</v>
      </c>
      <c r="O909" s="53" t="n">
        <f aca="false">SUM(J909:N909)</f>
        <v>-0.566241487472727</v>
      </c>
    </row>
    <row r="910" customFormat="false" ht="15" hidden="false" customHeight="false" outlineLevel="0" collapsed="false">
      <c r="A910" s="2" t="n">
        <v>902</v>
      </c>
      <c r="B910" s="53" t="n">
        <f aca="true">NORMINV(RAND(),0,B$7)</f>
        <v>-0.278052310728322</v>
      </c>
      <c r="C910" s="53" t="n">
        <f aca="true">NORMINV(RAND(),0,C$7)</f>
        <v>0.105995233917041</v>
      </c>
      <c r="D910" s="53" t="n">
        <f aca="true">NORMINV(RAND(),0,D$7)</f>
        <v>1.15229864654918</v>
      </c>
      <c r="E910" s="53" t="n">
        <f aca="true">NORMINV(RAND(),0,E$7)</f>
        <v>0.20941820743586</v>
      </c>
      <c r="F910" s="53" t="n">
        <f aca="true">NORMINV(RAND(),0,F$7)</f>
        <v>0.209034983927176</v>
      </c>
      <c r="G910" s="53" t="n">
        <f aca="true">NORMINV(RAND(),0,G$7)</f>
        <v>1.70038292214303</v>
      </c>
      <c r="H910" s="53" t="n">
        <f aca="true">NORMINV(RAND(),0,H$7)</f>
        <v>0.0593147091327031</v>
      </c>
      <c r="I910" s="53" t="n">
        <f aca="false">SUM(B910:H910)</f>
        <v>3.15839239237667</v>
      </c>
      <c r="J910" s="53" t="n">
        <f aca="true">NORMINV(RAND(),0,J$7)</f>
        <v>1.21218775151785</v>
      </c>
      <c r="K910" s="53" t="n">
        <f aca="true">NORMINV(RAND(),0,K$7)</f>
        <v>0.0216413229237919</v>
      </c>
      <c r="L910" s="53" t="n">
        <f aca="true">NORMINV(RAND(),0,L$7)</f>
        <v>-0.156465249145163</v>
      </c>
      <c r="M910" s="53" t="n">
        <f aca="true">NORMINV(RAND(),0,M$7)</f>
        <v>0.187020153553931</v>
      </c>
      <c r="N910" s="53" t="n">
        <f aca="true">NORMINV(RAND(),0,N$7)</f>
        <v>-0.425343203474647</v>
      </c>
      <c r="O910" s="53" t="n">
        <f aca="false">SUM(J910:N910)</f>
        <v>0.839040775375764</v>
      </c>
    </row>
    <row r="911" customFormat="false" ht="15" hidden="false" customHeight="false" outlineLevel="0" collapsed="false">
      <c r="A911" s="2" t="n">
        <v>903</v>
      </c>
      <c r="B911" s="53" t="n">
        <f aca="true">NORMINV(RAND(),0,B$7)</f>
        <v>-1.68494366491153</v>
      </c>
      <c r="C911" s="53" t="n">
        <f aca="true">NORMINV(RAND(),0,C$7)</f>
        <v>-1.83561883294982</v>
      </c>
      <c r="D911" s="53" t="n">
        <f aca="true">NORMINV(RAND(),0,D$7)</f>
        <v>-0.34558702156495</v>
      </c>
      <c r="E911" s="53" t="n">
        <f aca="true">NORMINV(RAND(),0,E$7)</f>
        <v>0.0230164478897411</v>
      </c>
      <c r="F911" s="53" t="n">
        <f aca="true">NORMINV(RAND(),0,F$7)</f>
        <v>0.0904006306550857</v>
      </c>
      <c r="G911" s="53" t="n">
        <f aca="true">NORMINV(RAND(),0,G$7)</f>
        <v>-0.364156468598241</v>
      </c>
      <c r="H911" s="53" t="n">
        <f aca="true">NORMINV(RAND(),0,H$7)</f>
        <v>-0.341212219162068</v>
      </c>
      <c r="I911" s="53" t="n">
        <f aca="false">SUM(B911:H911)</f>
        <v>-4.45810112864178</v>
      </c>
      <c r="J911" s="53" t="n">
        <f aca="true">NORMINV(RAND(),0,J$7)</f>
        <v>0.534097182440776</v>
      </c>
      <c r="K911" s="53" t="n">
        <f aca="true">NORMINV(RAND(),0,K$7)</f>
        <v>1.2249216197244</v>
      </c>
      <c r="L911" s="53" t="n">
        <f aca="true">NORMINV(RAND(),0,L$7)</f>
        <v>-0.00293690111992276</v>
      </c>
      <c r="M911" s="53" t="n">
        <f aca="true">NORMINV(RAND(),0,M$7)</f>
        <v>-0.0598047487159552</v>
      </c>
      <c r="N911" s="53" t="n">
        <f aca="true">NORMINV(RAND(),0,N$7)</f>
        <v>0.407930424719909</v>
      </c>
      <c r="O911" s="53" t="n">
        <f aca="false">SUM(J911:N911)</f>
        <v>2.10420757704921</v>
      </c>
    </row>
    <row r="912" customFormat="false" ht="15" hidden="false" customHeight="false" outlineLevel="0" collapsed="false">
      <c r="A912" s="2" t="n">
        <v>904</v>
      </c>
      <c r="B912" s="53" t="n">
        <f aca="true">NORMINV(RAND(),0,B$7)</f>
        <v>1.59702111801088</v>
      </c>
      <c r="C912" s="53" t="n">
        <f aca="true">NORMINV(RAND(),0,C$7)</f>
        <v>-0.5162688944876</v>
      </c>
      <c r="D912" s="53" t="n">
        <f aca="true">NORMINV(RAND(),0,D$7)</f>
        <v>-0.732371417885548</v>
      </c>
      <c r="E912" s="53" t="n">
        <f aca="true">NORMINV(RAND(),0,E$7)</f>
        <v>-0.685305721332825</v>
      </c>
      <c r="F912" s="53" t="n">
        <f aca="true">NORMINV(RAND(),0,F$7)</f>
        <v>-0.256178139281294</v>
      </c>
      <c r="G912" s="53" t="n">
        <f aca="true">NORMINV(RAND(),0,G$7)</f>
        <v>2.21538647787954</v>
      </c>
      <c r="H912" s="53" t="n">
        <f aca="true">NORMINV(RAND(),0,H$7)</f>
        <v>0.248207357978359</v>
      </c>
      <c r="I912" s="53" t="n">
        <f aca="false">SUM(B912:H912)</f>
        <v>1.87049078088151</v>
      </c>
      <c r="J912" s="53" t="n">
        <f aca="true">NORMINV(RAND(),0,J$7)</f>
        <v>-3.01862668651311</v>
      </c>
      <c r="K912" s="53" t="n">
        <f aca="true">NORMINV(RAND(),0,K$7)</f>
        <v>-0.705922903681054</v>
      </c>
      <c r="L912" s="53" t="n">
        <f aca="true">NORMINV(RAND(),0,L$7)</f>
        <v>-0.250601437690551</v>
      </c>
      <c r="M912" s="53" t="n">
        <f aca="true">NORMINV(RAND(),0,M$7)</f>
        <v>0.230026355459642</v>
      </c>
      <c r="N912" s="53" t="n">
        <f aca="true">NORMINV(RAND(),0,N$7)</f>
        <v>0.0694768721424137</v>
      </c>
      <c r="O912" s="53" t="n">
        <f aca="false">SUM(J912:N912)</f>
        <v>-3.67564780028266</v>
      </c>
    </row>
    <row r="913" customFormat="false" ht="15" hidden="false" customHeight="false" outlineLevel="0" collapsed="false">
      <c r="A913" s="2" t="n">
        <v>905</v>
      </c>
      <c r="B913" s="53" t="n">
        <f aca="true">NORMINV(RAND(),0,B$7)</f>
        <v>0.641158386238582</v>
      </c>
      <c r="C913" s="53" t="n">
        <f aca="true">NORMINV(RAND(),0,C$7)</f>
        <v>0.0313692139192087</v>
      </c>
      <c r="D913" s="53" t="n">
        <f aca="true">NORMINV(RAND(),0,D$7)</f>
        <v>0.616517103816549</v>
      </c>
      <c r="E913" s="53" t="n">
        <f aca="true">NORMINV(RAND(),0,E$7)</f>
        <v>0.471603415140149</v>
      </c>
      <c r="F913" s="53" t="n">
        <f aca="true">NORMINV(RAND(),0,F$7)</f>
        <v>0.406727911414378</v>
      </c>
      <c r="G913" s="53" t="n">
        <f aca="true">NORMINV(RAND(),0,G$7)</f>
        <v>1.14846935139003</v>
      </c>
      <c r="H913" s="53" t="n">
        <f aca="true">NORMINV(RAND(),0,H$7)</f>
        <v>-0.210359841967386</v>
      </c>
      <c r="I913" s="53" t="n">
        <f aca="false">SUM(B913:H913)</f>
        <v>3.10548553995152</v>
      </c>
      <c r="J913" s="53" t="n">
        <f aca="true">NORMINV(RAND(),0,J$7)</f>
        <v>0.0687537686415995</v>
      </c>
      <c r="K913" s="53" t="n">
        <f aca="true">NORMINV(RAND(),0,K$7)</f>
        <v>-0.654625730925911</v>
      </c>
      <c r="L913" s="53" t="n">
        <f aca="true">NORMINV(RAND(),0,L$7)</f>
        <v>0.447565293127683</v>
      </c>
      <c r="M913" s="53" t="n">
        <f aca="true">NORMINV(RAND(),0,M$7)</f>
        <v>0.0149324680553804</v>
      </c>
      <c r="N913" s="53" t="n">
        <f aca="true">NORMINV(RAND(),0,N$7)</f>
        <v>-0.124929308519088</v>
      </c>
      <c r="O913" s="53" t="n">
        <f aca="false">SUM(J913:N913)</f>
        <v>-0.248303509620336</v>
      </c>
    </row>
    <row r="914" customFormat="false" ht="15" hidden="false" customHeight="false" outlineLevel="0" collapsed="false">
      <c r="A914" s="2" t="n">
        <v>906</v>
      </c>
      <c r="B914" s="53" t="n">
        <f aca="true">NORMINV(RAND(),0,B$7)</f>
        <v>0.073638210139656</v>
      </c>
      <c r="C914" s="53" t="n">
        <f aca="true">NORMINV(RAND(),0,C$7)</f>
        <v>-0.593077391600822</v>
      </c>
      <c r="D914" s="53" t="n">
        <f aca="true">NORMINV(RAND(),0,D$7)</f>
        <v>-0.0364006839250068</v>
      </c>
      <c r="E914" s="53" t="n">
        <f aca="true">NORMINV(RAND(),0,E$7)</f>
        <v>0.237258637542013</v>
      </c>
      <c r="F914" s="53" t="n">
        <f aca="true">NORMINV(RAND(),0,F$7)</f>
        <v>-0.186512115988064</v>
      </c>
      <c r="G914" s="53" t="n">
        <f aca="true">NORMINV(RAND(),0,G$7)</f>
        <v>-0.752942561460142</v>
      </c>
      <c r="H914" s="53" t="n">
        <f aca="true">NORMINV(RAND(),0,H$7)</f>
        <v>-0.282125953742017</v>
      </c>
      <c r="I914" s="53" t="n">
        <f aca="false">SUM(B914:H914)</f>
        <v>-1.54016185903438</v>
      </c>
      <c r="J914" s="53" t="n">
        <f aca="true">NORMINV(RAND(),0,J$7)</f>
        <v>2.03296328101341</v>
      </c>
      <c r="K914" s="53" t="n">
        <f aca="true">NORMINV(RAND(),0,K$7)</f>
        <v>0.0786941385005501</v>
      </c>
      <c r="L914" s="53" t="n">
        <f aca="true">NORMINV(RAND(),0,L$7)</f>
        <v>0.0106590972195933</v>
      </c>
      <c r="M914" s="53" t="n">
        <f aca="true">NORMINV(RAND(),0,M$7)</f>
        <v>-0.552073474999273</v>
      </c>
      <c r="N914" s="53" t="n">
        <f aca="true">NORMINV(RAND(),0,N$7)</f>
        <v>-0.0424291552055797</v>
      </c>
      <c r="O914" s="53" t="n">
        <f aca="false">SUM(J914:N914)</f>
        <v>1.5278138865287</v>
      </c>
    </row>
    <row r="915" customFormat="false" ht="15" hidden="false" customHeight="false" outlineLevel="0" collapsed="false">
      <c r="A915" s="2" t="n">
        <v>907</v>
      </c>
      <c r="B915" s="53" t="n">
        <f aca="true">NORMINV(RAND(),0,B$7)</f>
        <v>-0.769286277549891</v>
      </c>
      <c r="C915" s="53" t="n">
        <f aca="true">NORMINV(RAND(),0,C$7)</f>
        <v>0.491910100418576</v>
      </c>
      <c r="D915" s="53" t="n">
        <f aca="true">NORMINV(RAND(),0,D$7)</f>
        <v>-0.0252235162831872</v>
      </c>
      <c r="E915" s="53" t="n">
        <f aca="true">NORMINV(RAND(),0,E$7)</f>
        <v>-0.141184403313956</v>
      </c>
      <c r="F915" s="53" t="n">
        <f aca="true">NORMINV(RAND(),0,F$7)</f>
        <v>0.0998081186624708</v>
      </c>
      <c r="G915" s="53" t="n">
        <f aca="true">NORMINV(RAND(),0,G$7)</f>
        <v>-0.905405464233919</v>
      </c>
      <c r="H915" s="53" t="n">
        <f aca="true">NORMINV(RAND(),0,H$7)</f>
        <v>0.0519258625733399</v>
      </c>
      <c r="I915" s="53" t="n">
        <f aca="false">SUM(B915:H915)</f>
        <v>-1.19745557972657</v>
      </c>
      <c r="J915" s="53" t="n">
        <f aca="true">NORMINV(RAND(),0,J$7)</f>
        <v>1.01322522366895</v>
      </c>
      <c r="K915" s="53" t="n">
        <f aca="true">NORMINV(RAND(),0,K$7)</f>
        <v>-0.41339352672373</v>
      </c>
      <c r="L915" s="53" t="n">
        <f aca="true">NORMINV(RAND(),0,L$7)</f>
        <v>0.229715682881464</v>
      </c>
      <c r="M915" s="53" t="n">
        <f aca="true">NORMINV(RAND(),0,M$7)</f>
        <v>-0.0973215122991378</v>
      </c>
      <c r="N915" s="53" t="n">
        <f aca="true">NORMINV(RAND(),0,N$7)</f>
        <v>-0.0589024143795795</v>
      </c>
      <c r="O915" s="53" t="n">
        <f aca="false">SUM(J915:N915)</f>
        <v>0.673323453147966</v>
      </c>
    </row>
    <row r="916" customFormat="false" ht="15" hidden="false" customHeight="false" outlineLevel="0" collapsed="false">
      <c r="A916" s="2" t="n">
        <v>908</v>
      </c>
      <c r="B916" s="53" t="n">
        <f aca="true">NORMINV(RAND(),0,B$7)</f>
        <v>1.08568520548951</v>
      </c>
      <c r="C916" s="53" t="n">
        <f aca="true">NORMINV(RAND(),0,C$7)</f>
        <v>-0.0839446416009748</v>
      </c>
      <c r="D916" s="53" t="n">
        <f aca="true">NORMINV(RAND(),0,D$7)</f>
        <v>1.65750847530353</v>
      </c>
      <c r="E916" s="53" t="n">
        <f aca="true">NORMINV(RAND(),0,E$7)</f>
        <v>-0.73101016527556</v>
      </c>
      <c r="F916" s="53" t="n">
        <f aca="true">NORMINV(RAND(),0,F$7)</f>
        <v>0.440760763240772</v>
      </c>
      <c r="G916" s="53" t="n">
        <f aca="true">NORMINV(RAND(),0,G$7)</f>
        <v>-0.834306023038623</v>
      </c>
      <c r="H916" s="53" t="n">
        <f aca="true">NORMINV(RAND(),0,H$7)</f>
        <v>0.0312364625024737</v>
      </c>
      <c r="I916" s="53" t="n">
        <f aca="false">SUM(B916:H916)</f>
        <v>1.56593007662113</v>
      </c>
      <c r="J916" s="53" t="n">
        <f aca="true">NORMINV(RAND(),0,J$7)</f>
        <v>-3.57964862933185</v>
      </c>
      <c r="K916" s="53" t="n">
        <f aca="true">NORMINV(RAND(),0,K$7)</f>
        <v>-1.22355215358626</v>
      </c>
      <c r="L916" s="53" t="n">
        <f aca="true">NORMINV(RAND(),0,L$7)</f>
        <v>0.566615532875074</v>
      </c>
      <c r="M916" s="53" t="n">
        <f aca="true">NORMINV(RAND(),0,M$7)</f>
        <v>-0.128197458775669</v>
      </c>
      <c r="N916" s="53" t="n">
        <f aca="true">NORMINV(RAND(),0,N$7)</f>
        <v>-0.0421514579083296</v>
      </c>
      <c r="O916" s="53" t="n">
        <f aca="false">SUM(J916:N916)</f>
        <v>-4.40693416672703</v>
      </c>
    </row>
    <row r="917" customFormat="false" ht="15" hidden="false" customHeight="false" outlineLevel="0" collapsed="false">
      <c r="A917" s="2" t="n">
        <v>909</v>
      </c>
      <c r="B917" s="53" t="n">
        <f aca="true">NORMINV(RAND(),0,B$7)</f>
        <v>3.94069802109912</v>
      </c>
      <c r="C917" s="53" t="n">
        <f aca="true">NORMINV(RAND(),0,C$7)</f>
        <v>0.38961149382599</v>
      </c>
      <c r="D917" s="53" t="n">
        <f aca="true">NORMINV(RAND(),0,D$7)</f>
        <v>1.91531448842254</v>
      </c>
      <c r="E917" s="53" t="n">
        <f aca="true">NORMINV(RAND(),0,E$7)</f>
        <v>-0.0383517097392144</v>
      </c>
      <c r="F917" s="53" t="n">
        <f aca="true">NORMINV(RAND(),0,F$7)</f>
        <v>0.0782934108140128</v>
      </c>
      <c r="G917" s="53" t="n">
        <f aca="true">NORMINV(RAND(),0,G$7)</f>
        <v>3.35193015221991</v>
      </c>
      <c r="H917" s="53" t="n">
        <f aca="true">NORMINV(RAND(),0,H$7)</f>
        <v>0.214120108330582</v>
      </c>
      <c r="I917" s="53" t="n">
        <f aca="false">SUM(B917:H917)</f>
        <v>9.85161596497294</v>
      </c>
      <c r="J917" s="53" t="n">
        <f aca="true">NORMINV(RAND(),0,J$7)</f>
        <v>-4.85908997640425</v>
      </c>
      <c r="K917" s="53" t="n">
        <f aca="true">NORMINV(RAND(),0,K$7)</f>
        <v>0.811128222593626</v>
      </c>
      <c r="L917" s="53" t="n">
        <f aca="true">NORMINV(RAND(),0,L$7)</f>
        <v>0.169393065105877</v>
      </c>
      <c r="M917" s="53" t="n">
        <f aca="true">NORMINV(RAND(),0,M$7)</f>
        <v>-0.0281954737168584</v>
      </c>
      <c r="N917" s="53" t="n">
        <f aca="true">NORMINV(RAND(),0,N$7)</f>
        <v>-0.73810541606661</v>
      </c>
      <c r="O917" s="53" t="n">
        <f aca="false">SUM(J917:N917)</f>
        <v>-4.64486957848822</v>
      </c>
    </row>
    <row r="918" customFormat="false" ht="15" hidden="false" customHeight="false" outlineLevel="0" collapsed="false">
      <c r="A918" s="2" t="n">
        <v>910</v>
      </c>
      <c r="B918" s="53" t="n">
        <f aca="true">NORMINV(RAND(),0,B$7)</f>
        <v>1.51401046649892</v>
      </c>
      <c r="C918" s="53" t="n">
        <f aca="true">NORMINV(RAND(),0,C$7)</f>
        <v>-3.06590996015578</v>
      </c>
      <c r="D918" s="53" t="n">
        <f aca="true">NORMINV(RAND(),0,D$7)</f>
        <v>2.06763440971813</v>
      </c>
      <c r="E918" s="53" t="n">
        <f aca="true">NORMINV(RAND(),0,E$7)</f>
        <v>0.439943527064543</v>
      </c>
      <c r="F918" s="53" t="n">
        <f aca="true">NORMINV(RAND(),0,F$7)</f>
        <v>0.0971293437659263</v>
      </c>
      <c r="G918" s="53" t="n">
        <f aca="true">NORMINV(RAND(),0,G$7)</f>
        <v>1.60004878291684</v>
      </c>
      <c r="H918" s="53" t="n">
        <f aca="true">NORMINV(RAND(),0,H$7)</f>
        <v>-0.425745516328913</v>
      </c>
      <c r="I918" s="53" t="n">
        <f aca="false">SUM(B918:H918)</f>
        <v>2.22711105347966</v>
      </c>
      <c r="J918" s="53" t="n">
        <f aca="true">NORMINV(RAND(),0,J$7)</f>
        <v>-1.58750137608158</v>
      </c>
      <c r="K918" s="53" t="n">
        <f aca="true">NORMINV(RAND(),0,K$7)</f>
        <v>-0.227745475883673</v>
      </c>
      <c r="L918" s="53" t="n">
        <f aca="true">NORMINV(RAND(),0,L$7)</f>
        <v>0.168699306200109</v>
      </c>
      <c r="M918" s="53" t="n">
        <f aca="true">NORMINV(RAND(),0,M$7)</f>
        <v>0.0798307334038087</v>
      </c>
      <c r="N918" s="53" t="n">
        <f aca="true">NORMINV(RAND(),0,N$7)</f>
        <v>0.24092304654554</v>
      </c>
      <c r="O918" s="53" t="n">
        <f aca="false">SUM(J918:N918)</f>
        <v>-1.32579376581579</v>
      </c>
    </row>
    <row r="919" customFormat="false" ht="15" hidden="false" customHeight="false" outlineLevel="0" collapsed="false">
      <c r="A919" s="2" t="n">
        <v>911</v>
      </c>
      <c r="B919" s="53" t="n">
        <f aca="true">NORMINV(RAND(),0,B$7)</f>
        <v>-0.746535855223107</v>
      </c>
      <c r="C919" s="53" t="n">
        <f aca="true">NORMINV(RAND(),0,C$7)</f>
        <v>-0.615762871691031</v>
      </c>
      <c r="D919" s="53" t="n">
        <f aca="true">NORMINV(RAND(),0,D$7)</f>
        <v>-0.214303336954477</v>
      </c>
      <c r="E919" s="53" t="n">
        <f aca="true">NORMINV(RAND(),0,E$7)</f>
        <v>1.22068536474859</v>
      </c>
      <c r="F919" s="53" t="n">
        <f aca="true">NORMINV(RAND(),0,F$7)</f>
        <v>-0.225408483306441</v>
      </c>
      <c r="G919" s="53" t="n">
        <f aca="true">NORMINV(RAND(),0,G$7)</f>
        <v>1.04892890229593</v>
      </c>
      <c r="H919" s="53" t="n">
        <f aca="true">NORMINV(RAND(),0,H$7)</f>
        <v>0.287476962425323</v>
      </c>
      <c r="I919" s="53" t="n">
        <f aca="false">SUM(B919:H919)</f>
        <v>0.75508068229479</v>
      </c>
      <c r="J919" s="53" t="n">
        <f aca="true">NORMINV(RAND(),0,J$7)</f>
        <v>-4.3114419841952</v>
      </c>
      <c r="K919" s="53" t="n">
        <f aca="true">NORMINV(RAND(),0,K$7)</f>
        <v>0.266781831459607</v>
      </c>
      <c r="L919" s="53" t="n">
        <f aca="true">NORMINV(RAND(),0,L$7)</f>
        <v>0.406708096061084</v>
      </c>
      <c r="M919" s="53" t="n">
        <f aca="true">NORMINV(RAND(),0,M$7)</f>
        <v>0.0884667377090126</v>
      </c>
      <c r="N919" s="53" t="n">
        <f aca="true">NORMINV(RAND(),0,N$7)</f>
        <v>0.0716525500640114</v>
      </c>
      <c r="O919" s="53" t="n">
        <f aca="false">SUM(J919:N919)</f>
        <v>-3.47783276890148</v>
      </c>
    </row>
    <row r="920" customFormat="false" ht="15" hidden="false" customHeight="false" outlineLevel="0" collapsed="false">
      <c r="A920" s="2" t="n">
        <v>912</v>
      </c>
      <c r="B920" s="53" t="n">
        <f aca="true">NORMINV(RAND(),0,B$7)</f>
        <v>1.95969683061212</v>
      </c>
      <c r="C920" s="53" t="n">
        <f aca="true">NORMINV(RAND(),0,C$7)</f>
        <v>-0.532349117787539</v>
      </c>
      <c r="D920" s="53" t="n">
        <f aca="true">NORMINV(RAND(),0,D$7)</f>
        <v>-0.120524397368058</v>
      </c>
      <c r="E920" s="53" t="n">
        <f aca="true">NORMINV(RAND(),0,E$7)</f>
        <v>0.0517139179442172</v>
      </c>
      <c r="F920" s="53" t="n">
        <f aca="true">NORMINV(RAND(),0,F$7)</f>
        <v>-0.105508200667137</v>
      </c>
      <c r="G920" s="53" t="n">
        <f aca="true">NORMINV(RAND(),0,G$7)</f>
        <v>1.34643153586628</v>
      </c>
      <c r="H920" s="53" t="n">
        <f aca="true">NORMINV(RAND(),0,H$7)</f>
        <v>-0.0815428221564749</v>
      </c>
      <c r="I920" s="53" t="n">
        <f aca="false">SUM(B920:H920)</f>
        <v>2.51791774644341</v>
      </c>
      <c r="J920" s="53" t="n">
        <f aca="true">NORMINV(RAND(),0,J$7)</f>
        <v>-1.39869136220642</v>
      </c>
      <c r="K920" s="53" t="n">
        <f aca="true">NORMINV(RAND(),0,K$7)</f>
        <v>-0.625479847211436</v>
      </c>
      <c r="L920" s="53" t="n">
        <f aca="true">NORMINV(RAND(),0,L$7)</f>
        <v>-0.430810821687358</v>
      </c>
      <c r="M920" s="53" t="n">
        <f aca="true">NORMINV(RAND(),0,M$7)</f>
        <v>0.154518716385142</v>
      </c>
      <c r="N920" s="53" t="n">
        <f aca="true">NORMINV(RAND(),0,N$7)</f>
        <v>-0.832645074916304</v>
      </c>
      <c r="O920" s="53" t="n">
        <f aca="false">SUM(J920:N920)</f>
        <v>-3.13310838963638</v>
      </c>
    </row>
    <row r="921" customFormat="false" ht="15" hidden="false" customHeight="false" outlineLevel="0" collapsed="false">
      <c r="A921" s="2" t="n">
        <v>913</v>
      </c>
      <c r="B921" s="53" t="n">
        <f aca="true">NORMINV(RAND(),0,B$7)</f>
        <v>1.29241783177187</v>
      </c>
      <c r="C921" s="53" t="n">
        <f aca="true">NORMINV(RAND(),0,C$7)</f>
        <v>2.42172166973889</v>
      </c>
      <c r="D921" s="53" t="n">
        <f aca="true">NORMINV(RAND(),0,D$7)</f>
        <v>2.16111440686127</v>
      </c>
      <c r="E921" s="53" t="n">
        <f aca="true">NORMINV(RAND(),0,E$7)</f>
        <v>0.234735501385441</v>
      </c>
      <c r="F921" s="53" t="n">
        <f aca="true">NORMINV(RAND(),0,F$7)</f>
        <v>0.0510090325482446</v>
      </c>
      <c r="G921" s="53" t="n">
        <f aca="true">NORMINV(RAND(),0,G$7)</f>
        <v>-0.280306955053702</v>
      </c>
      <c r="H921" s="53" t="n">
        <f aca="true">NORMINV(RAND(),0,H$7)</f>
        <v>0.718504145502402</v>
      </c>
      <c r="I921" s="53" t="n">
        <f aca="false">SUM(B921:H921)</f>
        <v>6.59919563275441</v>
      </c>
      <c r="J921" s="53" t="n">
        <f aca="true">NORMINV(RAND(),0,J$7)</f>
        <v>3.67392207979023</v>
      </c>
      <c r="K921" s="53" t="n">
        <f aca="true">NORMINV(RAND(),0,K$7)</f>
        <v>0.160579878564734</v>
      </c>
      <c r="L921" s="53" t="n">
        <f aca="true">NORMINV(RAND(),0,L$7)</f>
        <v>-0.0646602127440722</v>
      </c>
      <c r="M921" s="53" t="n">
        <f aca="true">NORMINV(RAND(),0,M$7)</f>
        <v>0.167664711461686</v>
      </c>
      <c r="N921" s="53" t="n">
        <f aca="true">NORMINV(RAND(),0,N$7)</f>
        <v>-0.0779567704028832</v>
      </c>
      <c r="O921" s="53" t="n">
        <f aca="false">SUM(J921:N921)</f>
        <v>3.85954968666969</v>
      </c>
    </row>
    <row r="922" customFormat="false" ht="15" hidden="false" customHeight="false" outlineLevel="0" collapsed="false">
      <c r="A922" s="2" t="n">
        <v>914</v>
      </c>
      <c r="B922" s="53" t="n">
        <f aca="true">NORMINV(RAND(),0,B$7)</f>
        <v>-2.83855616897975</v>
      </c>
      <c r="C922" s="53" t="n">
        <f aca="true">NORMINV(RAND(),0,C$7)</f>
        <v>-1.69415652088953</v>
      </c>
      <c r="D922" s="53" t="n">
        <f aca="true">NORMINV(RAND(),0,D$7)</f>
        <v>0.138873734845751</v>
      </c>
      <c r="E922" s="53" t="n">
        <f aca="true">NORMINV(RAND(),0,E$7)</f>
        <v>-0.502563988662264</v>
      </c>
      <c r="F922" s="53" t="n">
        <f aca="true">NORMINV(RAND(),0,F$7)</f>
        <v>-0.259046106188994</v>
      </c>
      <c r="G922" s="53" t="n">
        <f aca="true">NORMINV(RAND(),0,G$7)</f>
        <v>-0.803781430604006</v>
      </c>
      <c r="H922" s="53" t="n">
        <f aca="true">NORMINV(RAND(),0,H$7)</f>
        <v>-0.652368802824946</v>
      </c>
      <c r="I922" s="53" t="n">
        <f aca="false">SUM(B922:H922)</f>
        <v>-6.61159928330374</v>
      </c>
      <c r="J922" s="53" t="n">
        <f aca="true">NORMINV(RAND(),0,J$7)</f>
        <v>-0.472985430312769</v>
      </c>
      <c r="K922" s="53" t="n">
        <f aca="true">NORMINV(RAND(),0,K$7)</f>
        <v>1.12483711208928</v>
      </c>
      <c r="L922" s="53" t="n">
        <f aca="true">NORMINV(RAND(),0,L$7)</f>
        <v>0.249707889526069</v>
      </c>
      <c r="M922" s="53" t="n">
        <f aca="true">NORMINV(RAND(),0,M$7)</f>
        <v>-0.219720075391965</v>
      </c>
      <c r="N922" s="53" t="n">
        <f aca="true">NORMINV(RAND(),0,N$7)</f>
        <v>0.0329100282777737</v>
      </c>
      <c r="O922" s="53" t="n">
        <f aca="false">SUM(J922:N922)</f>
        <v>0.714749524188386</v>
      </c>
    </row>
    <row r="923" customFormat="false" ht="15" hidden="false" customHeight="false" outlineLevel="0" collapsed="false">
      <c r="A923" s="2" t="n">
        <v>915</v>
      </c>
      <c r="B923" s="53" t="n">
        <f aca="true">NORMINV(RAND(),0,B$7)</f>
        <v>-0.88487154647705</v>
      </c>
      <c r="C923" s="53" t="n">
        <f aca="true">NORMINV(RAND(),0,C$7)</f>
        <v>-1.59803475435011</v>
      </c>
      <c r="D923" s="53" t="n">
        <f aca="true">NORMINV(RAND(),0,D$7)</f>
        <v>-1.02587191002959</v>
      </c>
      <c r="E923" s="53" t="n">
        <f aca="true">NORMINV(RAND(),0,E$7)</f>
        <v>-0.156927796292218</v>
      </c>
      <c r="F923" s="53" t="n">
        <f aca="true">NORMINV(RAND(),0,F$7)</f>
        <v>-0.363340313255285</v>
      </c>
      <c r="G923" s="53" t="n">
        <f aca="true">NORMINV(RAND(),0,G$7)</f>
        <v>-1.14701794659224</v>
      </c>
      <c r="H923" s="53" t="n">
        <f aca="true">NORMINV(RAND(),0,H$7)</f>
        <v>-0.591934974898138</v>
      </c>
      <c r="I923" s="53" t="n">
        <f aca="false">SUM(B923:H923)</f>
        <v>-5.76799924189464</v>
      </c>
      <c r="J923" s="53" t="n">
        <f aca="true">NORMINV(RAND(),0,J$7)</f>
        <v>3.82668491845291</v>
      </c>
      <c r="K923" s="53" t="n">
        <f aca="true">NORMINV(RAND(),0,K$7)</f>
        <v>0.665921395541061</v>
      </c>
      <c r="L923" s="53" t="n">
        <f aca="true">NORMINV(RAND(),0,L$7)</f>
        <v>-0.00652191511245482</v>
      </c>
      <c r="M923" s="53" t="n">
        <f aca="true">NORMINV(RAND(),0,M$7)</f>
        <v>-0.163478840273114</v>
      </c>
      <c r="N923" s="53" t="n">
        <f aca="true">NORMINV(RAND(),0,N$7)</f>
        <v>-0.3943310581317</v>
      </c>
      <c r="O923" s="53" t="n">
        <f aca="false">SUM(J923:N923)</f>
        <v>3.9282745004767</v>
      </c>
    </row>
    <row r="924" customFormat="false" ht="15" hidden="false" customHeight="false" outlineLevel="0" collapsed="false">
      <c r="A924" s="2" t="n">
        <v>916</v>
      </c>
      <c r="B924" s="53" t="n">
        <f aca="true">NORMINV(RAND(),0,B$7)</f>
        <v>-0.40394571771381</v>
      </c>
      <c r="C924" s="53" t="n">
        <f aca="true">NORMINV(RAND(),0,C$7)</f>
        <v>0.504939528988843</v>
      </c>
      <c r="D924" s="53" t="n">
        <f aca="true">NORMINV(RAND(),0,D$7)</f>
        <v>0.506648913097162</v>
      </c>
      <c r="E924" s="53" t="n">
        <f aca="true">NORMINV(RAND(),0,E$7)</f>
        <v>-0.429356302452037</v>
      </c>
      <c r="F924" s="53" t="n">
        <f aca="true">NORMINV(RAND(),0,F$7)</f>
        <v>-0.0432803772552499</v>
      </c>
      <c r="G924" s="53" t="n">
        <f aca="true">NORMINV(RAND(),0,G$7)</f>
        <v>1.99797378319356</v>
      </c>
      <c r="H924" s="53" t="n">
        <f aca="true">NORMINV(RAND(),0,H$7)</f>
        <v>-0.0495714811546041</v>
      </c>
      <c r="I924" s="53" t="n">
        <f aca="false">SUM(B924:H924)</f>
        <v>2.08340834670386</v>
      </c>
      <c r="J924" s="53" t="n">
        <f aca="true">NORMINV(RAND(),0,J$7)</f>
        <v>2.45614521281842</v>
      </c>
      <c r="K924" s="53" t="n">
        <f aca="true">NORMINV(RAND(),0,K$7)</f>
        <v>0.978739386571114</v>
      </c>
      <c r="L924" s="53" t="n">
        <f aca="true">NORMINV(RAND(),0,L$7)</f>
        <v>0.0354569141469298</v>
      </c>
      <c r="M924" s="53" t="n">
        <f aca="true">NORMINV(RAND(),0,M$7)</f>
        <v>0.101957833003831</v>
      </c>
      <c r="N924" s="53" t="n">
        <f aca="true">NORMINV(RAND(),0,N$7)</f>
        <v>0.144905826671872</v>
      </c>
      <c r="O924" s="53" t="n">
        <f aca="false">SUM(J924:N924)</f>
        <v>3.71720517321217</v>
      </c>
    </row>
    <row r="925" customFormat="false" ht="15" hidden="false" customHeight="false" outlineLevel="0" collapsed="false">
      <c r="A925" s="2" t="n">
        <v>917</v>
      </c>
      <c r="B925" s="53" t="n">
        <f aca="true">NORMINV(RAND(),0,B$7)</f>
        <v>1.62495325638302</v>
      </c>
      <c r="C925" s="53" t="n">
        <f aca="true">NORMINV(RAND(),0,C$7)</f>
        <v>-1.52546491955324</v>
      </c>
      <c r="D925" s="53" t="n">
        <f aca="true">NORMINV(RAND(),0,D$7)</f>
        <v>2.65782668961719</v>
      </c>
      <c r="E925" s="53" t="n">
        <f aca="true">NORMINV(RAND(),0,E$7)</f>
        <v>-0.150872712335328</v>
      </c>
      <c r="F925" s="53" t="n">
        <f aca="true">NORMINV(RAND(),0,F$7)</f>
        <v>-0.439839380711864</v>
      </c>
      <c r="G925" s="53" t="n">
        <f aca="true">NORMINV(RAND(),0,G$7)</f>
        <v>0.850584379954497</v>
      </c>
      <c r="H925" s="53" t="n">
        <f aca="true">NORMINV(RAND(),0,H$7)</f>
        <v>-0.33048043103598</v>
      </c>
      <c r="I925" s="53" t="n">
        <f aca="false">SUM(B925:H925)</f>
        <v>2.68670688231828</v>
      </c>
      <c r="J925" s="53" t="n">
        <f aca="true">NORMINV(RAND(),0,J$7)</f>
        <v>-0.826872901540533</v>
      </c>
      <c r="K925" s="53" t="n">
        <f aca="true">NORMINV(RAND(),0,K$7)</f>
        <v>0.0354831825391725</v>
      </c>
      <c r="L925" s="53" t="n">
        <f aca="true">NORMINV(RAND(),0,L$7)</f>
        <v>0.401884193394995</v>
      </c>
      <c r="M925" s="53" t="n">
        <f aca="true">NORMINV(RAND(),0,M$7)</f>
        <v>-0.268314017117531</v>
      </c>
      <c r="N925" s="53" t="n">
        <f aca="true">NORMINV(RAND(),0,N$7)</f>
        <v>-0.401818317617613</v>
      </c>
      <c r="O925" s="53" t="n">
        <f aca="false">SUM(J925:N925)</f>
        <v>-1.05963786034151</v>
      </c>
    </row>
    <row r="926" customFormat="false" ht="15" hidden="false" customHeight="false" outlineLevel="0" collapsed="false">
      <c r="A926" s="2" t="n">
        <v>918</v>
      </c>
      <c r="B926" s="53" t="n">
        <f aca="true">NORMINV(RAND(),0,B$7)</f>
        <v>-0.119292418251622</v>
      </c>
      <c r="C926" s="53" t="n">
        <f aca="true">NORMINV(RAND(),0,C$7)</f>
        <v>-0.00967866425826662</v>
      </c>
      <c r="D926" s="53" t="n">
        <f aca="true">NORMINV(RAND(),0,D$7)</f>
        <v>1.86263442615654</v>
      </c>
      <c r="E926" s="53" t="n">
        <f aca="true">NORMINV(RAND(),0,E$7)</f>
        <v>-0.259158471747159</v>
      </c>
      <c r="F926" s="53" t="n">
        <f aca="true">NORMINV(RAND(),0,F$7)</f>
        <v>0.176382021015413</v>
      </c>
      <c r="G926" s="53" t="n">
        <f aca="true">NORMINV(RAND(),0,G$7)</f>
        <v>0.763051643340877</v>
      </c>
      <c r="H926" s="53" t="n">
        <f aca="true">NORMINV(RAND(),0,H$7)</f>
        <v>0.202713259788062</v>
      </c>
      <c r="I926" s="53" t="n">
        <f aca="false">SUM(B926:H926)</f>
        <v>2.61665179604385</v>
      </c>
      <c r="J926" s="53" t="n">
        <f aca="true">NORMINV(RAND(),0,J$7)</f>
        <v>-3.00012887948809</v>
      </c>
      <c r="K926" s="53" t="n">
        <f aca="true">NORMINV(RAND(),0,K$7)</f>
        <v>1.30803407432072</v>
      </c>
      <c r="L926" s="53" t="n">
        <f aca="true">NORMINV(RAND(),0,L$7)</f>
        <v>0.271508322382917</v>
      </c>
      <c r="M926" s="53" t="n">
        <f aca="true">NORMINV(RAND(),0,M$7)</f>
        <v>-0.0188092435778001</v>
      </c>
      <c r="N926" s="53" t="n">
        <f aca="true">NORMINV(RAND(),0,N$7)</f>
        <v>0.342120672637856</v>
      </c>
      <c r="O926" s="53" t="n">
        <f aca="false">SUM(J926:N926)</f>
        <v>-1.0972750537244</v>
      </c>
    </row>
    <row r="927" customFormat="false" ht="15" hidden="false" customHeight="false" outlineLevel="0" collapsed="false">
      <c r="A927" s="2" t="n">
        <v>919</v>
      </c>
      <c r="B927" s="53" t="n">
        <f aca="true">NORMINV(RAND(),0,B$7)</f>
        <v>-0.161549611976959</v>
      </c>
      <c r="C927" s="53" t="n">
        <f aca="true">NORMINV(RAND(),0,C$7)</f>
        <v>-0.110103654681595</v>
      </c>
      <c r="D927" s="53" t="n">
        <f aca="true">NORMINV(RAND(),0,D$7)</f>
        <v>-0.590585763314553</v>
      </c>
      <c r="E927" s="53" t="n">
        <f aca="true">NORMINV(RAND(),0,E$7)</f>
        <v>-0.205250997034898</v>
      </c>
      <c r="F927" s="53" t="n">
        <f aca="true">NORMINV(RAND(),0,F$7)</f>
        <v>-0.0658425921340103</v>
      </c>
      <c r="G927" s="53" t="n">
        <f aca="true">NORMINV(RAND(),0,G$7)</f>
        <v>0.282984494545289</v>
      </c>
      <c r="H927" s="53" t="n">
        <f aca="true">NORMINV(RAND(),0,H$7)</f>
        <v>0.0273332050315433</v>
      </c>
      <c r="I927" s="53" t="n">
        <f aca="false">SUM(B927:H927)</f>
        <v>-0.823014919565184</v>
      </c>
      <c r="J927" s="53" t="n">
        <f aca="true">NORMINV(RAND(),0,J$7)</f>
        <v>0.886310596819416</v>
      </c>
      <c r="K927" s="53" t="n">
        <f aca="true">NORMINV(RAND(),0,K$7)</f>
        <v>-1.090823906439</v>
      </c>
      <c r="L927" s="53" t="n">
        <f aca="true">NORMINV(RAND(),0,L$7)</f>
        <v>0.202693414314754</v>
      </c>
      <c r="M927" s="53" t="n">
        <f aca="true">NORMINV(RAND(),0,M$7)</f>
        <v>0.118797035934851</v>
      </c>
      <c r="N927" s="53" t="n">
        <f aca="true">NORMINV(RAND(),0,N$7)</f>
        <v>-0.111852414469465</v>
      </c>
      <c r="O927" s="53" t="n">
        <f aca="false">SUM(J927:N927)</f>
        <v>0.00512472616055557</v>
      </c>
    </row>
    <row r="928" customFormat="false" ht="15" hidden="false" customHeight="false" outlineLevel="0" collapsed="false">
      <c r="A928" s="2" t="n">
        <v>920</v>
      </c>
      <c r="B928" s="53" t="n">
        <f aca="true">NORMINV(RAND(),0,B$7)</f>
        <v>0.0706630334173001</v>
      </c>
      <c r="C928" s="53" t="n">
        <f aca="true">NORMINV(RAND(),0,C$7)</f>
        <v>-0.0232555849459032</v>
      </c>
      <c r="D928" s="53" t="n">
        <f aca="true">NORMINV(RAND(),0,D$7)</f>
        <v>0.266145119309608</v>
      </c>
      <c r="E928" s="53" t="n">
        <f aca="true">NORMINV(RAND(),0,E$7)</f>
        <v>-0.225396089955304</v>
      </c>
      <c r="F928" s="53" t="n">
        <f aca="true">NORMINV(RAND(),0,F$7)</f>
        <v>0.127282748315154</v>
      </c>
      <c r="G928" s="53" t="n">
        <f aca="true">NORMINV(RAND(),0,G$7)</f>
        <v>1.56206280756051</v>
      </c>
      <c r="H928" s="53" t="n">
        <f aca="true">NORMINV(RAND(),0,H$7)</f>
        <v>-0.181138245461376</v>
      </c>
      <c r="I928" s="53" t="n">
        <f aca="false">SUM(B928:H928)</f>
        <v>1.59636378823999</v>
      </c>
      <c r="J928" s="53" t="n">
        <f aca="true">NORMINV(RAND(),0,J$7)</f>
        <v>-1.84578987428446</v>
      </c>
      <c r="K928" s="53" t="n">
        <f aca="true">NORMINV(RAND(),0,K$7)</f>
        <v>-0.632897416683674</v>
      </c>
      <c r="L928" s="53" t="n">
        <f aca="true">NORMINV(RAND(),0,L$7)</f>
        <v>0.155767176132928</v>
      </c>
      <c r="M928" s="53" t="n">
        <f aca="true">NORMINV(RAND(),0,M$7)</f>
        <v>0.517228299070467</v>
      </c>
      <c r="N928" s="53" t="n">
        <f aca="true">NORMINV(RAND(),0,N$7)</f>
        <v>0.360785735757112</v>
      </c>
      <c r="O928" s="53" t="n">
        <f aca="false">SUM(J928:N928)</f>
        <v>-1.44490608000763</v>
      </c>
    </row>
    <row r="929" customFormat="false" ht="15" hidden="false" customHeight="false" outlineLevel="0" collapsed="false">
      <c r="A929" s="2" t="n">
        <v>921</v>
      </c>
      <c r="B929" s="53" t="n">
        <f aca="true">NORMINV(RAND(),0,B$7)</f>
        <v>1.07181908008432</v>
      </c>
      <c r="C929" s="53" t="n">
        <f aca="true">NORMINV(RAND(),0,C$7)</f>
        <v>0.730851041519255</v>
      </c>
      <c r="D929" s="53" t="n">
        <f aca="true">NORMINV(RAND(),0,D$7)</f>
        <v>3.12901905172042</v>
      </c>
      <c r="E929" s="53" t="n">
        <f aca="true">NORMINV(RAND(),0,E$7)</f>
        <v>-0.623498618914631</v>
      </c>
      <c r="F929" s="53" t="n">
        <f aca="true">NORMINV(RAND(),0,F$7)</f>
        <v>0.275893437842083</v>
      </c>
      <c r="G929" s="53" t="n">
        <f aca="true">NORMINV(RAND(),0,G$7)</f>
        <v>-2.16115578352181</v>
      </c>
      <c r="H929" s="53" t="n">
        <f aca="true">NORMINV(RAND(),0,H$7)</f>
        <v>-0.0850787623363473</v>
      </c>
      <c r="I929" s="53" t="n">
        <f aca="false">SUM(B929:H929)</f>
        <v>2.33784944639328</v>
      </c>
      <c r="J929" s="53" t="n">
        <f aca="true">NORMINV(RAND(),0,J$7)</f>
        <v>-2.06627951560929</v>
      </c>
      <c r="K929" s="53" t="n">
        <f aca="true">NORMINV(RAND(),0,K$7)</f>
        <v>0.989870455913252</v>
      </c>
      <c r="L929" s="53" t="n">
        <f aca="true">NORMINV(RAND(),0,L$7)</f>
        <v>0.224048885521545</v>
      </c>
      <c r="M929" s="53" t="n">
        <f aca="true">NORMINV(RAND(),0,M$7)</f>
        <v>-0.338887192974349</v>
      </c>
      <c r="N929" s="53" t="n">
        <f aca="true">NORMINV(RAND(),0,N$7)</f>
        <v>-0.411094621405636</v>
      </c>
      <c r="O929" s="53" t="n">
        <f aca="false">SUM(J929:N929)</f>
        <v>-1.60234198855448</v>
      </c>
    </row>
    <row r="930" customFormat="false" ht="15" hidden="false" customHeight="false" outlineLevel="0" collapsed="false">
      <c r="A930" s="2" t="n">
        <v>922</v>
      </c>
      <c r="B930" s="53" t="n">
        <f aca="true">NORMINV(RAND(),0,B$7)</f>
        <v>-1.45779333243046</v>
      </c>
      <c r="C930" s="53" t="n">
        <f aca="true">NORMINV(RAND(),0,C$7)</f>
        <v>0.255498738949187</v>
      </c>
      <c r="D930" s="53" t="n">
        <f aca="true">NORMINV(RAND(),0,D$7)</f>
        <v>-2.16953128509946</v>
      </c>
      <c r="E930" s="53" t="n">
        <f aca="true">NORMINV(RAND(),0,E$7)</f>
        <v>-0.756828722408363</v>
      </c>
      <c r="F930" s="53" t="n">
        <f aca="true">NORMINV(RAND(),0,F$7)</f>
        <v>0.19941946107216</v>
      </c>
      <c r="G930" s="53" t="n">
        <f aca="true">NORMINV(RAND(),0,G$7)</f>
        <v>-0.236718461897747</v>
      </c>
      <c r="H930" s="53" t="n">
        <f aca="true">NORMINV(RAND(),0,H$7)</f>
        <v>-0.0793535395768094</v>
      </c>
      <c r="I930" s="53" t="n">
        <f aca="false">SUM(B930:H930)</f>
        <v>-4.2453071413915</v>
      </c>
      <c r="J930" s="53" t="n">
        <f aca="true">NORMINV(RAND(),0,J$7)</f>
        <v>-2.00109643724825</v>
      </c>
      <c r="K930" s="53" t="n">
        <f aca="true">NORMINV(RAND(),0,K$7)</f>
        <v>0.960105577262719</v>
      </c>
      <c r="L930" s="53" t="n">
        <f aca="true">NORMINV(RAND(),0,L$7)</f>
        <v>-0.334911178228305</v>
      </c>
      <c r="M930" s="53" t="n">
        <f aca="true">NORMINV(RAND(),0,M$7)</f>
        <v>-0.0166020208866859</v>
      </c>
      <c r="N930" s="53" t="n">
        <f aca="true">NORMINV(RAND(),0,N$7)</f>
        <v>0.564206540946539</v>
      </c>
      <c r="O930" s="53" t="n">
        <f aca="false">SUM(J930:N930)</f>
        <v>-0.828297518153979</v>
      </c>
    </row>
    <row r="931" customFormat="false" ht="15" hidden="false" customHeight="false" outlineLevel="0" collapsed="false">
      <c r="A931" s="2" t="n">
        <v>923</v>
      </c>
      <c r="B931" s="53" t="n">
        <f aca="true">NORMINV(RAND(),0,B$7)</f>
        <v>-2.06837543620539</v>
      </c>
      <c r="C931" s="53" t="n">
        <f aca="true">NORMINV(RAND(),0,C$7)</f>
        <v>-1.1849339296283</v>
      </c>
      <c r="D931" s="53" t="n">
        <f aca="true">NORMINV(RAND(),0,D$7)</f>
        <v>-3.04560332009299</v>
      </c>
      <c r="E931" s="53" t="n">
        <f aca="true">NORMINV(RAND(),0,E$7)</f>
        <v>0.0565209266021046</v>
      </c>
      <c r="F931" s="53" t="n">
        <f aca="true">NORMINV(RAND(),0,F$7)</f>
        <v>-0.0314917881063178</v>
      </c>
      <c r="G931" s="53" t="n">
        <f aca="true">NORMINV(RAND(),0,G$7)</f>
        <v>0.40850499889539</v>
      </c>
      <c r="H931" s="53" t="n">
        <f aca="true">NORMINV(RAND(),0,H$7)</f>
        <v>0.0113700825896621</v>
      </c>
      <c r="I931" s="53" t="n">
        <f aca="false">SUM(B931:H931)</f>
        <v>-5.85400846594583</v>
      </c>
      <c r="J931" s="53" t="n">
        <f aca="true">NORMINV(RAND(),0,J$7)</f>
        <v>0.691022824183488</v>
      </c>
      <c r="K931" s="53" t="n">
        <f aca="true">NORMINV(RAND(),0,K$7)</f>
        <v>0.583677931123057</v>
      </c>
      <c r="L931" s="53" t="n">
        <f aca="true">NORMINV(RAND(),0,L$7)</f>
        <v>-0.611705668237551</v>
      </c>
      <c r="M931" s="53" t="n">
        <f aca="true">NORMINV(RAND(),0,M$7)</f>
        <v>0.111869691776815</v>
      </c>
      <c r="N931" s="53" t="n">
        <f aca="true">NORMINV(RAND(),0,N$7)</f>
        <v>0.07984603290487</v>
      </c>
      <c r="O931" s="53" t="n">
        <f aca="false">SUM(J931:N931)</f>
        <v>0.854710811750679</v>
      </c>
    </row>
    <row r="932" customFormat="false" ht="15" hidden="false" customHeight="false" outlineLevel="0" collapsed="false">
      <c r="A932" s="2" t="n">
        <v>924</v>
      </c>
      <c r="B932" s="53" t="n">
        <f aca="true">NORMINV(RAND(),0,B$7)</f>
        <v>-2.26255951032164</v>
      </c>
      <c r="C932" s="53" t="n">
        <f aca="true">NORMINV(RAND(),0,C$7)</f>
        <v>0.000528098384099537</v>
      </c>
      <c r="D932" s="53" t="n">
        <f aca="true">NORMINV(RAND(),0,D$7)</f>
        <v>-2.56943056337859</v>
      </c>
      <c r="E932" s="53" t="n">
        <f aca="true">NORMINV(RAND(),0,E$7)</f>
        <v>-0.342019267798112</v>
      </c>
      <c r="F932" s="53" t="n">
        <f aca="true">NORMINV(RAND(),0,F$7)</f>
        <v>-0.37335268704559</v>
      </c>
      <c r="G932" s="53" t="n">
        <f aca="true">NORMINV(RAND(),0,G$7)</f>
        <v>-0.29272481266238</v>
      </c>
      <c r="H932" s="53" t="n">
        <f aca="true">NORMINV(RAND(),0,H$7)</f>
        <v>-0.0375647423322684</v>
      </c>
      <c r="I932" s="53" t="n">
        <f aca="false">SUM(B932:H932)</f>
        <v>-5.87712348515448</v>
      </c>
      <c r="J932" s="53" t="n">
        <f aca="true">NORMINV(RAND(),0,J$7)</f>
        <v>1.63477735174146</v>
      </c>
      <c r="K932" s="53" t="n">
        <f aca="true">NORMINV(RAND(),0,K$7)</f>
        <v>0.940180334690536</v>
      </c>
      <c r="L932" s="53" t="n">
        <f aca="true">NORMINV(RAND(),0,L$7)</f>
        <v>0.38131794743284</v>
      </c>
      <c r="M932" s="53" t="n">
        <f aca="true">NORMINV(RAND(),0,M$7)</f>
        <v>0.0575246832471969</v>
      </c>
      <c r="N932" s="53" t="n">
        <f aca="true">NORMINV(RAND(),0,N$7)</f>
        <v>-0.267296174075989</v>
      </c>
      <c r="O932" s="53" t="n">
        <f aca="false">SUM(J932:N932)</f>
        <v>2.74650414303604</v>
      </c>
    </row>
    <row r="933" customFormat="false" ht="15" hidden="false" customHeight="false" outlineLevel="0" collapsed="false">
      <c r="A933" s="2" t="n">
        <v>925</v>
      </c>
      <c r="B933" s="53" t="n">
        <f aca="true">NORMINV(RAND(),0,B$7)</f>
        <v>0.26978028646217</v>
      </c>
      <c r="C933" s="53" t="n">
        <f aca="true">NORMINV(RAND(),0,C$7)</f>
        <v>-1.4515574622409</v>
      </c>
      <c r="D933" s="53" t="n">
        <f aca="true">NORMINV(RAND(),0,D$7)</f>
        <v>1.80656353284226</v>
      </c>
      <c r="E933" s="53" t="n">
        <f aca="true">NORMINV(RAND(),0,E$7)</f>
        <v>-0.040218637612977</v>
      </c>
      <c r="F933" s="53" t="n">
        <f aca="true">NORMINV(RAND(),0,F$7)</f>
        <v>-0.28748756123951</v>
      </c>
      <c r="G933" s="53" t="n">
        <f aca="true">NORMINV(RAND(),0,G$7)</f>
        <v>0.610845738585174</v>
      </c>
      <c r="H933" s="53" t="n">
        <f aca="true">NORMINV(RAND(),0,H$7)</f>
        <v>0.211218924939257</v>
      </c>
      <c r="I933" s="53" t="n">
        <f aca="false">SUM(B933:H933)</f>
        <v>1.11914482173547</v>
      </c>
      <c r="J933" s="53" t="n">
        <f aca="true">NORMINV(RAND(),0,J$7)</f>
        <v>-1.04692557462733</v>
      </c>
      <c r="K933" s="53" t="n">
        <f aca="true">NORMINV(RAND(),0,K$7)</f>
        <v>0.294345905207976</v>
      </c>
      <c r="L933" s="53" t="n">
        <f aca="true">NORMINV(RAND(),0,L$7)</f>
        <v>0.389280895122382</v>
      </c>
      <c r="M933" s="53" t="n">
        <f aca="true">NORMINV(RAND(),0,M$7)</f>
        <v>-0.177841946982444</v>
      </c>
      <c r="N933" s="53" t="n">
        <f aca="true">NORMINV(RAND(),0,N$7)</f>
        <v>-0.0654852574887786</v>
      </c>
      <c r="O933" s="53" t="n">
        <f aca="false">SUM(J933:N933)</f>
        <v>-0.60662597876819</v>
      </c>
    </row>
    <row r="934" customFormat="false" ht="15" hidden="false" customHeight="false" outlineLevel="0" collapsed="false">
      <c r="A934" s="2" t="n">
        <v>926</v>
      </c>
      <c r="B934" s="53" t="n">
        <f aca="true">NORMINV(RAND(),0,B$7)</f>
        <v>1.25080524637974</v>
      </c>
      <c r="C934" s="53" t="n">
        <f aca="true">NORMINV(RAND(),0,C$7)</f>
        <v>2.4771938386232</v>
      </c>
      <c r="D934" s="53" t="n">
        <f aca="true">NORMINV(RAND(),0,D$7)</f>
        <v>1.55559596280694</v>
      </c>
      <c r="E934" s="53" t="n">
        <f aca="true">NORMINV(RAND(),0,E$7)</f>
        <v>-0.881945295328454</v>
      </c>
      <c r="F934" s="53" t="n">
        <f aca="true">NORMINV(RAND(),0,F$7)</f>
        <v>-0.297185332162417</v>
      </c>
      <c r="G934" s="53" t="n">
        <f aca="true">NORMINV(RAND(),0,G$7)</f>
        <v>-3.40652976641584</v>
      </c>
      <c r="H934" s="53" t="n">
        <f aca="true">NORMINV(RAND(),0,H$7)</f>
        <v>-0.389965245783826</v>
      </c>
      <c r="I934" s="53" t="n">
        <f aca="false">SUM(B934:H934)</f>
        <v>0.307969408119347</v>
      </c>
      <c r="J934" s="53" t="n">
        <f aca="true">NORMINV(RAND(),0,J$7)</f>
        <v>4.92638612217154</v>
      </c>
      <c r="K934" s="53" t="n">
        <f aca="true">NORMINV(RAND(),0,K$7)</f>
        <v>-1.45439642406214</v>
      </c>
      <c r="L934" s="53" t="n">
        <f aca="true">NORMINV(RAND(),0,L$7)</f>
        <v>-0.241001745563919</v>
      </c>
      <c r="M934" s="53" t="n">
        <f aca="true">NORMINV(RAND(),0,M$7)</f>
        <v>-0.195642530064764</v>
      </c>
      <c r="N934" s="53" t="n">
        <f aca="true">NORMINV(RAND(),0,N$7)</f>
        <v>-0.107256085146921</v>
      </c>
      <c r="O934" s="53" t="n">
        <f aca="false">SUM(J934:N934)</f>
        <v>2.92808933733379</v>
      </c>
    </row>
    <row r="935" customFormat="false" ht="15" hidden="false" customHeight="false" outlineLevel="0" collapsed="false">
      <c r="A935" s="2" t="n">
        <v>927</v>
      </c>
      <c r="B935" s="53" t="n">
        <f aca="true">NORMINV(RAND(),0,B$7)</f>
        <v>0.8174474497018</v>
      </c>
      <c r="C935" s="53" t="n">
        <f aca="true">NORMINV(RAND(),0,C$7)</f>
        <v>-1.22241284868606</v>
      </c>
      <c r="D935" s="53" t="n">
        <f aca="true">NORMINV(RAND(),0,D$7)</f>
        <v>-3.09195922605704</v>
      </c>
      <c r="E935" s="53" t="n">
        <f aca="true">NORMINV(RAND(),0,E$7)</f>
        <v>-0.361789328597514</v>
      </c>
      <c r="F935" s="53" t="n">
        <f aca="true">NORMINV(RAND(),0,F$7)</f>
        <v>0.0532743896417601</v>
      </c>
      <c r="G935" s="53" t="n">
        <f aca="true">NORMINV(RAND(),0,G$7)</f>
        <v>-0.845743577700515</v>
      </c>
      <c r="H935" s="53" t="n">
        <f aca="true">NORMINV(RAND(),0,H$7)</f>
        <v>-0.431485609013398</v>
      </c>
      <c r="I935" s="53" t="n">
        <f aca="false">SUM(B935:H935)</f>
        <v>-5.08266875071097</v>
      </c>
      <c r="J935" s="53" t="n">
        <f aca="true">NORMINV(RAND(),0,J$7)</f>
        <v>-2.03127469383831</v>
      </c>
      <c r="K935" s="53" t="n">
        <f aca="true">NORMINV(RAND(),0,K$7)</f>
        <v>-0.783399748911393</v>
      </c>
      <c r="L935" s="53" t="n">
        <f aca="true">NORMINV(RAND(),0,L$7)</f>
        <v>0.193140317415745</v>
      </c>
      <c r="M935" s="53" t="n">
        <f aca="true">NORMINV(RAND(),0,M$7)</f>
        <v>0.0384466685126595</v>
      </c>
      <c r="N935" s="53" t="n">
        <f aca="true">NORMINV(RAND(),0,N$7)</f>
        <v>0.0584938697216943</v>
      </c>
      <c r="O935" s="53" t="n">
        <f aca="false">SUM(J935:N935)</f>
        <v>-2.5245935870996</v>
      </c>
    </row>
    <row r="936" customFormat="false" ht="15" hidden="false" customHeight="false" outlineLevel="0" collapsed="false">
      <c r="A936" s="2" t="n">
        <v>928</v>
      </c>
      <c r="B936" s="53" t="n">
        <f aca="true">NORMINV(RAND(),0,B$7)</f>
        <v>0.647682218882809</v>
      </c>
      <c r="C936" s="53" t="n">
        <f aca="true">NORMINV(RAND(),0,C$7)</f>
        <v>2.4407899939215</v>
      </c>
      <c r="D936" s="53" t="n">
        <f aca="true">NORMINV(RAND(),0,D$7)</f>
        <v>-0.714867969250867</v>
      </c>
      <c r="E936" s="53" t="n">
        <f aca="true">NORMINV(RAND(),0,E$7)</f>
        <v>-0.102216599051669</v>
      </c>
      <c r="F936" s="53" t="n">
        <f aca="true">NORMINV(RAND(),0,F$7)</f>
        <v>-0.0536232928523088</v>
      </c>
      <c r="G936" s="53" t="n">
        <f aca="true">NORMINV(RAND(),0,G$7)</f>
        <v>1.49449696948113</v>
      </c>
      <c r="H936" s="53" t="n">
        <f aca="true">NORMINV(RAND(),0,H$7)</f>
        <v>0.288322911550071</v>
      </c>
      <c r="I936" s="53" t="n">
        <f aca="false">SUM(B936:H936)</f>
        <v>4.00058423268067</v>
      </c>
      <c r="J936" s="53" t="n">
        <f aca="true">NORMINV(RAND(),0,J$7)</f>
        <v>-0.235178752860517</v>
      </c>
      <c r="K936" s="53" t="n">
        <f aca="true">NORMINV(RAND(),0,K$7)</f>
        <v>-0.271921047369706</v>
      </c>
      <c r="L936" s="53" t="n">
        <f aca="true">NORMINV(RAND(),0,L$7)</f>
        <v>-0.21875587268226</v>
      </c>
      <c r="M936" s="53" t="n">
        <f aca="true">NORMINV(RAND(),0,M$7)</f>
        <v>-0.112944939274019</v>
      </c>
      <c r="N936" s="53" t="n">
        <f aca="true">NORMINV(RAND(),0,N$7)</f>
        <v>0.470379977241291</v>
      </c>
      <c r="O936" s="53" t="n">
        <f aca="false">SUM(J936:N936)</f>
        <v>-0.368420634945212</v>
      </c>
    </row>
    <row r="937" customFormat="false" ht="15" hidden="false" customHeight="false" outlineLevel="0" collapsed="false">
      <c r="A937" s="2" t="n">
        <v>929</v>
      </c>
      <c r="B937" s="53" t="n">
        <f aca="true">NORMINV(RAND(),0,B$7)</f>
        <v>-0.970603185591254</v>
      </c>
      <c r="C937" s="53" t="n">
        <f aca="true">NORMINV(RAND(),0,C$7)</f>
        <v>0.551846874751836</v>
      </c>
      <c r="D937" s="53" t="n">
        <f aca="true">NORMINV(RAND(),0,D$7)</f>
        <v>-1.72201152382798</v>
      </c>
      <c r="E937" s="53" t="n">
        <f aca="true">NORMINV(RAND(),0,E$7)</f>
        <v>0.511315304622634</v>
      </c>
      <c r="F937" s="53" t="n">
        <f aca="true">NORMINV(RAND(),0,F$7)</f>
        <v>-0.398288730771294</v>
      </c>
      <c r="G937" s="53" t="n">
        <f aca="true">NORMINV(RAND(),0,G$7)</f>
        <v>2.08433967181598</v>
      </c>
      <c r="H937" s="53" t="n">
        <f aca="true">NORMINV(RAND(),0,H$7)</f>
        <v>0.150292496124449</v>
      </c>
      <c r="I937" s="53" t="n">
        <f aca="false">SUM(B937:H937)</f>
        <v>0.206890907124365</v>
      </c>
      <c r="J937" s="53" t="n">
        <f aca="true">NORMINV(RAND(),0,J$7)</f>
        <v>3.62466882925264</v>
      </c>
      <c r="K937" s="53" t="n">
        <f aca="true">NORMINV(RAND(),0,K$7)</f>
        <v>-0.285137220014855</v>
      </c>
      <c r="L937" s="53" t="n">
        <f aca="true">NORMINV(RAND(),0,L$7)</f>
        <v>-0.76715920878144</v>
      </c>
      <c r="M937" s="53" t="n">
        <f aca="true">NORMINV(RAND(),0,M$7)</f>
        <v>0.0168795080650324</v>
      </c>
      <c r="N937" s="53" t="n">
        <f aca="true">NORMINV(RAND(),0,N$7)</f>
        <v>0.354185135315004</v>
      </c>
      <c r="O937" s="53" t="n">
        <f aca="false">SUM(J937:N937)</f>
        <v>2.94343704383638</v>
      </c>
    </row>
    <row r="938" customFormat="false" ht="15" hidden="false" customHeight="false" outlineLevel="0" collapsed="false">
      <c r="A938" s="2" t="n">
        <v>930</v>
      </c>
      <c r="B938" s="53" t="n">
        <f aca="true">NORMINV(RAND(),0,B$7)</f>
        <v>1.14514087982001</v>
      </c>
      <c r="C938" s="53" t="n">
        <f aca="true">NORMINV(RAND(),0,C$7)</f>
        <v>0.60982970002573</v>
      </c>
      <c r="D938" s="53" t="n">
        <f aca="true">NORMINV(RAND(),0,D$7)</f>
        <v>0.928461332426019</v>
      </c>
      <c r="E938" s="53" t="n">
        <f aca="true">NORMINV(RAND(),0,E$7)</f>
        <v>-0.310513839507817</v>
      </c>
      <c r="F938" s="53" t="n">
        <f aca="true">NORMINV(RAND(),0,F$7)</f>
        <v>0.104047861652899</v>
      </c>
      <c r="G938" s="53" t="n">
        <f aca="true">NORMINV(RAND(),0,G$7)</f>
        <v>-0.238143818364149</v>
      </c>
      <c r="H938" s="53" t="n">
        <f aca="true">NORMINV(RAND(),0,H$7)</f>
        <v>-0.0605626012974388</v>
      </c>
      <c r="I938" s="53" t="n">
        <f aca="false">SUM(B938:H938)</f>
        <v>2.17825951475525</v>
      </c>
      <c r="J938" s="53" t="n">
        <f aca="true">NORMINV(RAND(),0,J$7)</f>
        <v>2.95486819712817</v>
      </c>
      <c r="K938" s="53" t="n">
        <f aca="true">NORMINV(RAND(),0,K$7)</f>
        <v>0.909391113703052</v>
      </c>
      <c r="L938" s="53" t="n">
        <f aca="true">NORMINV(RAND(),0,L$7)</f>
        <v>-0.312352462369445</v>
      </c>
      <c r="M938" s="53" t="n">
        <f aca="true">NORMINV(RAND(),0,M$7)</f>
        <v>0.268223782964328</v>
      </c>
      <c r="N938" s="53" t="n">
        <f aca="true">NORMINV(RAND(),0,N$7)</f>
        <v>-0.227821370361508</v>
      </c>
      <c r="O938" s="53" t="n">
        <f aca="false">SUM(J938:N938)</f>
        <v>3.59230926106459</v>
      </c>
    </row>
    <row r="939" customFormat="false" ht="15" hidden="false" customHeight="false" outlineLevel="0" collapsed="false">
      <c r="A939" s="2" t="n">
        <v>931</v>
      </c>
      <c r="B939" s="53" t="n">
        <f aca="true">NORMINV(RAND(),0,B$7)</f>
        <v>-1.79018780938396</v>
      </c>
      <c r="C939" s="53" t="n">
        <f aca="true">NORMINV(RAND(),0,C$7)</f>
        <v>-2.12088810113448</v>
      </c>
      <c r="D939" s="53" t="n">
        <f aca="true">NORMINV(RAND(),0,D$7)</f>
        <v>1.82605202599064</v>
      </c>
      <c r="E939" s="53" t="n">
        <f aca="true">NORMINV(RAND(),0,E$7)</f>
        <v>-0.264410256777778</v>
      </c>
      <c r="F939" s="53" t="n">
        <f aca="true">NORMINV(RAND(),0,F$7)</f>
        <v>0.286275251534819</v>
      </c>
      <c r="G939" s="53" t="n">
        <f aca="true">NORMINV(RAND(),0,G$7)</f>
        <v>0.181521620114034</v>
      </c>
      <c r="H939" s="53" t="n">
        <f aca="true">NORMINV(RAND(),0,H$7)</f>
        <v>0.0269816225284307</v>
      </c>
      <c r="I939" s="53" t="n">
        <f aca="false">SUM(B939:H939)</f>
        <v>-1.85465564712829</v>
      </c>
      <c r="J939" s="53" t="n">
        <f aca="true">NORMINV(RAND(),0,J$7)</f>
        <v>3.28942875889115</v>
      </c>
      <c r="K939" s="53" t="n">
        <f aca="true">NORMINV(RAND(),0,K$7)</f>
        <v>-0.827306104531548</v>
      </c>
      <c r="L939" s="53" t="n">
        <f aca="true">NORMINV(RAND(),0,L$7)</f>
        <v>-0.240398594704613</v>
      </c>
      <c r="M939" s="53" t="n">
        <f aca="true">NORMINV(RAND(),0,M$7)</f>
        <v>-0.0686097211580238</v>
      </c>
      <c r="N939" s="53" t="n">
        <f aca="true">NORMINV(RAND(),0,N$7)</f>
        <v>-0.294210433526946</v>
      </c>
      <c r="O939" s="53" t="n">
        <f aca="false">SUM(J939:N939)</f>
        <v>1.85890390497002</v>
      </c>
    </row>
    <row r="940" customFormat="false" ht="15" hidden="false" customHeight="false" outlineLevel="0" collapsed="false">
      <c r="A940" s="2" t="n">
        <v>932</v>
      </c>
      <c r="B940" s="53" t="n">
        <f aca="true">NORMINV(RAND(),0,B$7)</f>
        <v>-0.546896920244653</v>
      </c>
      <c r="C940" s="53" t="n">
        <f aca="true">NORMINV(RAND(),0,C$7)</f>
        <v>0.380343772721083</v>
      </c>
      <c r="D940" s="53" t="n">
        <f aca="true">NORMINV(RAND(),0,D$7)</f>
        <v>-0.374088271589572</v>
      </c>
      <c r="E940" s="53" t="n">
        <f aca="true">NORMINV(RAND(),0,E$7)</f>
        <v>-0.27553890272206</v>
      </c>
      <c r="F940" s="53" t="n">
        <f aca="true">NORMINV(RAND(),0,F$7)</f>
        <v>0.00986582129119153</v>
      </c>
      <c r="G940" s="53" t="n">
        <f aca="true">NORMINV(RAND(),0,G$7)</f>
        <v>-1.60403793183417</v>
      </c>
      <c r="H940" s="53" t="n">
        <f aca="true">NORMINV(RAND(),0,H$7)</f>
        <v>-0.0263302120885799</v>
      </c>
      <c r="I940" s="53" t="n">
        <f aca="false">SUM(B940:H940)</f>
        <v>-2.43668264446676</v>
      </c>
      <c r="J940" s="53" t="n">
        <f aca="true">NORMINV(RAND(),0,J$7)</f>
        <v>-3.83809954478327</v>
      </c>
      <c r="K940" s="53" t="n">
        <f aca="true">NORMINV(RAND(),0,K$7)</f>
        <v>0.462239719418561</v>
      </c>
      <c r="L940" s="53" t="n">
        <f aca="true">NORMINV(RAND(),0,L$7)</f>
        <v>-0.0142678906271372</v>
      </c>
      <c r="M940" s="53" t="n">
        <f aca="true">NORMINV(RAND(),0,M$7)</f>
        <v>0.122560369695639</v>
      </c>
      <c r="N940" s="53" t="n">
        <f aca="true">NORMINV(RAND(),0,N$7)</f>
        <v>-0.284831099671784</v>
      </c>
      <c r="O940" s="53" t="n">
        <f aca="false">SUM(J940:N940)</f>
        <v>-3.55239844596799</v>
      </c>
    </row>
    <row r="941" customFormat="false" ht="15" hidden="false" customHeight="false" outlineLevel="0" collapsed="false">
      <c r="A941" s="2" t="n">
        <v>933</v>
      </c>
      <c r="B941" s="53" t="n">
        <f aca="true">NORMINV(RAND(),0,B$7)</f>
        <v>-0.0135154069944235</v>
      </c>
      <c r="C941" s="53" t="n">
        <f aca="true">NORMINV(RAND(),0,C$7)</f>
        <v>1.11104197917627</v>
      </c>
      <c r="D941" s="53" t="n">
        <f aca="true">NORMINV(RAND(),0,D$7)</f>
        <v>2.27781999417953</v>
      </c>
      <c r="E941" s="53" t="n">
        <f aca="true">NORMINV(RAND(),0,E$7)</f>
        <v>-0.148980095975393</v>
      </c>
      <c r="F941" s="53" t="n">
        <f aca="true">NORMINV(RAND(),0,F$7)</f>
        <v>0.0679158713020211</v>
      </c>
      <c r="G941" s="53" t="n">
        <f aca="true">NORMINV(RAND(),0,G$7)</f>
        <v>1.72255670847669</v>
      </c>
      <c r="H941" s="53" t="n">
        <f aca="true">NORMINV(RAND(),0,H$7)</f>
        <v>-0.802752625443495</v>
      </c>
      <c r="I941" s="53" t="n">
        <f aca="false">SUM(B941:H941)</f>
        <v>4.21408642472119</v>
      </c>
      <c r="J941" s="53" t="n">
        <f aca="true">NORMINV(RAND(),0,J$7)</f>
        <v>-0.0925202954205508</v>
      </c>
      <c r="K941" s="53" t="n">
        <f aca="true">NORMINV(RAND(),0,K$7)</f>
        <v>-0.661769712764899</v>
      </c>
      <c r="L941" s="53" t="n">
        <f aca="true">NORMINV(RAND(),0,L$7)</f>
        <v>-0.13587434903004</v>
      </c>
      <c r="M941" s="53" t="n">
        <f aca="true">NORMINV(RAND(),0,M$7)</f>
        <v>0.154597144985381</v>
      </c>
      <c r="N941" s="53" t="n">
        <f aca="true">NORMINV(RAND(),0,N$7)</f>
        <v>-0.218789745446024</v>
      </c>
      <c r="O941" s="53" t="n">
        <f aca="false">SUM(J941:N941)</f>
        <v>-0.954356957676134</v>
      </c>
    </row>
    <row r="942" customFormat="false" ht="15" hidden="false" customHeight="false" outlineLevel="0" collapsed="false">
      <c r="A942" s="2" t="n">
        <v>934</v>
      </c>
      <c r="B942" s="53" t="n">
        <f aca="true">NORMINV(RAND(),0,B$7)</f>
        <v>-2.86744097184825</v>
      </c>
      <c r="C942" s="53" t="n">
        <f aca="true">NORMINV(RAND(),0,C$7)</f>
        <v>0.816751126024368</v>
      </c>
      <c r="D942" s="53" t="n">
        <f aca="true">NORMINV(RAND(),0,D$7)</f>
        <v>-1.28687725555564</v>
      </c>
      <c r="E942" s="53" t="n">
        <f aca="true">NORMINV(RAND(),0,E$7)</f>
        <v>0.037747613484184</v>
      </c>
      <c r="F942" s="53" t="n">
        <f aca="true">NORMINV(RAND(),0,F$7)</f>
        <v>-0.59756561937226</v>
      </c>
      <c r="G942" s="53" t="n">
        <f aca="true">NORMINV(RAND(),0,G$7)</f>
        <v>-1.34464085753831</v>
      </c>
      <c r="H942" s="53" t="n">
        <f aca="true">NORMINV(RAND(),0,H$7)</f>
        <v>-0.174346629420736</v>
      </c>
      <c r="I942" s="53" t="n">
        <f aca="false">SUM(B942:H942)</f>
        <v>-5.41637259422664</v>
      </c>
      <c r="J942" s="53" t="n">
        <f aca="true">NORMINV(RAND(),0,J$7)</f>
        <v>2.45860798500828</v>
      </c>
      <c r="K942" s="53" t="n">
        <f aca="true">NORMINV(RAND(),0,K$7)</f>
        <v>0.31129831149996</v>
      </c>
      <c r="L942" s="53" t="n">
        <f aca="true">NORMINV(RAND(),0,L$7)</f>
        <v>0.0083608249916648</v>
      </c>
      <c r="M942" s="53" t="n">
        <f aca="true">NORMINV(RAND(),0,M$7)</f>
        <v>-0.285694905689886</v>
      </c>
      <c r="N942" s="53" t="n">
        <f aca="true">NORMINV(RAND(),0,N$7)</f>
        <v>-0.240354276203221</v>
      </c>
      <c r="O942" s="53" t="n">
        <f aca="false">SUM(J942:N942)</f>
        <v>2.2522179396068</v>
      </c>
    </row>
    <row r="943" customFormat="false" ht="15" hidden="false" customHeight="false" outlineLevel="0" collapsed="false">
      <c r="A943" s="2" t="n">
        <v>935</v>
      </c>
      <c r="B943" s="53" t="n">
        <f aca="true">NORMINV(RAND(),0,B$7)</f>
        <v>-1.03772187776241</v>
      </c>
      <c r="C943" s="53" t="n">
        <f aca="true">NORMINV(RAND(),0,C$7)</f>
        <v>-0.518784879297086</v>
      </c>
      <c r="D943" s="53" t="n">
        <f aca="true">NORMINV(RAND(),0,D$7)</f>
        <v>-2.23869144447071</v>
      </c>
      <c r="E943" s="53" t="n">
        <f aca="true">NORMINV(RAND(),0,E$7)</f>
        <v>0.100825209048293</v>
      </c>
      <c r="F943" s="53" t="n">
        <f aca="true">NORMINV(RAND(),0,F$7)</f>
        <v>-0.542573956493523</v>
      </c>
      <c r="G943" s="53" t="n">
        <f aca="true">NORMINV(RAND(),0,G$7)</f>
        <v>1.17390035747452</v>
      </c>
      <c r="H943" s="53" t="n">
        <f aca="true">NORMINV(RAND(),0,H$7)</f>
        <v>0.0651823083027389</v>
      </c>
      <c r="I943" s="53" t="n">
        <f aca="false">SUM(B943:H943)</f>
        <v>-2.99786428319817</v>
      </c>
      <c r="J943" s="53" t="n">
        <f aca="true">NORMINV(RAND(),0,J$7)</f>
        <v>2.00168236595858</v>
      </c>
      <c r="K943" s="53" t="n">
        <f aca="true">NORMINV(RAND(),0,K$7)</f>
        <v>0.133312538025855</v>
      </c>
      <c r="L943" s="53" t="n">
        <f aca="true">NORMINV(RAND(),0,L$7)</f>
        <v>0.14406635953175</v>
      </c>
      <c r="M943" s="53" t="n">
        <f aca="true">NORMINV(RAND(),0,M$7)</f>
        <v>0.062503633255496</v>
      </c>
      <c r="N943" s="53" t="n">
        <f aca="true">NORMINV(RAND(),0,N$7)</f>
        <v>-0.445551896845398</v>
      </c>
      <c r="O943" s="53" t="n">
        <f aca="false">SUM(J943:N943)</f>
        <v>1.89601299992628</v>
      </c>
    </row>
    <row r="944" customFormat="false" ht="15" hidden="false" customHeight="false" outlineLevel="0" collapsed="false">
      <c r="A944" s="2" t="n">
        <v>936</v>
      </c>
      <c r="B944" s="53" t="n">
        <f aca="true">NORMINV(RAND(),0,B$7)</f>
        <v>-0.102419785654381</v>
      </c>
      <c r="C944" s="53" t="n">
        <f aca="true">NORMINV(RAND(),0,C$7)</f>
        <v>2.02644528400406</v>
      </c>
      <c r="D944" s="53" t="n">
        <f aca="true">NORMINV(RAND(),0,D$7)</f>
        <v>-0.137150673985461</v>
      </c>
      <c r="E944" s="53" t="n">
        <f aca="true">NORMINV(RAND(),0,E$7)</f>
        <v>-0.0609038380256215</v>
      </c>
      <c r="F944" s="53" t="n">
        <f aca="true">NORMINV(RAND(),0,F$7)</f>
        <v>0.411723841508123</v>
      </c>
      <c r="G944" s="53" t="n">
        <f aca="true">NORMINV(RAND(),0,G$7)</f>
        <v>-0.957581150877086</v>
      </c>
      <c r="H944" s="53" t="n">
        <f aca="true">NORMINV(RAND(),0,H$7)</f>
        <v>-0.00792640463945705</v>
      </c>
      <c r="I944" s="53" t="n">
        <f aca="false">SUM(B944:H944)</f>
        <v>1.17218727233018</v>
      </c>
      <c r="J944" s="53" t="n">
        <f aca="true">NORMINV(RAND(),0,J$7)</f>
        <v>-1.32953067642469</v>
      </c>
      <c r="K944" s="53" t="n">
        <f aca="true">NORMINV(RAND(),0,K$7)</f>
        <v>1.9070066051993</v>
      </c>
      <c r="L944" s="53" t="n">
        <f aca="true">NORMINV(RAND(),0,L$7)</f>
        <v>0.663137169324486</v>
      </c>
      <c r="M944" s="53" t="n">
        <f aca="true">NORMINV(RAND(),0,M$7)</f>
        <v>-0.326550066058919</v>
      </c>
      <c r="N944" s="53" t="n">
        <f aca="true">NORMINV(RAND(),0,N$7)</f>
        <v>-0.0371063610248947</v>
      </c>
      <c r="O944" s="53" t="n">
        <f aca="false">SUM(J944:N944)</f>
        <v>0.876956671015284</v>
      </c>
    </row>
    <row r="945" customFormat="false" ht="15" hidden="false" customHeight="false" outlineLevel="0" collapsed="false">
      <c r="A945" s="2" t="n">
        <v>937</v>
      </c>
      <c r="B945" s="53" t="n">
        <f aca="true">NORMINV(RAND(),0,B$7)</f>
        <v>1.35756200056208</v>
      </c>
      <c r="C945" s="53" t="n">
        <f aca="true">NORMINV(RAND(),0,C$7)</f>
        <v>-2.07946998244277</v>
      </c>
      <c r="D945" s="53" t="n">
        <f aca="true">NORMINV(RAND(),0,D$7)</f>
        <v>-1.39913709316249</v>
      </c>
      <c r="E945" s="53" t="n">
        <f aca="true">NORMINV(RAND(),0,E$7)</f>
        <v>-0.0462632878217308</v>
      </c>
      <c r="F945" s="53" t="n">
        <f aca="true">NORMINV(RAND(),0,F$7)</f>
        <v>0.0885934965125469</v>
      </c>
      <c r="G945" s="53" t="n">
        <f aca="true">NORMINV(RAND(),0,G$7)</f>
        <v>-1.35295614507385</v>
      </c>
      <c r="H945" s="53" t="n">
        <f aca="true">NORMINV(RAND(),0,H$7)</f>
        <v>-0.0312749394470996</v>
      </c>
      <c r="I945" s="53" t="n">
        <f aca="false">SUM(B945:H945)</f>
        <v>-3.46294595087331</v>
      </c>
      <c r="J945" s="53" t="n">
        <f aca="true">NORMINV(RAND(),0,J$7)</f>
        <v>-1.85016650663209</v>
      </c>
      <c r="K945" s="53" t="n">
        <f aca="true">NORMINV(RAND(),0,K$7)</f>
        <v>-1.16178519610072</v>
      </c>
      <c r="L945" s="53" t="n">
        <f aca="true">NORMINV(RAND(),0,L$7)</f>
        <v>0.0729146528056708</v>
      </c>
      <c r="M945" s="53" t="n">
        <f aca="true">NORMINV(RAND(),0,M$7)</f>
        <v>0.00423560521940872</v>
      </c>
      <c r="N945" s="53" t="n">
        <f aca="true">NORMINV(RAND(),0,N$7)</f>
        <v>0.174509832671259</v>
      </c>
      <c r="O945" s="53" t="n">
        <f aca="false">SUM(J945:N945)</f>
        <v>-2.76029161203648</v>
      </c>
    </row>
    <row r="946" customFormat="false" ht="15" hidden="false" customHeight="false" outlineLevel="0" collapsed="false">
      <c r="A946" s="2" t="n">
        <v>938</v>
      </c>
      <c r="B946" s="53" t="n">
        <f aca="true">NORMINV(RAND(),0,B$7)</f>
        <v>-0.350178966625121</v>
      </c>
      <c r="C946" s="53" t="n">
        <f aca="true">NORMINV(RAND(),0,C$7)</f>
        <v>0.292075508478873</v>
      </c>
      <c r="D946" s="53" t="n">
        <f aca="true">NORMINV(RAND(),0,D$7)</f>
        <v>-0.169238862638337</v>
      </c>
      <c r="E946" s="53" t="n">
        <f aca="true">NORMINV(RAND(),0,E$7)</f>
        <v>-0.164159898442768</v>
      </c>
      <c r="F946" s="53" t="n">
        <f aca="true">NORMINV(RAND(),0,F$7)</f>
        <v>-0.0366465496152449</v>
      </c>
      <c r="G946" s="53" t="n">
        <f aca="true">NORMINV(RAND(),0,G$7)</f>
        <v>-0.826132914063716</v>
      </c>
      <c r="H946" s="53" t="n">
        <f aca="true">NORMINV(RAND(),0,H$7)</f>
        <v>0.133557842372035</v>
      </c>
      <c r="I946" s="53" t="n">
        <f aca="false">SUM(B946:H946)</f>
        <v>-1.12072384053428</v>
      </c>
      <c r="J946" s="53" t="n">
        <f aca="true">NORMINV(RAND(),0,J$7)</f>
        <v>1.73361256884391</v>
      </c>
      <c r="K946" s="53" t="n">
        <f aca="true">NORMINV(RAND(),0,K$7)</f>
        <v>-0.479599846698454</v>
      </c>
      <c r="L946" s="53" t="n">
        <f aca="true">NORMINV(RAND(),0,L$7)</f>
        <v>0.273859156958602</v>
      </c>
      <c r="M946" s="53" t="n">
        <f aca="true">NORMINV(RAND(),0,M$7)</f>
        <v>-0.312572013319882</v>
      </c>
      <c r="N946" s="53" t="n">
        <f aca="true">NORMINV(RAND(),0,N$7)</f>
        <v>-0.306985645559715</v>
      </c>
      <c r="O946" s="53" t="n">
        <f aca="false">SUM(J946:N946)</f>
        <v>0.908314220224462</v>
      </c>
    </row>
    <row r="947" customFormat="false" ht="15" hidden="false" customHeight="false" outlineLevel="0" collapsed="false">
      <c r="A947" s="2" t="n">
        <v>939</v>
      </c>
      <c r="B947" s="53" t="n">
        <f aca="true">NORMINV(RAND(),0,B$7)</f>
        <v>-0.101558604836235</v>
      </c>
      <c r="C947" s="53" t="n">
        <f aca="true">NORMINV(RAND(),0,C$7)</f>
        <v>1.35832952813949</v>
      </c>
      <c r="D947" s="53" t="n">
        <f aca="true">NORMINV(RAND(),0,D$7)</f>
        <v>-0.643878716374741</v>
      </c>
      <c r="E947" s="53" t="n">
        <f aca="true">NORMINV(RAND(),0,E$7)</f>
        <v>-0.125002268133633</v>
      </c>
      <c r="F947" s="53" t="n">
        <f aca="true">NORMINV(RAND(),0,F$7)</f>
        <v>-0.28079822243478</v>
      </c>
      <c r="G947" s="53" t="n">
        <f aca="true">NORMINV(RAND(),0,G$7)</f>
        <v>0.953088792090889</v>
      </c>
      <c r="H947" s="53" t="n">
        <f aca="true">NORMINV(RAND(),0,H$7)</f>
        <v>-0.0914114756908316</v>
      </c>
      <c r="I947" s="53" t="n">
        <f aca="false">SUM(B947:H947)</f>
        <v>1.06876903276016</v>
      </c>
      <c r="J947" s="53" t="n">
        <f aca="true">NORMINV(RAND(),0,J$7)</f>
        <v>0.0275192493480628</v>
      </c>
      <c r="K947" s="53" t="n">
        <f aca="true">NORMINV(RAND(),0,K$7)</f>
        <v>-0.31808314218068</v>
      </c>
      <c r="L947" s="53" t="n">
        <f aca="true">NORMINV(RAND(),0,L$7)</f>
        <v>-0.00315654135077615</v>
      </c>
      <c r="M947" s="53" t="n">
        <f aca="true">NORMINV(RAND(),0,M$7)</f>
        <v>-0.0416597855652523</v>
      </c>
      <c r="N947" s="53" t="n">
        <f aca="true">NORMINV(RAND(),0,N$7)</f>
        <v>0.147738729851132</v>
      </c>
      <c r="O947" s="53" t="n">
        <f aca="false">SUM(J947:N947)</f>
        <v>-0.187641489897514</v>
      </c>
    </row>
    <row r="948" customFormat="false" ht="15" hidden="false" customHeight="false" outlineLevel="0" collapsed="false">
      <c r="A948" s="2" t="n">
        <v>940</v>
      </c>
      <c r="B948" s="53" t="n">
        <f aca="true">NORMINV(RAND(),0,B$7)</f>
        <v>-2.20997845088715</v>
      </c>
      <c r="C948" s="53" t="n">
        <f aca="true">NORMINV(RAND(),0,C$7)</f>
        <v>0.743602124386243</v>
      </c>
      <c r="D948" s="53" t="n">
        <f aca="true">NORMINV(RAND(),0,D$7)</f>
        <v>-0.949798035599124</v>
      </c>
      <c r="E948" s="53" t="n">
        <f aca="true">NORMINV(RAND(),0,E$7)</f>
        <v>0.166870792479071</v>
      </c>
      <c r="F948" s="53" t="n">
        <f aca="true">NORMINV(RAND(),0,F$7)</f>
        <v>-0.255840297117144</v>
      </c>
      <c r="G948" s="53" t="n">
        <f aca="true">NORMINV(RAND(),0,G$7)</f>
        <v>-0.0673526185175774</v>
      </c>
      <c r="H948" s="53" t="n">
        <f aca="true">NORMINV(RAND(),0,H$7)</f>
        <v>0.233723725731615</v>
      </c>
      <c r="I948" s="53" t="n">
        <f aca="false">SUM(B948:H948)</f>
        <v>-2.33877275952406</v>
      </c>
      <c r="J948" s="53" t="n">
        <f aca="true">NORMINV(RAND(),0,J$7)</f>
        <v>1.41422664600357</v>
      </c>
      <c r="K948" s="53" t="n">
        <f aca="true">NORMINV(RAND(),0,K$7)</f>
        <v>-0.0050226195370642</v>
      </c>
      <c r="L948" s="53" t="n">
        <f aca="true">NORMINV(RAND(),0,L$7)</f>
        <v>-0.130605088225587</v>
      </c>
      <c r="M948" s="53" t="n">
        <f aca="true">NORMINV(RAND(),0,M$7)</f>
        <v>0.0307037835002776</v>
      </c>
      <c r="N948" s="53" t="n">
        <f aca="true">NORMINV(RAND(),0,N$7)</f>
        <v>-0.254302157474262</v>
      </c>
      <c r="O948" s="53" t="n">
        <f aca="false">SUM(J948:N948)</f>
        <v>1.05500056426693</v>
      </c>
    </row>
    <row r="949" customFormat="false" ht="15" hidden="false" customHeight="false" outlineLevel="0" collapsed="false">
      <c r="A949" s="2" t="n">
        <v>941</v>
      </c>
      <c r="B949" s="53" t="n">
        <f aca="true">NORMINV(RAND(),0,B$7)</f>
        <v>-1.28259888919621</v>
      </c>
      <c r="C949" s="53" t="n">
        <f aca="true">NORMINV(RAND(),0,C$7)</f>
        <v>-2.50002000775808</v>
      </c>
      <c r="D949" s="53" t="n">
        <f aca="true">NORMINV(RAND(),0,D$7)</f>
        <v>0.553846780373092</v>
      </c>
      <c r="E949" s="53" t="n">
        <f aca="true">NORMINV(RAND(),0,E$7)</f>
        <v>-0.127365733044536</v>
      </c>
      <c r="F949" s="53" t="n">
        <f aca="true">NORMINV(RAND(),0,F$7)</f>
        <v>0.0776033284481193</v>
      </c>
      <c r="G949" s="53" t="n">
        <f aca="true">NORMINV(RAND(),0,G$7)</f>
        <v>0.803295033475043</v>
      </c>
      <c r="H949" s="53" t="n">
        <f aca="true">NORMINV(RAND(),0,H$7)</f>
        <v>0.648614824443075</v>
      </c>
      <c r="I949" s="53" t="n">
        <f aca="false">SUM(B949:H949)</f>
        <v>-1.8266246632595</v>
      </c>
      <c r="J949" s="53" t="n">
        <f aca="true">NORMINV(RAND(),0,J$7)</f>
        <v>-2.10536775831782</v>
      </c>
      <c r="K949" s="53" t="n">
        <f aca="true">NORMINV(RAND(),0,K$7)</f>
        <v>0.0426757551808156</v>
      </c>
      <c r="L949" s="53" t="n">
        <f aca="true">NORMINV(RAND(),0,L$7)</f>
        <v>0.0761298657947856</v>
      </c>
      <c r="M949" s="53" t="n">
        <f aca="true">NORMINV(RAND(),0,M$7)</f>
        <v>-0.26650714968883</v>
      </c>
      <c r="N949" s="53" t="n">
        <f aca="true">NORMINV(RAND(),0,N$7)</f>
        <v>-0.749737150590394</v>
      </c>
      <c r="O949" s="53" t="n">
        <f aca="false">SUM(J949:N949)</f>
        <v>-3.00280643762144</v>
      </c>
    </row>
    <row r="950" customFormat="false" ht="15" hidden="false" customHeight="false" outlineLevel="0" collapsed="false">
      <c r="A950" s="2" t="n">
        <v>942</v>
      </c>
      <c r="B950" s="53" t="n">
        <f aca="true">NORMINV(RAND(),0,B$7)</f>
        <v>-0.319965534341848</v>
      </c>
      <c r="C950" s="53" t="n">
        <f aca="true">NORMINV(RAND(),0,C$7)</f>
        <v>1.40770798030538</v>
      </c>
      <c r="D950" s="53" t="n">
        <f aca="true">NORMINV(RAND(),0,D$7)</f>
        <v>-0.147926416847209</v>
      </c>
      <c r="E950" s="53" t="n">
        <f aca="true">NORMINV(RAND(),0,E$7)</f>
        <v>-0.467474909776264</v>
      </c>
      <c r="F950" s="53" t="n">
        <f aca="true">NORMINV(RAND(),0,F$7)</f>
        <v>0.171677578511157</v>
      </c>
      <c r="G950" s="53" t="n">
        <f aca="true">NORMINV(RAND(),0,G$7)</f>
        <v>1.71193815366019</v>
      </c>
      <c r="H950" s="53" t="n">
        <f aca="true">NORMINV(RAND(),0,H$7)</f>
        <v>0.616055817155261</v>
      </c>
      <c r="I950" s="53" t="n">
        <f aca="false">SUM(B950:H950)</f>
        <v>2.97201266866666</v>
      </c>
      <c r="J950" s="53" t="n">
        <f aca="true">NORMINV(RAND(),0,J$7)</f>
        <v>-1.10387513832016</v>
      </c>
      <c r="K950" s="53" t="n">
        <f aca="true">NORMINV(RAND(),0,K$7)</f>
        <v>-0.131129122331722</v>
      </c>
      <c r="L950" s="53" t="n">
        <f aca="true">NORMINV(RAND(),0,L$7)</f>
        <v>-0.752334755566978</v>
      </c>
      <c r="M950" s="53" t="n">
        <f aca="true">NORMINV(RAND(),0,M$7)</f>
        <v>0.066159722562122</v>
      </c>
      <c r="N950" s="53" t="n">
        <f aca="true">NORMINV(RAND(),0,N$7)</f>
        <v>0.837882946110615</v>
      </c>
      <c r="O950" s="53" t="n">
        <f aca="false">SUM(J950:N950)</f>
        <v>-1.08329634754613</v>
      </c>
    </row>
    <row r="951" customFormat="false" ht="15" hidden="false" customHeight="false" outlineLevel="0" collapsed="false">
      <c r="A951" s="2" t="n">
        <v>943</v>
      </c>
      <c r="B951" s="53" t="n">
        <f aca="true">NORMINV(RAND(),0,B$7)</f>
        <v>0.938450397612845</v>
      </c>
      <c r="C951" s="53" t="n">
        <f aca="true">NORMINV(RAND(),0,C$7)</f>
        <v>0.924767389195297</v>
      </c>
      <c r="D951" s="53" t="n">
        <f aca="true">NORMINV(RAND(),0,D$7)</f>
        <v>1.70244698380554</v>
      </c>
      <c r="E951" s="53" t="n">
        <f aca="true">NORMINV(RAND(),0,E$7)</f>
        <v>0.546949162614565</v>
      </c>
      <c r="F951" s="53" t="n">
        <f aca="true">NORMINV(RAND(),0,F$7)</f>
        <v>0.578027960984535</v>
      </c>
      <c r="G951" s="53" t="n">
        <f aca="true">NORMINV(RAND(),0,G$7)</f>
        <v>-0.378656383505897</v>
      </c>
      <c r="H951" s="53" t="n">
        <f aca="true">NORMINV(RAND(),0,H$7)</f>
        <v>-0.612489620145485</v>
      </c>
      <c r="I951" s="53" t="n">
        <f aca="false">SUM(B951:H951)</f>
        <v>3.69949589056141</v>
      </c>
      <c r="J951" s="53" t="n">
        <f aca="true">NORMINV(RAND(),0,J$7)</f>
        <v>1.55169429068693</v>
      </c>
      <c r="K951" s="53" t="n">
        <f aca="true">NORMINV(RAND(),0,K$7)</f>
        <v>-0.239498811415863</v>
      </c>
      <c r="L951" s="53" t="n">
        <f aca="true">NORMINV(RAND(),0,L$7)</f>
        <v>0.248679663898009</v>
      </c>
      <c r="M951" s="53" t="n">
        <f aca="true">NORMINV(RAND(),0,M$7)</f>
        <v>-0.157361572702556</v>
      </c>
      <c r="N951" s="53" t="n">
        <f aca="true">NORMINV(RAND(),0,N$7)</f>
        <v>0.507343728468812</v>
      </c>
      <c r="O951" s="53" t="n">
        <f aca="false">SUM(J951:N951)</f>
        <v>1.91085729893534</v>
      </c>
    </row>
    <row r="952" customFormat="false" ht="15" hidden="false" customHeight="false" outlineLevel="0" collapsed="false">
      <c r="A952" s="2" t="n">
        <v>944</v>
      </c>
      <c r="B952" s="53" t="n">
        <f aca="true">NORMINV(RAND(),0,B$7)</f>
        <v>0.965791703133878</v>
      </c>
      <c r="C952" s="53" t="n">
        <f aca="true">NORMINV(RAND(),0,C$7)</f>
        <v>-0.942753007937438</v>
      </c>
      <c r="D952" s="53" t="n">
        <f aca="true">NORMINV(RAND(),0,D$7)</f>
        <v>1.63849745211542</v>
      </c>
      <c r="E952" s="53" t="n">
        <f aca="true">NORMINV(RAND(),0,E$7)</f>
        <v>-0.562032292003987</v>
      </c>
      <c r="F952" s="53" t="n">
        <f aca="true">NORMINV(RAND(),0,F$7)</f>
        <v>0.12129806172615</v>
      </c>
      <c r="G952" s="53" t="n">
        <f aca="true">NORMINV(RAND(),0,G$7)</f>
        <v>0.0504875879779312</v>
      </c>
      <c r="H952" s="53" t="n">
        <f aca="true">NORMINV(RAND(),0,H$7)</f>
        <v>-0.156679780435425</v>
      </c>
      <c r="I952" s="53" t="n">
        <f aca="false">SUM(B952:H952)</f>
        <v>1.11460972457653</v>
      </c>
      <c r="J952" s="53" t="n">
        <f aca="true">NORMINV(RAND(),0,J$7)</f>
        <v>0.290465125732628</v>
      </c>
      <c r="K952" s="53" t="n">
        <f aca="true">NORMINV(RAND(),0,K$7)</f>
        <v>-0.74552161063822</v>
      </c>
      <c r="L952" s="53" t="n">
        <f aca="true">NORMINV(RAND(),0,L$7)</f>
        <v>0.0168626896110729</v>
      </c>
      <c r="M952" s="53" t="n">
        <f aca="true">NORMINV(RAND(),0,M$7)</f>
        <v>-0.208693800118864</v>
      </c>
      <c r="N952" s="53" t="n">
        <f aca="true">NORMINV(RAND(),0,N$7)</f>
        <v>0.548774421013866</v>
      </c>
      <c r="O952" s="53" t="n">
        <f aca="false">SUM(J952:N952)</f>
        <v>-0.0981131743995175</v>
      </c>
    </row>
    <row r="953" customFormat="false" ht="15" hidden="false" customHeight="false" outlineLevel="0" collapsed="false">
      <c r="A953" s="2" t="n">
        <v>945</v>
      </c>
      <c r="B953" s="53" t="n">
        <f aca="true">NORMINV(RAND(),0,B$7)</f>
        <v>-0.763274790545859</v>
      </c>
      <c r="C953" s="53" t="n">
        <f aca="true">NORMINV(RAND(),0,C$7)</f>
        <v>-1.79282021962778</v>
      </c>
      <c r="D953" s="53" t="n">
        <f aca="true">NORMINV(RAND(),0,D$7)</f>
        <v>1.7708664045526</v>
      </c>
      <c r="E953" s="53" t="n">
        <f aca="true">NORMINV(RAND(),0,E$7)</f>
        <v>0.266595190647665</v>
      </c>
      <c r="F953" s="53" t="n">
        <f aca="true">NORMINV(RAND(),0,F$7)</f>
        <v>0.0822774251998722</v>
      </c>
      <c r="G953" s="53" t="n">
        <f aca="true">NORMINV(RAND(),0,G$7)</f>
        <v>0.202103781750022</v>
      </c>
      <c r="H953" s="53" t="n">
        <f aca="true">NORMINV(RAND(),0,H$7)</f>
        <v>-0.204036639048417</v>
      </c>
      <c r="I953" s="53" t="n">
        <f aca="false">SUM(B953:H953)</f>
        <v>-0.438288847071886</v>
      </c>
      <c r="J953" s="53" t="n">
        <f aca="true">NORMINV(RAND(),0,J$7)</f>
        <v>-1.14725917956216</v>
      </c>
      <c r="K953" s="53" t="n">
        <f aca="true">NORMINV(RAND(),0,K$7)</f>
        <v>0.99218800159551</v>
      </c>
      <c r="L953" s="53" t="n">
        <f aca="true">NORMINV(RAND(),0,L$7)</f>
        <v>0.547588179741007</v>
      </c>
      <c r="M953" s="53" t="n">
        <f aca="true">NORMINV(RAND(),0,M$7)</f>
        <v>-0.311388708492899</v>
      </c>
      <c r="N953" s="53" t="n">
        <f aca="true">NORMINV(RAND(),0,N$7)</f>
        <v>0.0966133054663185</v>
      </c>
      <c r="O953" s="53" t="n">
        <f aca="false">SUM(J953:N953)</f>
        <v>0.177741598747779</v>
      </c>
    </row>
    <row r="954" customFormat="false" ht="15" hidden="false" customHeight="false" outlineLevel="0" collapsed="false">
      <c r="A954" s="2" t="n">
        <v>946</v>
      </c>
      <c r="B954" s="53" t="n">
        <f aca="true">NORMINV(RAND(),0,B$7)</f>
        <v>-0.524810702266335</v>
      </c>
      <c r="C954" s="53" t="n">
        <f aca="true">NORMINV(RAND(),0,C$7)</f>
        <v>1.36055895433676</v>
      </c>
      <c r="D954" s="53" t="n">
        <f aca="true">NORMINV(RAND(),0,D$7)</f>
        <v>-0.735610320682717</v>
      </c>
      <c r="E954" s="53" t="n">
        <f aca="true">NORMINV(RAND(),0,E$7)</f>
        <v>-0.167551007120264</v>
      </c>
      <c r="F954" s="53" t="n">
        <f aca="true">NORMINV(RAND(),0,F$7)</f>
        <v>-0.0103302143190381</v>
      </c>
      <c r="G954" s="53" t="n">
        <f aca="true">NORMINV(RAND(),0,G$7)</f>
        <v>1.44451460501519</v>
      </c>
      <c r="H954" s="53" t="n">
        <f aca="true">NORMINV(RAND(),0,H$7)</f>
        <v>-0.180679106269351</v>
      </c>
      <c r="I954" s="53" t="n">
        <f aca="false">SUM(B954:H954)</f>
        <v>1.18609220869424</v>
      </c>
      <c r="J954" s="53" t="n">
        <f aca="true">NORMINV(RAND(),0,J$7)</f>
        <v>0.828862975625777</v>
      </c>
      <c r="K954" s="53" t="n">
        <f aca="true">NORMINV(RAND(),0,K$7)</f>
        <v>-0.56710559206645</v>
      </c>
      <c r="L954" s="53" t="n">
        <f aca="true">NORMINV(RAND(),0,L$7)</f>
        <v>0.320406000824587</v>
      </c>
      <c r="M954" s="53" t="n">
        <f aca="true">NORMINV(RAND(),0,M$7)</f>
        <v>-0.274237771199243</v>
      </c>
      <c r="N954" s="53" t="n">
        <f aca="true">NORMINV(RAND(),0,N$7)</f>
        <v>0.300346163624379</v>
      </c>
      <c r="O954" s="53" t="n">
        <f aca="false">SUM(J954:N954)</f>
        <v>0.608271776809051</v>
      </c>
    </row>
    <row r="955" customFormat="false" ht="15" hidden="false" customHeight="false" outlineLevel="0" collapsed="false">
      <c r="A955" s="2" t="n">
        <v>947</v>
      </c>
      <c r="B955" s="53" t="n">
        <f aca="true">NORMINV(RAND(),0,B$7)</f>
        <v>-0.59559417683852</v>
      </c>
      <c r="C955" s="53" t="n">
        <f aca="true">NORMINV(RAND(),0,C$7)</f>
        <v>-0.322664008935924</v>
      </c>
      <c r="D955" s="53" t="n">
        <f aca="true">NORMINV(RAND(),0,D$7)</f>
        <v>-1.00085534416457</v>
      </c>
      <c r="E955" s="53" t="n">
        <f aca="true">NORMINV(RAND(),0,E$7)</f>
        <v>-0.112515094946118</v>
      </c>
      <c r="F955" s="53" t="n">
        <f aca="true">NORMINV(RAND(),0,F$7)</f>
        <v>0.00748431666320135</v>
      </c>
      <c r="G955" s="53" t="n">
        <f aca="true">NORMINV(RAND(),0,G$7)</f>
        <v>-0.554487386326556</v>
      </c>
      <c r="H955" s="53" t="n">
        <f aca="true">NORMINV(RAND(),0,H$7)</f>
        <v>-0.661138085654973</v>
      </c>
      <c r="I955" s="53" t="n">
        <f aca="false">SUM(B955:H955)</f>
        <v>-3.23976978020346</v>
      </c>
      <c r="J955" s="53" t="n">
        <f aca="true">NORMINV(RAND(),0,J$7)</f>
        <v>0.232770854862121</v>
      </c>
      <c r="K955" s="53" t="n">
        <f aca="true">NORMINV(RAND(),0,K$7)</f>
        <v>1.43461018098323</v>
      </c>
      <c r="L955" s="53" t="n">
        <f aca="true">NORMINV(RAND(),0,L$7)</f>
        <v>-0.139732848965428</v>
      </c>
      <c r="M955" s="53" t="n">
        <f aca="true">NORMINV(RAND(),0,M$7)</f>
        <v>-0.00341117565908983</v>
      </c>
      <c r="N955" s="53" t="n">
        <f aca="true">NORMINV(RAND(),0,N$7)</f>
        <v>0.230680697105206</v>
      </c>
      <c r="O955" s="53" t="n">
        <f aca="false">SUM(J955:N955)</f>
        <v>1.75491770832604</v>
      </c>
    </row>
    <row r="956" customFormat="false" ht="15" hidden="false" customHeight="false" outlineLevel="0" collapsed="false">
      <c r="A956" s="2" t="n">
        <v>948</v>
      </c>
      <c r="B956" s="53" t="n">
        <f aca="true">NORMINV(RAND(),0,B$7)</f>
        <v>0.715930789452629</v>
      </c>
      <c r="C956" s="53" t="n">
        <f aca="true">NORMINV(RAND(),0,C$7)</f>
        <v>1.23396938149589</v>
      </c>
      <c r="D956" s="53" t="n">
        <f aca="true">NORMINV(RAND(),0,D$7)</f>
        <v>0.206913653272791</v>
      </c>
      <c r="E956" s="53" t="n">
        <f aca="true">NORMINV(RAND(),0,E$7)</f>
        <v>-0.0475257677756339</v>
      </c>
      <c r="F956" s="53" t="n">
        <f aca="true">NORMINV(RAND(),0,F$7)</f>
        <v>0.549405653283414</v>
      </c>
      <c r="G956" s="53" t="n">
        <f aca="true">NORMINV(RAND(),0,G$7)</f>
        <v>0.34812902090359</v>
      </c>
      <c r="H956" s="53" t="n">
        <f aca="true">NORMINV(RAND(),0,H$7)</f>
        <v>0.158706010999675</v>
      </c>
      <c r="I956" s="53" t="n">
        <f aca="false">SUM(B956:H956)</f>
        <v>3.16552874163235</v>
      </c>
      <c r="J956" s="53" t="n">
        <f aca="true">NORMINV(RAND(),0,J$7)</f>
        <v>-1.60988522868569</v>
      </c>
      <c r="K956" s="53" t="n">
        <f aca="true">NORMINV(RAND(),0,K$7)</f>
        <v>-0.806543847685427</v>
      </c>
      <c r="L956" s="53" t="n">
        <f aca="true">NORMINV(RAND(),0,L$7)</f>
        <v>-0.104464358662286</v>
      </c>
      <c r="M956" s="53" t="n">
        <f aca="true">NORMINV(RAND(),0,M$7)</f>
        <v>-0.0710725429070875</v>
      </c>
      <c r="N956" s="53" t="n">
        <f aca="true">NORMINV(RAND(),0,N$7)</f>
        <v>-0.234025419901737</v>
      </c>
      <c r="O956" s="53" t="n">
        <f aca="false">SUM(J956:N956)</f>
        <v>-2.82599139784223</v>
      </c>
    </row>
    <row r="957" customFormat="false" ht="15" hidden="false" customHeight="false" outlineLevel="0" collapsed="false">
      <c r="A957" s="2" t="n">
        <v>949</v>
      </c>
      <c r="B957" s="53" t="n">
        <f aca="true">NORMINV(RAND(),0,B$7)</f>
        <v>1.77949248044686</v>
      </c>
      <c r="C957" s="53" t="n">
        <f aca="true">NORMINV(RAND(),0,C$7)</f>
        <v>-0.579419124301752</v>
      </c>
      <c r="D957" s="53" t="n">
        <f aca="true">NORMINV(RAND(),0,D$7)</f>
        <v>2.47839042530759</v>
      </c>
      <c r="E957" s="53" t="n">
        <f aca="true">NORMINV(RAND(),0,E$7)</f>
        <v>-0.088414208531005</v>
      </c>
      <c r="F957" s="53" t="n">
        <f aca="true">NORMINV(RAND(),0,F$7)</f>
        <v>0.23746006203293</v>
      </c>
      <c r="G957" s="53" t="n">
        <f aca="true">NORMINV(RAND(),0,G$7)</f>
        <v>0.171828300721741</v>
      </c>
      <c r="H957" s="53" t="n">
        <f aca="true">NORMINV(RAND(),0,H$7)</f>
        <v>-0.0524970869174869</v>
      </c>
      <c r="I957" s="53" t="n">
        <f aca="false">SUM(B957:H957)</f>
        <v>3.94684084875887</v>
      </c>
      <c r="J957" s="53" t="n">
        <f aca="true">NORMINV(RAND(),0,J$7)</f>
        <v>-3.51506755395682</v>
      </c>
      <c r="K957" s="53" t="n">
        <f aca="true">NORMINV(RAND(),0,K$7)</f>
        <v>-0.457411607036726</v>
      </c>
      <c r="L957" s="53" t="n">
        <f aca="true">NORMINV(RAND(),0,L$7)</f>
        <v>-0.183883302841866</v>
      </c>
      <c r="M957" s="53" t="n">
        <f aca="true">NORMINV(RAND(),0,M$7)</f>
        <v>-0.221372841878083</v>
      </c>
      <c r="N957" s="53" t="n">
        <f aca="true">NORMINV(RAND(),0,N$7)</f>
        <v>0.700935176603242</v>
      </c>
      <c r="O957" s="53" t="n">
        <f aca="false">SUM(J957:N957)</f>
        <v>-3.67680012911025</v>
      </c>
    </row>
    <row r="958" customFormat="false" ht="15" hidden="false" customHeight="false" outlineLevel="0" collapsed="false">
      <c r="A958" s="2" t="n">
        <v>950</v>
      </c>
      <c r="B958" s="53" t="n">
        <f aca="true">NORMINV(RAND(),0,B$7)</f>
        <v>1.23508934202912</v>
      </c>
      <c r="C958" s="53" t="n">
        <f aca="true">NORMINV(RAND(),0,C$7)</f>
        <v>-1.41496808155607</v>
      </c>
      <c r="D958" s="53" t="n">
        <f aca="true">NORMINV(RAND(),0,D$7)</f>
        <v>-2.85346911982675</v>
      </c>
      <c r="E958" s="53" t="n">
        <f aca="true">NORMINV(RAND(),0,E$7)</f>
        <v>0.629128865949549</v>
      </c>
      <c r="F958" s="53" t="n">
        <f aca="true">NORMINV(RAND(),0,F$7)</f>
        <v>0.230175846184715</v>
      </c>
      <c r="G958" s="53" t="n">
        <f aca="true">NORMINV(RAND(),0,G$7)</f>
        <v>0.595060661321094</v>
      </c>
      <c r="H958" s="53" t="n">
        <f aca="true">NORMINV(RAND(),0,H$7)</f>
        <v>-0.120160416444212</v>
      </c>
      <c r="I958" s="53" t="n">
        <f aca="false">SUM(B958:H958)</f>
        <v>-1.69914290234255</v>
      </c>
      <c r="J958" s="53" t="n">
        <f aca="true">NORMINV(RAND(),0,J$7)</f>
        <v>-0.469670710804255</v>
      </c>
      <c r="K958" s="53" t="n">
        <f aca="true">NORMINV(RAND(),0,K$7)</f>
        <v>-0.840328152817757</v>
      </c>
      <c r="L958" s="53" t="n">
        <f aca="true">NORMINV(RAND(),0,L$7)</f>
        <v>-0.0612501753206801</v>
      </c>
      <c r="M958" s="53" t="n">
        <f aca="true">NORMINV(RAND(),0,M$7)</f>
        <v>0.0982554746746353</v>
      </c>
      <c r="N958" s="53" t="n">
        <f aca="true">NORMINV(RAND(),0,N$7)</f>
        <v>0.158773487166093</v>
      </c>
      <c r="O958" s="53" t="n">
        <f aca="false">SUM(J958:N958)</f>
        <v>-1.11422007710196</v>
      </c>
    </row>
    <row r="959" customFormat="false" ht="15" hidden="false" customHeight="false" outlineLevel="0" collapsed="false">
      <c r="A959" s="2" t="n">
        <v>951</v>
      </c>
      <c r="B959" s="53" t="n">
        <f aca="true">NORMINV(RAND(),0,B$7)</f>
        <v>0.596694600735174</v>
      </c>
      <c r="C959" s="53" t="n">
        <f aca="true">NORMINV(RAND(),0,C$7)</f>
        <v>1.73675136334011</v>
      </c>
      <c r="D959" s="53" t="n">
        <f aca="true">NORMINV(RAND(),0,D$7)</f>
        <v>-0.340094005209319</v>
      </c>
      <c r="E959" s="53" t="n">
        <f aca="true">NORMINV(RAND(),0,E$7)</f>
        <v>0.275778334877733</v>
      </c>
      <c r="F959" s="53" t="n">
        <f aca="true">NORMINV(RAND(),0,F$7)</f>
        <v>0.039066203411963</v>
      </c>
      <c r="G959" s="53" t="n">
        <f aca="true">NORMINV(RAND(),0,G$7)</f>
        <v>0.566665394387652</v>
      </c>
      <c r="H959" s="53" t="n">
        <f aca="true">NORMINV(RAND(),0,H$7)</f>
        <v>0.152479401516138</v>
      </c>
      <c r="I959" s="53" t="n">
        <f aca="false">SUM(B959:H959)</f>
        <v>3.02734129305945</v>
      </c>
      <c r="J959" s="53" t="n">
        <f aca="true">NORMINV(RAND(),0,J$7)</f>
        <v>0.60783288272895</v>
      </c>
      <c r="K959" s="53" t="n">
        <f aca="true">NORMINV(RAND(),0,K$7)</f>
        <v>0.21569514977162</v>
      </c>
      <c r="L959" s="53" t="n">
        <f aca="true">NORMINV(RAND(),0,L$7)</f>
        <v>0.484693179104019</v>
      </c>
      <c r="M959" s="53" t="n">
        <f aca="true">NORMINV(RAND(),0,M$7)</f>
        <v>-0.022466244255773</v>
      </c>
      <c r="N959" s="53" t="n">
        <f aca="true">NORMINV(RAND(),0,N$7)</f>
        <v>0.30348343514194</v>
      </c>
      <c r="O959" s="53" t="n">
        <f aca="false">SUM(J959:N959)</f>
        <v>1.58923840249076</v>
      </c>
    </row>
    <row r="960" customFormat="false" ht="15" hidden="false" customHeight="false" outlineLevel="0" collapsed="false">
      <c r="A960" s="2" t="n">
        <v>952</v>
      </c>
      <c r="B960" s="53" t="n">
        <f aca="true">NORMINV(RAND(),0,B$7)</f>
        <v>1.46356925073941</v>
      </c>
      <c r="C960" s="53" t="n">
        <f aca="true">NORMINV(RAND(),0,C$7)</f>
        <v>-0.475372480176942</v>
      </c>
      <c r="D960" s="53" t="n">
        <f aca="true">NORMINV(RAND(),0,D$7)</f>
        <v>-1.13020347406134</v>
      </c>
      <c r="E960" s="53" t="n">
        <f aca="true">NORMINV(RAND(),0,E$7)</f>
        <v>-0.0978782058169375</v>
      </c>
      <c r="F960" s="53" t="n">
        <f aca="true">NORMINV(RAND(),0,F$7)</f>
        <v>-0.226065046129363</v>
      </c>
      <c r="G960" s="53" t="n">
        <f aca="true">NORMINV(RAND(),0,G$7)</f>
        <v>0.662792154245742</v>
      </c>
      <c r="H960" s="53" t="n">
        <f aca="true">NORMINV(RAND(),0,H$7)</f>
        <v>-0.1865507789572</v>
      </c>
      <c r="I960" s="53" t="n">
        <f aca="false">SUM(B960:H960)</f>
        <v>0.01029141984337</v>
      </c>
      <c r="J960" s="53" t="n">
        <f aca="true">NORMINV(RAND(),0,J$7)</f>
        <v>4.81455684860863</v>
      </c>
      <c r="K960" s="53" t="n">
        <f aca="true">NORMINV(RAND(),0,K$7)</f>
        <v>0.79295225494401</v>
      </c>
      <c r="L960" s="53" t="n">
        <f aca="true">NORMINV(RAND(),0,L$7)</f>
        <v>-0.078684020561775</v>
      </c>
      <c r="M960" s="53" t="n">
        <f aca="true">NORMINV(RAND(),0,M$7)</f>
        <v>0.322108949919173</v>
      </c>
      <c r="N960" s="53" t="n">
        <f aca="true">NORMINV(RAND(),0,N$7)</f>
        <v>0.135431949085933</v>
      </c>
      <c r="O960" s="53" t="n">
        <f aca="false">SUM(J960:N960)</f>
        <v>5.98636598199597</v>
      </c>
    </row>
    <row r="961" customFormat="false" ht="15" hidden="false" customHeight="false" outlineLevel="0" collapsed="false">
      <c r="A961" s="2" t="n">
        <v>953</v>
      </c>
      <c r="B961" s="53" t="n">
        <f aca="true">NORMINV(RAND(),0,B$7)</f>
        <v>0.46565700743294</v>
      </c>
      <c r="C961" s="53" t="n">
        <f aca="true">NORMINV(RAND(),0,C$7)</f>
        <v>-1.64300686482382</v>
      </c>
      <c r="D961" s="53" t="n">
        <f aca="true">NORMINV(RAND(),0,D$7)</f>
        <v>-0.835869881047685</v>
      </c>
      <c r="E961" s="53" t="n">
        <f aca="true">NORMINV(RAND(),0,E$7)</f>
        <v>-0.0863391326865376</v>
      </c>
      <c r="F961" s="53" t="n">
        <f aca="true">NORMINV(RAND(),0,F$7)</f>
        <v>-0.419536823540401</v>
      </c>
      <c r="G961" s="53" t="n">
        <f aca="true">NORMINV(RAND(),0,G$7)</f>
        <v>-0.310977409550487</v>
      </c>
      <c r="H961" s="53" t="n">
        <f aca="true">NORMINV(RAND(),0,H$7)</f>
        <v>-0.130020970492201</v>
      </c>
      <c r="I961" s="53" t="n">
        <f aca="false">SUM(B961:H961)</f>
        <v>-2.96009407470819</v>
      </c>
      <c r="J961" s="53" t="n">
        <f aca="true">NORMINV(RAND(),0,J$7)</f>
        <v>-0.906620698886626</v>
      </c>
      <c r="K961" s="53" t="n">
        <f aca="true">NORMINV(RAND(),0,K$7)</f>
        <v>0.188020507478889</v>
      </c>
      <c r="L961" s="53" t="n">
        <f aca="true">NORMINV(RAND(),0,L$7)</f>
        <v>-0.323418621854736</v>
      </c>
      <c r="M961" s="53" t="n">
        <f aca="true">NORMINV(RAND(),0,M$7)</f>
        <v>0.139870735243864</v>
      </c>
      <c r="N961" s="53" t="n">
        <f aca="true">NORMINV(RAND(),0,N$7)</f>
        <v>0.115377018528656</v>
      </c>
      <c r="O961" s="53" t="n">
        <f aca="false">SUM(J961:N961)</f>
        <v>-0.786771059489954</v>
      </c>
    </row>
    <row r="962" customFormat="false" ht="15" hidden="false" customHeight="false" outlineLevel="0" collapsed="false">
      <c r="A962" s="2" t="n">
        <v>954</v>
      </c>
      <c r="B962" s="53" t="n">
        <f aca="true">NORMINV(RAND(),0,B$7)</f>
        <v>2.32786342428476</v>
      </c>
      <c r="C962" s="53" t="n">
        <f aca="true">NORMINV(RAND(),0,C$7)</f>
        <v>0.960079252771181</v>
      </c>
      <c r="D962" s="53" t="n">
        <f aca="true">NORMINV(RAND(),0,D$7)</f>
        <v>1.34448452660296</v>
      </c>
      <c r="E962" s="53" t="n">
        <f aca="true">NORMINV(RAND(),0,E$7)</f>
        <v>-0.729839729123254</v>
      </c>
      <c r="F962" s="53" t="n">
        <f aca="true">NORMINV(RAND(),0,F$7)</f>
        <v>0.547512974852669</v>
      </c>
      <c r="G962" s="53" t="n">
        <f aca="true">NORMINV(RAND(),0,G$7)</f>
        <v>0.322517718995301</v>
      </c>
      <c r="H962" s="53" t="n">
        <f aca="true">NORMINV(RAND(),0,H$7)</f>
        <v>-0.512481140273578</v>
      </c>
      <c r="I962" s="53" t="n">
        <f aca="false">SUM(B962:H962)</f>
        <v>4.26013702811004</v>
      </c>
      <c r="J962" s="53" t="n">
        <f aca="true">NORMINV(RAND(),0,J$7)</f>
        <v>0.0322974647870424</v>
      </c>
      <c r="K962" s="53" t="n">
        <f aca="true">NORMINV(RAND(),0,K$7)</f>
        <v>1.60497684393727</v>
      </c>
      <c r="L962" s="53" t="n">
        <f aca="true">NORMINV(RAND(),0,L$7)</f>
        <v>-0.228520408225707</v>
      </c>
      <c r="M962" s="53" t="n">
        <f aca="true">NORMINV(RAND(),0,M$7)</f>
        <v>-0.162112978938279</v>
      </c>
      <c r="N962" s="53" t="n">
        <f aca="true">NORMINV(RAND(),0,N$7)</f>
        <v>-0.286622279205426</v>
      </c>
      <c r="O962" s="53" t="n">
        <f aca="false">SUM(J962:N962)</f>
        <v>0.960018642354903</v>
      </c>
    </row>
    <row r="963" customFormat="false" ht="15" hidden="false" customHeight="false" outlineLevel="0" collapsed="false">
      <c r="A963" s="2" t="n">
        <v>955</v>
      </c>
      <c r="B963" s="53" t="n">
        <f aca="true">NORMINV(RAND(),0,B$7)</f>
        <v>-1.74617552596501</v>
      </c>
      <c r="C963" s="53" t="n">
        <f aca="true">NORMINV(RAND(),0,C$7)</f>
        <v>1.68511096326902</v>
      </c>
      <c r="D963" s="53" t="n">
        <f aca="true">NORMINV(RAND(),0,D$7)</f>
        <v>0.537116107813136</v>
      </c>
      <c r="E963" s="53" t="n">
        <f aca="true">NORMINV(RAND(),0,E$7)</f>
        <v>0.153110438279164</v>
      </c>
      <c r="F963" s="53" t="n">
        <f aca="true">NORMINV(RAND(),0,F$7)</f>
        <v>0.117099661324174</v>
      </c>
      <c r="G963" s="53" t="n">
        <f aca="true">NORMINV(RAND(),0,G$7)</f>
        <v>-0.739228885598665</v>
      </c>
      <c r="H963" s="53" t="n">
        <f aca="true">NORMINV(RAND(),0,H$7)</f>
        <v>-0.187132906709506</v>
      </c>
      <c r="I963" s="53" t="n">
        <f aca="false">SUM(B963:H963)</f>
        <v>-0.180100147587691</v>
      </c>
      <c r="J963" s="53" t="n">
        <f aca="true">NORMINV(RAND(),0,J$7)</f>
        <v>3.47534477034802</v>
      </c>
      <c r="K963" s="53" t="n">
        <f aca="true">NORMINV(RAND(),0,K$7)</f>
        <v>0.0660461361218176</v>
      </c>
      <c r="L963" s="53" t="n">
        <f aca="true">NORMINV(RAND(),0,L$7)</f>
        <v>0.0923262470154993</v>
      </c>
      <c r="M963" s="53" t="n">
        <f aca="true">NORMINV(RAND(),0,M$7)</f>
        <v>0.291597916143976</v>
      </c>
      <c r="N963" s="53" t="n">
        <f aca="true">NORMINV(RAND(),0,N$7)</f>
        <v>-0.256372989351514</v>
      </c>
      <c r="O963" s="53" t="n">
        <f aca="false">SUM(J963:N963)</f>
        <v>3.6689420802778</v>
      </c>
    </row>
    <row r="964" customFormat="false" ht="15" hidden="false" customHeight="false" outlineLevel="0" collapsed="false">
      <c r="A964" s="2" t="n">
        <v>956</v>
      </c>
      <c r="B964" s="53" t="n">
        <f aca="true">NORMINV(RAND(),0,B$7)</f>
        <v>-1.30547760566382</v>
      </c>
      <c r="C964" s="53" t="n">
        <f aca="true">NORMINV(RAND(),0,C$7)</f>
        <v>-0.165954823965997</v>
      </c>
      <c r="D964" s="53" t="n">
        <f aca="true">NORMINV(RAND(),0,D$7)</f>
        <v>1.10238930907146</v>
      </c>
      <c r="E964" s="53" t="n">
        <f aca="true">NORMINV(RAND(),0,E$7)</f>
        <v>-0.0838764713353032</v>
      </c>
      <c r="F964" s="53" t="n">
        <f aca="true">NORMINV(RAND(),0,F$7)</f>
        <v>0.27926900660934</v>
      </c>
      <c r="G964" s="53" t="n">
        <f aca="true">NORMINV(RAND(),0,G$7)</f>
        <v>-1.42659215623269</v>
      </c>
      <c r="H964" s="53" t="n">
        <f aca="true">NORMINV(RAND(),0,H$7)</f>
        <v>-0.712564468234516</v>
      </c>
      <c r="I964" s="53" t="n">
        <f aca="false">SUM(B964:H964)</f>
        <v>-2.31280720975152</v>
      </c>
      <c r="J964" s="53" t="n">
        <f aca="true">NORMINV(RAND(),0,J$7)</f>
        <v>1.54609891563145</v>
      </c>
      <c r="K964" s="53" t="n">
        <f aca="true">NORMINV(RAND(),0,K$7)</f>
        <v>-0.884143413803005</v>
      </c>
      <c r="L964" s="53" t="n">
        <f aca="true">NORMINV(RAND(),0,L$7)</f>
        <v>0.227086446678314</v>
      </c>
      <c r="M964" s="53" t="n">
        <f aca="true">NORMINV(RAND(),0,M$7)</f>
        <v>0.297670974047362</v>
      </c>
      <c r="N964" s="53" t="n">
        <f aca="true">NORMINV(RAND(),0,N$7)</f>
        <v>-0.0735405128228467</v>
      </c>
      <c r="O964" s="53" t="n">
        <f aca="false">SUM(J964:N964)</f>
        <v>1.11317240973128</v>
      </c>
    </row>
    <row r="965" customFormat="false" ht="15" hidden="false" customHeight="false" outlineLevel="0" collapsed="false">
      <c r="A965" s="2" t="n">
        <v>957</v>
      </c>
      <c r="B965" s="53" t="n">
        <f aca="true">NORMINV(RAND(),0,B$7)</f>
        <v>1.18041230495539</v>
      </c>
      <c r="C965" s="53" t="n">
        <f aca="true">NORMINV(RAND(),0,C$7)</f>
        <v>-0.312747691283391</v>
      </c>
      <c r="D965" s="53" t="n">
        <f aca="true">NORMINV(RAND(),0,D$7)</f>
        <v>-0.95356103131681</v>
      </c>
      <c r="E965" s="53" t="n">
        <f aca="true">NORMINV(RAND(),0,E$7)</f>
        <v>-0.20716740400289</v>
      </c>
      <c r="F965" s="53" t="n">
        <f aca="true">NORMINV(RAND(),0,F$7)</f>
        <v>0.241866289770166</v>
      </c>
      <c r="G965" s="53" t="n">
        <f aca="true">NORMINV(RAND(),0,G$7)</f>
        <v>-1.69413620960789</v>
      </c>
      <c r="H965" s="53" t="n">
        <f aca="true">NORMINV(RAND(),0,H$7)</f>
        <v>-0.217803154565747</v>
      </c>
      <c r="I965" s="53" t="n">
        <f aca="false">SUM(B965:H965)</f>
        <v>-1.96313689605118</v>
      </c>
      <c r="J965" s="53" t="n">
        <f aca="true">NORMINV(RAND(),0,J$7)</f>
        <v>-0.509228234661049</v>
      </c>
      <c r="K965" s="53" t="n">
        <f aca="true">NORMINV(RAND(),0,K$7)</f>
        <v>-0.663328448906535</v>
      </c>
      <c r="L965" s="53" t="n">
        <f aca="true">NORMINV(RAND(),0,L$7)</f>
        <v>0.258592234824867</v>
      </c>
      <c r="M965" s="53" t="n">
        <f aca="true">NORMINV(RAND(),0,M$7)</f>
        <v>0.187416059170102</v>
      </c>
      <c r="N965" s="53" t="n">
        <f aca="true">NORMINV(RAND(),0,N$7)</f>
        <v>0.112510332482492</v>
      </c>
      <c r="O965" s="53" t="n">
        <f aca="false">SUM(J965:N965)</f>
        <v>-0.614038057090123</v>
      </c>
    </row>
    <row r="966" customFormat="false" ht="15" hidden="false" customHeight="false" outlineLevel="0" collapsed="false">
      <c r="A966" s="2" t="n">
        <v>958</v>
      </c>
      <c r="B966" s="53" t="n">
        <f aca="true">NORMINV(RAND(),0,B$7)</f>
        <v>0.989601269339122</v>
      </c>
      <c r="C966" s="53" t="n">
        <f aca="true">NORMINV(RAND(),0,C$7)</f>
        <v>1.2830424818227</v>
      </c>
      <c r="D966" s="53" t="n">
        <f aca="true">NORMINV(RAND(),0,D$7)</f>
        <v>0.531532545141755</v>
      </c>
      <c r="E966" s="53" t="n">
        <f aca="true">NORMINV(RAND(),0,E$7)</f>
        <v>-0.509235296584802</v>
      </c>
      <c r="F966" s="53" t="n">
        <f aca="true">NORMINV(RAND(),0,F$7)</f>
        <v>-0.112461410882656</v>
      </c>
      <c r="G966" s="53" t="n">
        <f aca="true">NORMINV(RAND(),0,G$7)</f>
        <v>-0.276877345551808</v>
      </c>
      <c r="H966" s="53" t="n">
        <f aca="true">NORMINV(RAND(),0,H$7)</f>
        <v>0.0389329263970979</v>
      </c>
      <c r="I966" s="53" t="n">
        <f aca="false">SUM(B966:H966)</f>
        <v>1.94453516968141</v>
      </c>
      <c r="J966" s="53" t="n">
        <f aca="true">NORMINV(RAND(),0,J$7)</f>
        <v>2.38069383309265</v>
      </c>
      <c r="K966" s="53" t="n">
        <f aca="true">NORMINV(RAND(),0,K$7)</f>
        <v>0.375061293443683</v>
      </c>
      <c r="L966" s="53" t="n">
        <f aca="true">NORMINV(RAND(),0,L$7)</f>
        <v>-0.234542332378017</v>
      </c>
      <c r="M966" s="53" t="n">
        <f aca="true">NORMINV(RAND(),0,M$7)</f>
        <v>-0.10400942221628</v>
      </c>
      <c r="N966" s="53" t="n">
        <f aca="true">NORMINV(RAND(),0,N$7)</f>
        <v>-0.509635588212132</v>
      </c>
      <c r="O966" s="53" t="n">
        <f aca="false">SUM(J966:N966)</f>
        <v>1.9075677837299</v>
      </c>
    </row>
    <row r="967" customFormat="false" ht="15" hidden="false" customHeight="false" outlineLevel="0" collapsed="false">
      <c r="A967" s="2" t="n">
        <v>959</v>
      </c>
      <c r="B967" s="53" t="n">
        <f aca="true">NORMINV(RAND(),0,B$7)</f>
        <v>-0.629315993150024</v>
      </c>
      <c r="C967" s="53" t="n">
        <f aca="true">NORMINV(RAND(),0,C$7)</f>
        <v>-1.2096884075455</v>
      </c>
      <c r="D967" s="53" t="n">
        <f aca="true">NORMINV(RAND(),0,D$7)</f>
        <v>-1.27794275816683</v>
      </c>
      <c r="E967" s="53" t="n">
        <f aca="true">NORMINV(RAND(),0,E$7)</f>
        <v>-0.117501056540724</v>
      </c>
      <c r="F967" s="53" t="n">
        <f aca="true">NORMINV(RAND(),0,F$7)</f>
        <v>-0.0970365907300752</v>
      </c>
      <c r="G967" s="53" t="n">
        <f aca="true">NORMINV(RAND(),0,G$7)</f>
        <v>0.0608655618800812</v>
      </c>
      <c r="H967" s="53" t="n">
        <f aca="true">NORMINV(RAND(),0,H$7)</f>
        <v>0.0423142528134102</v>
      </c>
      <c r="I967" s="53" t="n">
        <f aca="false">SUM(B967:H967)</f>
        <v>-3.22830499143967</v>
      </c>
      <c r="J967" s="53" t="n">
        <f aca="true">NORMINV(RAND(),0,J$7)</f>
        <v>-1.35310578394212</v>
      </c>
      <c r="K967" s="53" t="n">
        <f aca="true">NORMINV(RAND(),0,K$7)</f>
        <v>0.313126609742467</v>
      </c>
      <c r="L967" s="53" t="n">
        <f aca="true">NORMINV(RAND(),0,L$7)</f>
        <v>-0.39468789265291</v>
      </c>
      <c r="M967" s="53" t="n">
        <f aca="true">NORMINV(RAND(),0,M$7)</f>
        <v>-0.275563760760937</v>
      </c>
      <c r="N967" s="53" t="n">
        <f aca="true">NORMINV(RAND(),0,N$7)</f>
        <v>-0.46881737376531</v>
      </c>
      <c r="O967" s="53" t="n">
        <f aca="false">SUM(J967:N967)</f>
        <v>-2.17904820137881</v>
      </c>
    </row>
    <row r="968" customFormat="false" ht="15" hidden="false" customHeight="false" outlineLevel="0" collapsed="false">
      <c r="A968" s="2" t="n">
        <v>960</v>
      </c>
      <c r="B968" s="53" t="n">
        <f aca="true">NORMINV(RAND(),0,B$7)</f>
        <v>1.9148021725124</v>
      </c>
      <c r="C968" s="53" t="n">
        <f aca="true">NORMINV(RAND(),0,C$7)</f>
        <v>-0.885328839062858</v>
      </c>
      <c r="D968" s="53" t="n">
        <f aca="true">NORMINV(RAND(),0,D$7)</f>
        <v>-2.33861654318282</v>
      </c>
      <c r="E968" s="53" t="n">
        <f aca="true">NORMINV(RAND(),0,E$7)</f>
        <v>0.245876580137817</v>
      </c>
      <c r="F968" s="53" t="n">
        <f aca="true">NORMINV(RAND(),0,F$7)</f>
        <v>-0.0714251080207971</v>
      </c>
      <c r="G968" s="53" t="n">
        <f aca="true">NORMINV(RAND(),0,G$7)</f>
        <v>0.239643835810889</v>
      </c>
      <c r="H968" s="53" t="n">
        <f aca="true">NORMINV(RAND(),0,H$7)</f>
        <v>-0.469607160509472</v>
      </c>
      <c r="I968" s="53" t="n">
        <f aca="false">SUM(B968:H968)</f>
        <v>-1.36465506231484</v>
      </c>
      <c r="J968" s="53" t="n">
        <f aca="true">NORMINV(RAND(),0,J$7)</f>
        <v>-0.3828305972598</v>
      </c>
      <c r="K968" s="53" t="n">
        <f aca="true">NORMINV(RAND(),0,K$7)</f>
        <v>0.100567580444207</v>
      </c>
      <c r="L968" s="53" t="n">
        <f aca="true">NORMINV(RAND(),0,L$7)</f>
        <v>0.0298246721342523</v>
      </c>
      <c r="M968" s="53" t="n">
        <f aca="true">NORMINV(RAND(),0,M$7)</f>
        <v>0.26710446574125</v>
      </c>
      <c r="N968" s="53" t="n">
        <f aca="true">NORMINV(RAND(),0,N$7)</f>
        <v>-0.542406362763256</v>
      </c>
      <c r="O968" s="53" t="n">
        <f aca="false">SUM(J968:N968)</f>
        <v>-0.527740241703347</v>
      </c>
    </row>
    <row r="969" customFormat="false" ht="15" hidden="false" customHeight="false" outlineLevel="0" collapsed="false">
      <c r="A969" s="2" t="n">
        <v>961</v>
      </c>
      <c r="B969" s="53" t="n">
        <f aca="true">NORMINV(RAND(),0,B$7)</f>
        <v>0.819149707337216</v>
      </c>
      <c r="C969" s="53" t="n">
        <f aca="true">NORMINV(RAND(),0,C$7)</f>
        <v>3.1395830770547</v>
      </c>
      <c r="D969" s="53" t="n">
        <f aca="true">NORMINV(RAND(),0,D$7)</f>
        <v>0.500867858985636</v>
      </c>
      <c r="E969" s="53" t="n">
        <f aca="true">NORMINV(RAND(),0,E$7)</f>
        <v>-0.209087909143224</v>
      </c>
      <c r="F969" s="53" t="n">
        <f aca="true">NORMINV(RAND(),0,F$7)</f>
        <v>-0.265797596314157</v>
      </c>
      <c r="G969" s="53" t="n">
        <f aca="true">NORMINV(RAND(),0,G$7)</f>
        <v>1.74613684237798</v>
      </c>
      <c r="H969" s="53" t="n">
        <f aca="true">NORMINV(RAND(),0,H$7)</f>
        <v>0.148561730497906</v>
      </c>
      <c r="I969" s="53" t="n">
        <f aca="false">SUM(B969:H969)</f>
        <v>5.87941371079605</v>
      </c>
      <c r="J969" s="53" t="n">
        <f aca="true">NORMINV(RAND(),0,J$7)</f>
        <v>-2.76268084390153</v>
      </c>
      <c r="K969" s="53" t="n">
        <f aca="true">NORMINV(RAND(),0,K$7)</f>
        <v>-0.482509342809991</v>
      </c>
      <c r="L969" s="53" t="n">
        <f aca="true">NORMINV(RAND(),0,L$7)</f>
        <v>0.499895259232011</v>
      </c>
      <c r="M969" s="53" t="n">
        <f aca="true">NORMINV(RAND(),0,M$7)</f>
        <v>-0.345333206601579</v>
      </c>
      <c r="N969" s="53" t="n">
        <f aca="true">NORMINV(RAND(),0,N$7)</f>
        <v>-0.14976147443805</v>
      </c>
      <c r="O969" s="53" t="n">
        <f aca="false">SUM(J969:N969)</f>
        <v>-3.24038960851914</v>
      </c>
    </row>
    <row r="970" customFormat="false" ht="15" hidden="false" customHeight="false" outlineLevel="0" collapsed="false">
      <c r="A970" s="2" t="n">
        <v>962</v>
      </c>
      <c r="B970" s="53" t="n">
        <f aca="true">NORMINV(RAND(),0,B$7)</f>
        <v>-1.63500113495604</v>
      </c>
      <c r="C970" s="53" t="n">
        <f aca="true">NORMINV(RAND(),0,C$7)</f>
        <v>-0.292868511189132</v>
      </c>
      <c r="D970" s="53" t="n">
        <f aca="true">NORMINV(RAND(),0,D$7)</f>
        <v>-0.857486630189442</v>
      </c>
      <c r="E970" s="53" t="n">
        <f aca="true">NORMINV(RAND(),0,E$7)</f>
        <v>-0.429599636665135</v>
      </c>
      <c r="F970" s="53" t="n">
        <f aca="true">NORMINV(RAND(),0,F$7)</f>
        <v>-0.334748809367375</v>
      </c>
      <c r="G970" s="53" t="n">
        <f aca="true">NORMINV(RAND(),0,G$7)</f>
        <v>0.701683892284791</v>
      </c>
      <c r="H970" s="53" t="n">
        <f aca="true">NORMINV(RAND(),0,H$7)</f>
        <v>0.794047408752308</v>
      </c>
      <c r="I970" s="53" t="n">
        <f aca="false">SUM(B970:H970)</f>
        <v>-2.05397342133003</v>
      </c>
      <c r="J970" s="53" t="n">
        <f aca="true">NORMINV(RAND(),0,J$7)</f>
        <v>0.268761832314238</v>
      </c>
      <c r="K970" s="53" t="n">
        <f aca="true">NORMINV(RAND(),0,K$7)</f>
        <v>0.0467311201819004</v>
      </c>
      <c r="L970" s="53" t="n">
        <f aca="true">NORMINV(RAND(),0,L$7)</f>
        <v>0.0533803784708381</v>
      </c>
      <c r="M970" s="53" t="n">
        <f aca="true">NORMINV(RAND(),0,M$7)</f>
        <v>0.0230385481735293</v>
      </c>
      <c r="N970" s="53" t="n">
        <f aca="true">NORMINV(RAND(),0,N$7)</f>
        <v>-0.330328088773217</v>
      </c>
      <c r="O970" s="53" t="n">
        <f aca="false">SUM(J970:N970)</f>
        <v>0.061583790367288</v>
      </c>
    </row>
    <row r="971" customFormat="false" ht="15" hidden="false" customHeight="false" outlineLevel="0" collapsed="false">
      <c r="A971" s="2" t="n">
        <v>963</v>
      </c>
      <c r="B971" s="53" t="n">
        <f aca="true">NORMINV(RAND(),0,B$7)</f>
        <v>-0.0862793575343459</v>
      </c>
      <c r="C971" s="53" t="n">
        <f aca="true">NORMINV(RAND(),0,C$7)</f>
        <v>-1.05532286322229</v>
      </c>
      <c r="D971" s="53" t="n">
        <f aca="true">NORMINV(RAND(),0,D$7)</f>
        <v>-0.0817499856067551</v>
      </c>
      <c r="E971" s="53" t="n">
        <f aca="true">NORMINV(RAND(),0,E$7)</f>
        <v>-0.176168529684978</v>
      </c>
      <c r="F971" s="53" t="n">
        <f aca="true">NORMINV(RAND(),0,F$7)</f>
        <v>0.319243273749176</v>
      </c>
      <c r="G971" s="53" t="n">
        <f aca="true">NORMINV(RAND(),0,G$7)</f>
        <v>0.42999800007783</v>
      </c>
      <c r="H971" s="53" t="n">
        <f aca="true">NORMINV(RAND(),0,H$7)</f>
        <v>-0.68983125668924</v>
      </c>
      <c r="I971" s="53" t="n">
        <f aca="false">SUM(B971:H971)</f>
        <v>-1.3401107189106</v>
      </c>
      <c r="J971" s="53" t="n">
        <f aca="true">NORMINV(RAND(),0,J$7)</f>
        <v>1.79487909296009</v>
      </c>
      <c r="K971" s="53" t="n">
        <f aca="true">NORMINV(RAND(),0,K$7)</f>
        <v>0.115392878637381</v>
      </c>
      <c r="L971" s="53" t="n">
        <f aca="true">NORMINV(RAND(),0,L$7)</f>
        <v>0.191272330740073</v>
      </c>
      <c r="M971" s="53" t="n">
        <f aca="true">NORMINV(RAND(),0,M$7)</f>
        <v>0.330403566140826</v>
      </c>
      <c r="N971" s="53" t="n">
        <f aca="true">NORMINV(RAND(),0,N$7)</f>
        <v>0.288361149038351</v>
      </c>
      <c r="O971" s="53" t="n">
        <f aca="false">SUM(J971:N971)</f>
        <v>2.72030901751672</v>
      </c>
    </row>
    <row r="972" customFormat="false" ht="15" hidden="false" customHeight="false" outlineLevel="0" collapsed="false">
      <c r="A972" s="2" t="n">
        <v>964</v>
      </c>
      <c r="B972" s="53" t="n">
        <f aca="true">NORMINV(RAND(),0,B$7)</f>
        <v>0.54297417041927</v>
      </c>
      <c r="C972" s="53" t="n">
        <f aca="true">NORMINV(RAND(),0,C$7)</f>
        <v>-0.278505438363178</v>
      </c>
      <c r="D972" s="53" t="n">
        <f aca="true">NORMINV(RAND(),0,D$7)</f>
        <v>-3.03176243374616</v>
      </c>
      <c r="E972" s="53" t="n">
        <f aca="true">NORMINV(RAND(),0,E$7)</f>
        <v>0.211025756405736</v>
      </c>
      <c r="F972" s="53" t="n">
        <f aca="true">NORMINV(RAND(),0,F$7)</f>
        <v>0.0317207748235237</v>
      </c>
      <c r="G972" s="53" t="n">
        <f aca="true">NORMINV(RAND(),0,G$7)</f>
        <v>1.36279797617486</v>
      </c>
      <c r="H972" s="53" t="n">
        <f aca="true">NORMINV(RAND(),0,H$7)</f>
        <v>0.569552218528097</v>
      </c>
      <c r="I972" s="53" t="n">
        <f aca="false">SUM(B972:H972)</f>
        <v>-0.592196975757849</v>
      </c>
      <c r="J972" s="53" t="n">
        <f aca="true">NORMINV(RAND(),0,J$7)</f>
        <v>3.86585560610167</v>
      </c>
      <c r="K972" s="53" t="n">
        <f aca="true">NORMINV(RAND(),0,K$7)</f>
        <v>0.249754678610058</v>
      </c>
      <c r="L972" s="53" t="n">
        <f aca="true">NORMINV(RAND(),0,L$7)</f>
        <v>-0.60562867490304</v>
      </c>
      <c r="M972" s="53" t="n">
        <f aca="true">NORMINV(RAND(),0,M$7)</f>
        <v>-0.348908512248125</v>
      </c>
      <c r="N972" s="53" t="n">
        <f aca="true">NORMINV(RAND(),0,N$7)</f>
        <v>-0.22197229351016</v>
      </c>
      <c r="O972" s="53" t="n">
        <f aca="false">SUM(J972:N972)</f>
        <v>2.93910080405041</v>
      </c>
    </row>
    <row r="973" customFormat="false" ht="15" hidden="false" customHeight="false" outlineLevel="0" collapsed="false">
      <c r="A973" s="2" t="n">
        <v>965</v>
      </c>
      <c r="B973" s="53" t="n">
        <f aca="true">NORMINV(RAND(),0,B$7)</f>
        <v>-1.02516124540596</v>
      </c>
      <c r="C973" s="53" t="n">
        <f aca="true">NORMINV(RAND(),0,C$7)</f>
        <v>0.674371864172192</v>
      </c>
      <c r="D973" s="53" t="n">
        <f aca="true">NORMINV(RAND(),0,D$7)</f>
        <v>0.731186799971718</v>
      </c>
      <c r="E973" s="53" t="n">
        <f aca="true">NORMINV(RAND(),0,E$7)</f>
        <v>0.190573408617934</v>
      </c>
      <c r="F973" s="53" t="n">
        <f aca="true">NORMINV(RAND(),0,F$7)</f>
        <v>-0.499101146228316</v>
      </c>
      <c r="G973" s="53" t="n">
        <f aca="true">NORMINV(RAND(),0,G$7)</f>
        <v>0.645358930876636</v>
      </c>
      <c r="H973" s="53" t="n">
        <f aca="true">NORMINV(RAND(),0,H$7)</f>
        <v>0.570758374127539</v>
      </c>
      <c r="I973" s="53" t="n">
        <f aca="false">SUM(B973:H973)</f>
        <v>1.28798698613174</v>
      </c>
      <c r="J973" s="53" t="n">
        <f aca="true">NORMINV(RAND(),0,J$7)</f>
        <v>-2.48924996458438</v>
      </c>
      <c r="K973" s="53" t="n">
        <f aca="true">NORMINV(RAND(),0,K$7)</f>
        <v>0.849457437568516</v>
      </c>
      <c r="L973" s="53" t="n">
        <f aca="true">NORMINV(RAND(),0,L$7)</f>
        <v>-0.370980385841498</v>
      </c>
      <c r="M973" s="53" t="n">
        <f aca="true">NORMINV(RAND(),0,M$7)</f>
        <v>0.131834949745155</v>
      </c>
      <c r="N973" s="53" t="n">
        <f aca="true">NORMINV(RAND(),0,N$7)</f>
        <v>0.0593108790957156</v>
      </c>
      <c r="O973" s="53" t="n">
        <f aca="false">SUM(J973:N973)</f>
        <v>-1.81962708401649</v>
      </c>
    </row>
    <row r="974" customFormat="false" ht="15" hidden="false" customHeight="false" outlineLevel="0" collapsed="false">
      <c r="A974" s="2" t="n">
        <v>966</v>
      </c>
      <c r="B974" s="53" t="n">
        <f aca="true">NORMINV(RAND(),0,B$7)</f>
        <v>1.03842410552791</v>
      </c>
      <c r="C974" s="53" t="n">
        <f aca="true">NORMINV(RAND(),0,C$7)</f>
        <v>-1.18184207484441</v>
      </c>
      <c r="D974" s="53" t="n">
        <f aca="true">NORMINV(RAND(),0,D$7)</f>
        <v>-1.03697086914976</v>
      </c>
      <c r="E974" s="53" t="n">
        <f aca="true">NORMINV(RAND(),0,E$7)</f>
        <v>-0.608885586195827</v>
      </c>
      <c r="F974" s="53" t="n">
        <f aca="true">NORMINV(RAND(),0,F$7)</f>
        <v>-0.170390839405588</v>
      </c>
      <c r="G974" s="53" t="n">
        <f aca="true">NORMINV(RAND(),0,G$7)</f>
        <v>1.47483612342736</v>
      </c>
      <c r="H974" s="53" t="n">
        <f aca="true">NORMINV(RAND(),0,H$7)</f>
        <v>-0.113120926699912</v>
      </c>
      <c r="I974" s="53" t="n">
        <f aca="false">SUM(B974:H974)</f>
        <v>-0.597950067340223</v>
      </c>
      <c r="J974" s="53" t="n">
        <f aca="true">NORMINV(RAND(),0,J$7)</f>
        <v>1.3030625326003</v>
      </c>
      <c r="K974" s="53" t="n">
        <f aca="true">NORMINV(RAND(),0,K$7)</f>
        <v>0.206592668850885</v>
      </c>
      <c r="L974" s="53" t="n">
        <f aca="true">NORMINV(RAND(),0,L$7)</f>
        <v>0.190058358516734</v>
      </c>
      <c r="M974" s="53" t="n">
        <f aca="true">NORMINV(RAND(),0,M$7)</f>
        <v>0.394528566436084</v>
      </c>
      <c r="N974" s="53" t="n">
        <f aca="true">NORMINV(RAND(),0,N$7)</f>
        <v>-0.224384626559814</v>
      </c>
      <c r="O974" s="53" t="n">
        <f aca="false">SUM(J974:N974)</f>
        <v>1.86985749984419</v>
      </c>
    </row>
    <row r="975" customFormat="false" ht="15" hidden="false" customHeight="false" outlineLevel="0" collapsed="false">
      <c r="A975" s="2" t="n">
        <v>967</v>
      </c>
      <c r="B975" s="53" t="n">
        <f aca="true">NORMINV(RAND(),0,B$7)</f>
        <v>1.17220796266067</v>
      </c>
      <c r="C975" s="53" t="n">
        <f aca="true">NORMINV(RAND(),0,C$7)</f>
        <v>-0.800421389064181</v>
      </c>
      <c r="D975" s="53" t="n">
        <f aca="true">NORMINV(RAND(),0,D$7)</f>
        <v>-0.658748189988391</v>
      </c>
      <c r="E975" s="53" t="n">
        <f aca="true">NORMINV(RAND(),0,E$7)</f>
        <v>-0.000156476837376466</v>
      </c>
      <c r="F975" s="53" t="n">
        <f aca="true">NORMINV(RAND(),0,F$7)</f>
        <v>-0.915309606877854</v>
      </c>
      <c r="G975" s="53" t="n">
        <f aca="true">NORMINV(RAND(),0,G$7)</f>
        <v>-3.47872414905949</v>
      </c>
      <c r="H975" s="53" t="n">
        <f aca="true">NORMINV(RAND(),0,H$7)</f>
        <v>0.303603986962213</v>
      </c>
      <c r="I975" s="53" t="n">
        <f aca="false">SUM(B975:H975)</f>
        <v>-4.37754786220441</v>
      </c>
      <c r="J975" s="53" t="n">
        <f aca="true">NORMINV(RAND(),0,J$7)</f>
        <v>-1.26607922055267</v>
      </c>
      <c r="K975" s="53" t="n">
        <f aca="true">NORMINV(RAND(),0,K$7)</f>
        <v>0.109990991023016</v>
      </c>
      <c r="L975" s="53" t="n">
        <f aca="true">NORMINV(RAND(),0,L$7)</f>
        <v>0.200341859102979</v>
      </c>
      <c r="M975" s="53" t="n">
        <f aca="true">NORMINV(RAND(),0,M$7)</f>
        <v>-0.0877722406120936</v>
      </c>
      <c r="N975" s="53" t="n">
        <f aca="true">NORMINV(RAND(),0,N$7)</f>
        <v>-0.21879812078324</v>
      </c>
      <c r="O975" s="53" t="n">
        <f aca="false">SUM(J975:N975)</f>
        <v>-1.262316731822</v>
      </c>
    </row>
    <row r="976" customFormat="false" ht="15" hidden="false" customHeight="false" outlineLevel="0" collapsed="false">
      <c r="A976" s="2" t="n">
        <v>968</v>
      </c>
      <c r="B976" s="53" t="n">
        <f aca="true">NORMINV(RAND(),0,B$7)</f>
        <v>1.2205057267432</v>
      </c>
      <c r="C976" s="53" t="n">
        <f aca="true">NORMINV(RAND(),0,C$7)</f>
        <v>-2.58905039331712</v>
      </c>
      <c r="D976" s="53" t="n">
        <f aca="true">NORMINV(RAND(),0,D$7)</f>
        <v>-1.36966275405511</v>
      </c>
      <c r="E976" s="53" t="n">
        <f aca="true">NORMINV(RAND(),0,E$7)</f>
        <v>-0.107005025784405</v>
      </c>
      <c r="F976" s="53" t="n">
        <f aca="true">NORMINV(RAND(),0,F$7)</f>
        <v>-0.572292044309464</v>
      </c>
      <c r="G976" s="53" t="n">
        <f aca="true">NORMINV(RAND(),0,G$7)</f>
        <v>-1.09451552161013</v>
      </c>
      <c r="H976" s="53" t="n">
        <f aca="true">NORMINV(RAND(),0,H$7)</f>
        <v>0.246689150384737</v>
      </c>
      <c r="I976" s="53" t="n">
        <f aca="false">SUM(B976:H976)</f>
        <v>-4.26533086194828</v>
      </c>
      <c r="J976" s="53" t="n">
        <f aca="true">NORMINV(RAND(),0,J$7)</f>
        <v>4.55537751321309</v>
      </c>
      <c r="K976" s="53" t="n">
        <f aca="true">NORMINV(RAND(),0,K$7)</f>
        <v>-0.870997640766264</v>
      </c>
      <c r="L976" s="53" t="n">
        <f aca="true">NORMINV(RAND(),0,L$7)</f>
        <v>-0.145690475758558</v>
      </c>
      <c r="M976" s="53" t="n">
        <f aca="true">NORMINV(RAND(),0,M$7)</f>
        <v>0.147135602425018</v>
      </c>
      <c r="N976" s="53" t="n">
        <f aca="true">NORMINV(RAND(),0,N$7)</f>
        <v>-0.160832352728279</v>
      </c>
      <c r="O976" s="53" t="n">
        <f aca="false">SUM(J976:N976)</f>
        <v>3.52499264638501</v>
      </c>
    </row>
    <row r="977" customFormat="false" ht="15" hidden="false" customHeight="false" outlineLevel="0" collapsed="false">
      <c r="A977" s="2" t="n">
        <v>969</v>
      </c>
      <c r="B977" s="53" t="n">
        <f aca="true">NORMINV(RAND(),0,B$7)</f>
        <v>-0.0942089285460282</v>
      </c>
      <c r="C977" s="53" t="n">
        <f aca="true">NORMINV(RAND(),0,C$7)</f>
        <v>-1.51311511964601</v>
      </c>
      <c r="D977" s="53" t="n">
        <f aca="true">NORMINV(RAND(),0,D$7)</f>
        <v>2.01686874993089</v>
      </c>
      <c r="E977" s="53" t="n">
        <f aca="true">NORMINV(RAND(),0,E$7)</f>
        <v>1.07726081041033</v>
      </c>
      <c r="F977" s="53" t="n">
        <f aca="true">NORMINV(RAND(),0,F$7)</f>
        <v>0.0594925686867643</v>
      </c>
      <c r="G977" s="53" t="n">
        <f aca="true">NORMINV(RAND(),0,G$7)</f>
        <v>0.876407160669506</v>
      </c>
      <c r="H977" s="53" t="n">
        <f aca="true">NORMINV(RAND(),0,H$7)</f>
        <v>-0.040495140662971</v>
      </c>
      <c r="I977" s="53" t="n">
        <f aca="false">SUM(B977:H977)</f>
        <v>2.38221010084248</v>
      </c>
      <c r="J977" s="53" t="n">
        <f aca="true">NORMINV(RAND(),0,J$7)</f>
        <v>1.83458309869972</v>
      </c>
      <c r="K977" s="53" t="n">
        <f aca="true">NORMINV(RAND(),0,K$7)</f>
        <v>0.396489561717231</v>
      </c>
      <c r="L977" s="53" t="n">
        <f aca="true">NORMINV(RAND(),0,L$7)</f>
        <v>0.272458699241056</v>
      </c>
      <c r="M977" s="53" t="n">
        <f aca="true">NORMINV(RAND(),0,M$7)</f>
        <v>0.178612026862172</v>
      </c>
      <c r="N977" s="53" t="n">
        <f aca="true">NORMINV(RAND(),0,N$7)</f>
        <v>-0.0996705747871379</v>
      </c>
      <c r="O977" s="53" t="n">
        <f aca="false">SUM(J977:N977)</f>
        <v>2.58247281173304</v>
      </c>
    </row>
    <row r="978" customFormat="false" ht="15" hidden="false" customHeight="false" outlineLevel="0" collapsed="false">
      <c r="A978" s="2" t="n">
        <v>970</v>
      </c>
      <c r="B978" s="53" t="n">
        <f aca="true">NORMINV(RAND(),0,B$7)</f>
        <v>-0.975649096678441</v>
      </c>
      <c r="C978" s="53" t="n">
        <f aca="true">NORMINV(RAND(),0,C$7)</f>
        <v>0.671557939617222</v>
      </c>
      <c r="D978" s="53" t="n">
        <f aca="true">NORMINV(RAND(),0,D$7)</f>
        <v>0.275488232401266</v>
      </c>
      <c r="E978" s="53" t="n">
        <f aca="true">NORMINV(RAND(),0,E$7)</f>
        <v>0.176398322462049</v>
      </c>
      <c r="F978" s="53" t="n">
        <f aca="true">NORMINV(RAND(),0,F$7)</f>
        <v>0.240241032148626</v>
      </c>
      <c r="G978" s="53" t="n">
        <f aca="true">NORMINV(RAND(),0,G$7)</f>
        <v>0.0579117723664757</v>
      </c>
      <c r="H978" s="53" t="n">
        <f aca="true">NORMINV(RAND(),0,H$7)</f>
        <v>0.103259670044892</v>
      </c>
      <c r="I978" s="53" t="n">
        <f aca="false">SUM(B978:H978)</f>
        <v>0.549207872362089</v>
      </c>
      <c r="J978" s="53" t="n">
        <f aca="true">NORMINV(RAND(),0,J$7)</f>
        <v>0.529448683802124</v>
      </c>
      <c r="K978" s="53" t="n">
        <f aca="true">NORMINV(RAND(),0,K$7)</f>
        <v>-0.628955399709716</v>
      </c>
      <c r="L978" s="53" t="n">
        <f aca="true">NORMINV(RAND(),0,L$7)</f>
        <v>-0.513127079766019</v>
      </c>
      <c r="M978" s="53" t="n">
        <f aca="true">NORMINV(RAND(),0,M$7)</f>
        <v>0.100894151475864</v>
      </c>
      <c r="N978" s="53" t="n">
        <f aca="true">NORMINV(RAND(),0,N$7)</f>
        <v>1.0860603174273</v>
      </c>
      <c r="O978" s="53" t="n">
        <f aca="false">SUM(J978:N978)</f>
        <v>0.574320673229548</v>
      </c>
    </row>
    <row r="979" customFormat="false" ht="15" hidden="false" customHeight="false" outlineLevel="0" collapsed="false">
      <c r="A979" s="2" t="n">
        <v>971</v>
      </c>
      <c r="B979" s="53" t="n">
        <f aca="true">NORMINV(RAND(),0,B$7)</f>
        <v>0.242542272259366</v>
      </c>
      <c r="C979" s="53" t="n">
        <f aca="true">NORMINV(RAND(),0,C$7)</f>
        <v>0.521947434308614</v>
      </c>
      <c r="D979" s="53" t="n">
        <f aca="true">NORMINV(RAND(),0,D$7)</f>
        <v>0.917259113505021</v>
      </c>
      <c r="E979" s="53" t="n">
        <f aca="true">NORMINV(RAND(),0,E$7)</f>
        <v>0.937793779592684</v>
      </c>
      <c r="F979" s="53" t="n">
        <f aca="true">NORMINV(RAND(),0,F$7)</f>
        <v>-0.571162092101876</v>
      </c>
      <c r="G979" s="53" t="n">
        <f aca="true">NORMINV(RAND(),0,G$7)</f>
        <v>-0.457953796442674</v>
      </c>
      <c r="H979" s="53" t="n">
        <f aca="true">NORMINV(RAND(),0,H$7)</f>
        <v>-0.490106590781402</v>
      </c>
      <c r="I979" s="53" t="n">
        <f aca="false">SUM(B979:H979)</f>
        <v>1.10032012033973</v>
      </c>
      <c r="J979" s="53" t="n">
        <f aca="true">NORMINV(RAND(),0,J$7)</f>
        <v>0.436604707054609</v>
      </c>
      <c r="K979" s="53" t="n">
        <f aca="true">NORMINV(RAND(),0,K$7)</f>
        <v>-0.812132938419225</v>
      </c>
      <c r="L979" s="53" t="n">
        <f aca="true">NORMINV(RAND(),0,L$7)</f>
        <v>0.0554775948453404</v>
      </c>
      <c r="M979" s="53" t="n">
        <f aca="true">NORMINV(RAND(),0,M$7)</f>
        <v>0.256898104252233</v>
      </c>
      <c r="N979" s="53" t="n">
        <f aca="true">NORMINV(RAND(),0,N$7)</f>
        <v>-0.541343153804059</v>
      </c>
      <c r="O979" s="53" t="n">
        <f aca="false">SUM(J979:N979)</f>
        <v>-0.604495686071102</v>
      </c>
    </row>
    <row r="980" customFormat="false" ht="15" hidden="false" customHeight="false" outlineLevel="0" collapsed="false">
      <c r="A980" s="2" t="n">
        <v>972</v>
      </c>
      <c r="B980" s="53" t="n">
        <f aca="true">NORMINV(RAND(),0,B$7)</f>
        <v>-2.43931270547134</v>
      </c>
      <c r="C980" s="53" t="n">
        <f aca="true">NORMINV(RAND(),0,C$7)</f>
        <v>0.64754702297208</v>
      </c>
      <c r="D980" s="53" t="n">
        <f aca="true">NORMINV(RAND(),0,D$7)</f>
        <v>-1.19973253811762</v>
      </c>
      <c r="E980" s="53" t="n">
        <f aca="true">NORMINV(RAND(),0,E$7)</f>
        <v>0.237749302015832</v>
      </c>
      <c r="F980" s="53" t="n">
        <f aca="true">NORMINV(RAND(),0,F$7)</f>
        <v>-0.193360798244096</v>
      </c>
      <c r="G980" s="53" t="n">
        <f aca="true">NORMINV(RAND(),0,G$7)</f>
        <v>-0.756407735746569</v>
      </c>
      <c r="H980" s="53" t="n">
        <f aca="true">NORMINV(RAND(),0,H$7)</f>
        <v>0.267546020265855</v>
      </c>
      <c r="I980" s="53" t="n">
        <f aca="false">SUM(B980:H980)</f>
        <v>-3.43597143232586</v>
      </c>
      <c r="J980" s="53" t="n">
        <f aca="true">NORMINV(RAND(),0,J$7)</f>
        <v>1.44351375542854</v>
      </c>
      <c r="K980" s="53" t="n">
        <f aca="true">NORMINV(RAND(),0,K$7)</f>
        <v>-0.288340076625757</v>
      </c>
      <c r="L980" s="53" t="n">
        <f aca="true">NORMINV(RAND(),0,L$7)</f>
        <v>-0.661702353694106</v>
      </c>
      <c r="M980" s="53" t="n">
        <f aca="true">NORMINV(RAND(),0,M$7)</f>
        <v>0.285225528986223</v>
      </c>
      <c r="N980" s="53" t="n">
        <f aca="true">NORMINV(RAND(),0,N$7)</f>
        <v>0.00743358106766816</v>
      </c>
      <c r="O980" s="53" t="n">
        <f aca="false">SUM(J980:N980)</f>
        <v>0.786130435162567</v>
      </c>
    </row>
    <row r="981" customFormat="false" ht="15" hidden="false" customHeight="false" outlineLevel="0" collapsed="false">
      <c r="A981" s="2" t="n">
        <v>973</v>
      </c>
      <c r="B981" s="53" t="n">
        <f aca="true">NORMINV(RAND(),0,B$7)</f>
        <v>2.66853162898003</v>
      </c>
      <c r="C981" s="53" t="n">
        <f aca="true">NORMINV(RAND(),0,C$7)</f>
        <v>-0.55343272248954</v>
      </c>
      <c r="D981" s="53" t="n">
        <f aca="true">NORMINV(RAND(),0,D$7)</f>
        <v>2.06017135136453</v>
      </c>
      <c r="E981" s="53" t="n">
        <f aca="true">NORMINV(RAND(),0,E$7)</f>
        <v>-0.144324676600551</v>
      </c>
      <c r="F981" s="53" t="n">
        <f aca="true">NORMINV(RAND(),0,F$7)</f>
        <v>0.0751963719270586</v>
      </c>
      <c r="G981" s="53" t="n">
        <f aca="true">NORMINV(RAND(),0,G$7)</f>
        <v>0.920986681177957</v>
      </c>
      <c r="H981" s="53" t="n">
        <f aca="true">NORMINV(RAND(),0,H$7)</f>
        <v>-0.0431898710807718</v>
      </c>
      <c r="I981" s="53" t="n">
        <f aca="false">SUM(B981:H981)</f>
        <v>4.98393876327872</v>
      </c>
      <c r="J981" s="53" t="n">
        <f aca="true">NORMINV(RAND(),0,J$7)</f>
        <v>1.38778613488331</v>
      </c>
      <c r="K981" s="53" t="n">
        <f aca="true">NORMINV(RAND(),0,K$7)</f>
        <v>-0.558761686451968</v>
      </c>
      <c r="L981" s="53" t="n">
        <f aca="true">NORMINV(RAND(),0,L$7)</f>
        <v>-0.379009817662314</v>
      </c>
      <c r="M981" s="53" t="n">
        <f aca="true">NORMINV(RAND(),0,M$7)</f>
        <v>0.0114227049172623</v>
      </c>
      <c r="N981" s="53" t="n">
        <f aca="true">NORMINV(RAND(),0,N$7)</f>
        <v>0.256139042779479</v>
      </c>
      <c r="O981" s="53" t="n">
        <f aca="false">SUM(J981:N981)</f>
        <v>0.717576378465767</v>
      </c>
    </row>
    <row r="982" customFormat="false" ht="15" hidden="false" customHeight="false" outlineLevel="0" collapsed="false">
      <c r="A982" s="2" t="n">
        <v>974</v>
      </c>
      <c r="B982" s="53" t="n">
        <f aca="true">NORMINV(RAND(),0,B$7)</f>
        <v>-1.04194096349258</v>
      </c>
      <c r="C982" s="53" t="n">
        <f aca="true">NORMINV(RAND(),0,C$7)</f>
        <v>2.40489994916579</v>
      </c>
      <c r="D982" s="53" t="n">
        <f aca="true">NORMINV(RAND(),0,D$7)</f>
        <v>-3.8105946253411</v>
      </c>
      <c r="E982" s="53" t="n">
        <f aca="true">NORMINV(RAND(),0,E$7)</f>
        <v>-0.422960762878491</v>
      </c>
      <c r="F982" s="53" t="n">
        <f aca="true">NORMINV(RAND(),0,F$7)</f>
        <v>0.173574318529994</v>
      </c>
      <c r="G982" s="53" t="n">
        <f aca="true">NORMINV(RAND(),0,G$7)</f>
        <v>-0.974755069112164</v>
      </c>
      <c r="H982" s="53" t="n">
        <f aca="true">NORMINV(RAND(),0,H$7)</f>
        <v>-0.479320896625738</v>
      </c>
      <c r="I982" s="53" t="n">
        <f aca="false">SUM(B982:H982)</f>
        <v>-4.15109804975429</v>
      </c>
      <c r="J982" s="53" t="n">
        <f aca="true">NORMINV(RAND(),0,J$7)</f>
        <v>2.55203981202584</v>
      </c>
      <c r="K982" s="53" t="n">
        <f aca="true">NORMINV(RAND(),0,K$7)</f>
        <v>-0.233281506619745</v>
      </c>
      <c r="L982" s="53" t="n">
        <f aca="true">NORMINV(RAND(),0,L$7)</f>
        <v>0.152498465675668</v>
      </c>
      <c r="M982" s="53" t="n">
        <f aca="true">NORMINV(RAND(),0,M$7)</f>
        <v>0.0413382725258189</v>
      </c>
      <c r="N982" s="53" t="n">
        <f aca="true">NORMINV(RAND(),0,N$7)</f>
        <v>-0.113969181199401</v>
      </c>
      <c r="O982" s="53" t="n">
        <f aca="false">SUM(J982:N982)</f>
        <v>2.39862586240818</v>
      </c>
    </row>
    <row r="983" customFormat="false" ht="15" hidden="false" customHeight="false" outlineLevel="0" collapsed="false">
      <c r="A983" s="2" t="n">
        <v>975</v>
      </c>
      <c r="B983" s="53" t="n">
        <f aca="true">NORMINV(RAND(),0,B$7)</f>
        <v>0.465651978624606</v>
      </c>
      <c r="C983" s="53" t="n">
        <f aca="true">NORMINV(RAND(),0,C$7)</f>
        <v>3.0206907679879</v>
      </c>
      <c r="D983" s="53" t="n">
        <f aca="true">NORMINV(RAND(),0,D$7)</f>
        <v>2.0483811410889</v>
      </c>
      <c r="E983" s="53" t="n">
        <f aca="true">NORMINV(RAND(),0,E$7)</f>
        <v>0.169422836624301</v>
      </c>
      <c r="F983" s="53" t="n">
        <f aca="true">NORMINV(RAND(),0,F$7)</f>
        <v>-0.00259321617369852</v>
      </c>
      <c r="G983" s="53" t="n">
        <f aca="true">NORMINV(RAND(),0,G$7)</f>
        <v>0.284341047727529</v>
      </c>
      <c r="H983" s="53" t="n">
        <f aca="true">NORMINV(RAND(),0,H$7)</f>
        <v>-0.22958708008224</v>
      </c>
      <c r="I983" s="53" t="n">
        <f aca="false">SUM(B983:H983)</f>
        <v>5.7563074757973</v>
      </c>
      <c r="J983" s="53" t="n">
        <f aca="true">NORMINV(RAND(),0,J$7)</f>
        <v>3.83590392596953</v>
      </c>
      <c r="K983" s="53" t="n">
        <f aca="true">NORMINV(RAND(),0,K$7)</f>
        <v>-1.04746430997724</v>
      </c>
      <c r="L983" s="53" t="n">
        <f aca="true">NORMINV(RAND(),0,L$7)</f>
        <v>-0.550931565232772</v>
      </c>
      <c r="M983" s="53" t="n">
        <f aca="true">NORMINV(RAND(),0,M$7)</f>
        <v>-0.0371890191750927</v>
      </c>
      <c r="N983" s="53" t="n">
        <f aca="true">NORMINV(RAND(),0,N$7)</f>
        <v>-0.230430715089856</v>
      </c>
      <c r="O983" s="53" t="n">
        <f aca="false">SUM(J983:N983)</f>
        <v>1.96988831649457</v>
      </c>
    </row>
    <row r="984" customFormat="false" ht="15" hidden="false" customHeight="false" outlineLevel="0" collapsed="false">
      <c r="A984" s="2" t="n">
        <v>976</v>
      </c>
      <c r="B984" s="53" t="n">
        <f aca="true">NORMINV(RAND(),0,B$7)</f>
        <v>0.0995533136330931</v>
      </c>
      <c r="C984" s="53" t="n">
        <f aca="true">NORMINV(RAND(),0,C$7)</f>
        <v>2.13164131466781</v>
      </c>
      <c r="D984" s="53" t="n">
        <f aca="true">NORMINV(RAND(),0,D$7)</f>
        <v>1.14845287538961</v>
      </c>
      <c r="E984" s="53" t="n">
        <f aca="true">NORMINV(RAND(),0,E$7)</f>
        <v>-0.22304504324656</v>
      </c>
      <c r="F984" s="53" t="n">
        <f aca="true">NORMINV(RAND(),0,F$7)</f>
        <v>-0.00782612017523878</v>
      </c>
      <c r="G984" s="53" t="n">
        <f aca="true">NORMINV(RAND(),0,G$7)</f>
        <v>-2.57811867768885</v>
      </c>
      <c r="H984" s="53" t="n">
        <f aca="true">NORMINV(RAND(),0,H$7)</f>
        <v>0.262820251351194</v>
      </c>
      <c r="I984" s="53" t="n">
        <f aca="false">SUM(B984:H984)</f>
        <v>0.833477913931058</v>
      </c>
      <c r="J984" s="53" t="n">
        <f aca="true">NORMINV(RAND(),0,J$7)</f>
        <v>2.2413144654129</v>
      </c>
      <c r="K984" s="53" t="n">
        <f aca="true">NORMINV(RAND(),0,K$7)</f>
        <v>-0.571346894620529</v>
      </c>
      <c r="L984" s="53" t="n">
        <f aca="true">NORMINV(RAND(),0,L$7)</f>
        <v>-0.0167296261298986</v>
      </c>
      <c r="M984" s="53" t="n">
        <f aca="true">NORMINV(RAND(),0,M$7)</f>
        <v>-0.216835163582183</v>
      </c>
      <c r="N984" s="53" t="n">
        <f aca="true">NORMINV(RAND(),0,N$7)</f>
        <v>0.0923651971851167</v>
      </c>
      <c r="O984" s="53" t="n">
        <f aca="false">SUM(J984:N984)</f>
        <v>1.5287679782654</v>
      </c>
    </row>
    <row r="985" customFormat="false" ht="15" hidden="false" customHeight="false" outlineLevel="0" collapsed="false">
      <c r="A985" s="2" t="n">
        <v>977</v>
      </c>
      <c r="B985" s="53" t="n">
        <f aca="true">NORMINV(RAND(),0,B$7)</f>
        <v>-1.03381160792922</v>
      </c>
      <c r="C985" s="53" t="n">
        <f aca="true">NORMINV(RAND(),0,C$7)</f>
        <v>-1.83781751410098</v>
      </c>
      <c r="D985" s="53" t="n">
        <f aca="true">NORMINV(RAND(),0,D$7)</f>
        <v>1.56757737760962</v>
      </c>
      <c r="E985" s="53" t="n">
        <f aca="true">NORMINV(RAND(),0,E$7)</f>
        <v>0.407825910841548</v>
      </c>
      <c r="F985" s="53" t="n">
        <f aca="true">NORMINV(RAND(),0,F$7)</f>
        <v>-0.503906272322301</v>
      </c>
      <c r="G985" s="53" t="n">
        <f aca="true">NORMINV(RAND(),0,G$7)</f>
        <v>-1.40477970533537</v>
      </c>
      <c r="H985" s="53" t="n">
        <f aca="true">NORMINV(RAND(),0,H$7)</f>
        <v>-0.0926498963971621</v>
      </c>
      <c r="I985" s="53" t="n">
        <f aca="false">SUM(B985:H985)</f>
        <v>-2.89756170763387</v>
      </c>
      <c r="J985" s="53" t="n">
        <f aca="true">NORMINV(RAND(),0,J$7)</f>
        <v>0.601813795055521</v>
      </c>
      <c r="K985" s="53" t="n">
        <f aca="true">NORMINV(RAND(),0,K$7)</f>
        <v>0.658858307123102</v>
      </c>
      <c r="L985" s="53" t="n">
        <f aca="true">NORMINV(RAND(),0,L$7)</f>
        <v>-0.465693553843652</v>
      </c>
      <c r="M985" s="53" t="n">
        <f aca="true">NORMINV(RAND(),0,M$7)</f>
        <v>-0.0874048061814703</v>
      </c>
      <c r="N985" s="53" t="n">
        <f aca="true">NORMINV(RAND(),0,N$7)</f>
        <v>-0.498806807107276</v>
      </c>
      <c r="O985" s="53" t="n">
        <f aca="false">SUM(J985:N985)</f>
        <v>0.208766935046225</v>
      </c>
    </row>
    <row r="986" customFormat="false" ht="15" hidden="false" customHeight="false" outlineLevel="0" collapsed="false">
      <c r="A986" s="2" t="n">
        <v>978</v>
      </c>
      <c r="B986" s="53" t="n">
        <f aca="true">NORMINV(RAND(),0,B$7)</f>
        <v>1.54542730938927</v>
      </c>
      <c r="C986" s="53" t="n">
        <f aca="true">NORMINV(RAND(),0,C$7)</f>
        <v>1.81464921322239</v>
      </c>
      <c r="D986" s="53" t="n">
        <f aca="true">NORMINV(RAND(),0,D$7)</f>
        <v>-1.18301202258494</v>
      </c>
      <c r="E986" s="53" t="n">
        <f aca="true">NORMINV(RAND(),0,E$7)</f>
        <v>-0.295874995511837</v>
      </c>
      <c r="F986" s="53" t="n">
        <f aca="true">NORMINV(RAND(),0,F$7)</f>
        <v>-0.200783450629089</v>
      </c>
      <c r="G986" s="53" t="n">
        <f aca="true">NORMINV(RAND(),0,G$7)</f>
        <v>0.739518058593314</v>
      </c>
      <c r="H986" s="53" t="n">
        <f aca="true">NORMINV(RAND(),0,H$7)</f>
        <v>0.192264474393299</v>
      </c>
      <c r="I986" s="53" t="n">
        <f aca="false">SUM(B986:H986)</f>
        <v>2.6121885868724</v>
      </c>
      <c r="J986" s="53" t="n">
        <f aca="true">NORMINV(RAND(),0,J$7)</f>
        <v>-3.58715634739437</v>
      </c>
      <c r="K986" s="53" t="n">
        <f aca="true">NORMINV(RAND(),0,K$7)</f>
        <v>-0.618904615193641</v>
      </c>
      <c r="L986" s="53" t="n">
        <f aca="true">NORMINV(RAND(),0,L$7)</f>
        <v>0.00521324150311519</v>
      </c>
      <c r="M986" s="53" t="n">
        <f aca="true">NORMINV(RAND(),0,M$7)</f>
        <v>-0.0383918903540894</v>
      </c>
      <c r="N986" s="53" t="n">
        <f aca="true">NORMINV(RAND(),0,N$7)</f>
        <v>-0.333289381457674</v>
      </c>
      <c r="O986" s="53" t="n">
        <f aca="false">SUM(J986:N986)</f>
        <v>-4.57252899289666</v>
      </c>
    </row>
    <row r="987" customFormat="false" ht="15" hidden="false" customHeight="false" outlineLevel="0" collapsed="false">
      <c r="A987" s="2" t="n">
        <v>979</v>
      </c>
      <c r="B987" s="53" t="n">
        <f aca="true">NORMINV(RAND(),0,B$7)</f>
        <v>-0.974100160992175</v>
      </c>
      <c r="C987" s="53" t="n">
        <f aca="true">NORMINV(RAND(),0,C$7)</f>
        <v>0.182501967472487</v>
      </c>
      <c r="D987" s="53" t="n">
        <f aca="true">NORMINV(RAND(),0,D$7)</f>
        <v>-6.32556703536925</v>
      </c>
      <c r="E987" s="53" t="n">
        <f aca="true">NORMINV(RAND(),0,E$7)</f>
        <v>-0.0875457867483004</v>
      </c>
      <c r="F987" s="53" t="n">
        <f aca="true">NORMINV(RAND(),0,F$7)</f>
        <v>0.471408359804616</v>
      </c>
      <c r="G987" s="53" t="n">
        <f aca="true">NORMINV(RAND(),0,G$7)</f>
        <v>1.9766102730729</v>
      </c>
      <c r="H987" s="53" t="n">
        <f aca="true">NORMINV(RAND(),0,H$7)</f>
        <v>-0.151379136030668</v>
      </c>
      <c r="I987" s="53" t="n">
        <f aca="false">SUM(B987:H987)</f>
        <v>-4.90807151879038</v>
      </c>
      <c r="J987" s="53" t="n">
        <f aca="true">NORMINV(RAND(),0,J$7)</f>
        <v>-1.18190358558699</v>
      </c>
      <c r="K987" s="53" t="n">
        <f aca="true">NORMINV(RAND(),0,K$7)</f>
        <v>-0.137147152440463</v>
      </c>
      <c r="L987" s="53" t="n">
        <f aca="true">NORMINV(RAND(),0,L$7)</f>
        <v>-0.0581607998122199</v>
      </c>
      <c r="M987" s="53" t="n">
        <f aca="true">NORMINV(RAND(),0,M$7)</f>
        <v>-0.37960030823914</v>
      </c>
      <c r="N987" s="53" t="n">
        <f aca="true">NORMINV(RAND(),0,N$7)</f>
        <v>0.039693763988981</v>
      </c>
      <c r="O987" s="53" t="n">
        <f aca="false">SUM(J987:N987)</f>
        <v>-1.71711808208984</v>
      </c>
    </row>
    <row r="988" customFormat="false" ht="15" hidden="false" customHeight="false" outlineLevel="0" collapsed="false">
      <c r="A988" s="2" t="n">
        <v>980</v>
      </c>
      <c r="B988" s="53" t="n">
        <f aca="true">NORMINV(RAND(),0,B$7)</f>
        <v>-1.24248762469892</v>
      </c>
      <c r="C988" s="53" t="n">
        <f aca="true">NORMINV(RAND(),0,C$7)</f>
        <v>0.682928041888628</v>
      </c>
      <c r="D988" s="53" t="n">
        <f aca="true">NORMINV(RAND(),0,D$7)</f>
        <v>-2.13848358746892</v>
      </c>
      <c r="E988" s="53" t="n">
        <f aca="true">NORMINV(RAND(),0,E$7)</f>
        <v>0.217351163550979</v>
      </c>
      <c r="F988" s="53" t="n">
        <f aca="true">NORMINV(RAND(),0,F$7)</f>
        <v>-0.109065986120197</v>
      </c>
      <c r="G988" s="53" t="n">
        <f aca="true">NORMINV(RAND(),0,G$7)</f>
        <v>0.105716582643877</v>
      </c>
      <c r="H988" s="53" t="n">
        <f aca="true">NORMINV(RAND(),0,H$7)</f>
        <v>-0.260984435162583</v>
      </c>
      <c r="I988" s="53" t="n">
        <f aca="false">SUM(B988:H988)</f>
        <v>-2.74502584536714</v>
      </c>
      <c r="J988" s="53" t="n">
        <f aca="true">NORMINV(RAND(),0,J$7)</f>
        <v>-2.70098299610879</v>
      </c>
      <c r="K988" s="53" t="n">
        <f aca="true">NORMINV(RAND(),0,K$7)</f>
        <v>-0.497927772439921</v>
      </c>
      <c r="L988" s="53" t="n">
        <f aca="true">NORMINV(RAND(),0,L$7)</f>
        <v>0.0894572447258099</v>
      </c>
      <c r="M988" s="53" t="n">
        <f aca="true">NORMINV(RAND(),0,M$7)</f>
        <v>0.199870944102375</v>
      </c>
      <c r="N988" s="53" t="n">
        <f aca="true">NORMINV(RAND(),0,N$7)</f>
        <v>0.310660423500782</v>
      </c>
      <c r="O988" s="53" t="n">
        <f aca="false">SUM(J988:N988)</f>
        <v>-2.59892215621974</v>
      </c>
    </row>
    <row r="989" customFormat="false" ht="15" hidden="false" customHeight="false" outlineLevel="0" collapsed="false">
      <c r="A989" s="2" t="n">
        <v>981</v>
      </c>
      <c r="B989" s="53" t="n">
        <f aca="true">NORMINV(RAND(),0,B$7)</f>
        <v>1.70496079667862</v>
      </c>
      <c r="C989" s="53" t="n">
        <f aca="true">NORMINV(RAND(),0,C$7)</f>
        <v>-2.79644222553495</v>
      </c>
      <c r="D989" s="53" t="n">
        <f aca="true">NORMINV(RAND(),0,D$7)</f>
        <v>-3.99045409106191</v>
      </c>
      <c r="E989" s="53" t="n">
        <f aca="true">NORMINV(RAND(),0,E$7)</f>
        <v>-0.474843075840392</v>
      </c>
      <c r="F989" s="53" t="n">
        <f aca="true">NORMINV(RAND(),0,F$7)</f>
        <v>0.369021759657362</v>
      </c>
      <c r="G989" s="53" t="n">
        <f aca="true">NORMINV(RAND(),0,G$7)</f>
        <v>-1.69889431657347</v>
      </c>
      <c r="H989" s="53" t="n">
        <f aca="true">NORMINV(RAND(),0,H$7)</f>
        <v>-0.0655569982042031</v>
      </c>
      <c r="I989" s="53" t="n">
        <f aca="false">SUM(B989:H989)</f>
        <v>-6.95220815087894</v>
      </c>
      <c r="J989" s="53" t="n">
        <f aca="true">NORMINV(RAND(),0,J$7)</f>
        <v>-1.24579012811455</v>
      </c>
      <c r="K989" s="53" t="n">
        <f aca="true">NORMINV(RAND(),0,K$7)</f>
        <v>-0.452284473656588</v>
      </c>
      <c r="L989" s="53" t="n">
        <f aca="true">NORMINV(RAND(),0,L$7)</f>
        <v>0.376943307087043</v>
      </c>
      <c r="M989" s="53" t="n">
        <f aca="true">NORMINV(RAND(),0,M$7)</f>
        <v>0.1780776510106</v>
      </c>
      <c r="N989" s="53" t="n">
        <f aca="true">NORMINV(RAND(),0,N$7)</f>
        <v>-0.478795041728085</v>
      </c>
      <c r="O989" s="53" t="n">
        <f aca="false">SUM(J989:N989)</f>
        <v>-1.62184868540158</v>
      </c>
    </row>
    <row r="990" customFormat="false" ht="15" hidden="false" customHeight="false" outlineLevel="0" collapsed="false">
      <c r="A990" s="2" t="n">
        <v>982</v>
      </c>
      <c r="B990" s="53" t="n">
        <f aca="true">NORMINV(RAND(),0,B$7)</f>
        <v>-0.12572327187732</v>
      </c>
      <c r="C990" s="53" t="n">
        <f aca="true">NORMINV(RAND(),0,C$7)</f>
        <v>-0.0179329655038293</v>
      </c>
      <c r="D990" s="53" t="n">
        <f aca="true">NORMINV(RAND(),0,D$7)</f>
        <v>-0.657316896606072</v>
      </c>
      <c r="E990" s="53" t="n">
        <f aca="true">NORMINV(RAND(),0,E$7)</f>
        <v>-0.23556018515966</v>
      </c>
      <c r="F990" s="53" t="n">
        <f aca="true">NORMINV(RAND(),0,F$7)</f>
        <v>0.306616278924854</v>
      </c>
      <c r="G990" s="53" t="n">
        <f aca="true">NORMINV(RAND(),0,G$7)</f>
        <v>-2.0294509635107</v>
      </c>
      <c r="H990" s="53" t="n">
        <f aca="true">NORMINV(RAND(),0,H$7)</f>
        <v>-0.46780506136819</v>
      </c>
      <c r="I990" s="53" t="n">
        <f aca="false">SUM(B990:H990)</f>
        <v>-3.22717306510091</v>
      </c>
      <c r="J990" s="53" t="n">
        <f aca="true">NORMINV(RAND(),0,J$7)</f>
        <v>0.859360608403751</v>
      </c>
      <c r="K990" s="53" t="n">
        <f aca="true">NORMINV(RAND(),0,K$7)</f>
        <v>-0.45511508203688</v>
      </c>
      <c r="L990" s="53" t="n">
        <f aca="true">NORMINV(RAND(),0,L$7)</f>
        <v>-0.502780443000604</v>
      </c>
      <c r="M990" s="53" t="n">
        <f aca="true">NORMINV(RAND(),0,M$7)</f>
        <v>0.267517718440216</v>
      </c>
      <c r="N990" s="53" t="n">
        <f aca="true">NORMINV(RAND(),0,N$7)</f>
        <v>0.416717821961771</v>
      </c>
      <c r="O990" s="53" t="n">
        <f aca="false">SUM(J990:N990)</f>
        <v>0.585700623768254</v>
      </c>
    </row>
    <row r="991" customFormat="false" ht="15" hidden="false" customHeight="false" outlineLevel="0" collapsed="false">
      <c r="A991" s="2" t="n">
        <v>983</v>
      </c>
      <c r="B991" s="53" t="n">
        <f aca="true">NORMINV(RAND(),0,B$7)</f>
        <v>0.62531581671946</v>
      </c>
      <c r="C991" s="53" t="n">
        <f aca="true">NORMINV(RAND(),0,C$7)</f>
        <v>3.61319398375737</v>
      </c>
      <c r="D991" s="53" t="n">
        <f aca="true">NORMINV(RAND(),0,D$7)</f>
        <v>0.53584222832314</v>
      </c>
      <c r="E991" s="53" t="n">
        <f aca="true">NORMINV(RAND(),0,E$7)</f>
        <v>-0.0328631665944628</v>
      </c>
      <c r="F991" s="53" t="n">
        <f aca="true">NORMINV(RAND(),0,F$7)</f>
        <v>-0.0545017508498524</v>
      </c>
      <c r="G991" s="53" t="n">
        <f aca="true">NORMINV(RAND(),0,G$7)</f>
        <v>-0.968585393404573</v>
      </c>
      <c r="H991" s="53" t="n">
        <f aca="true">NORMINV(RAND(),0,H$7)</f>
        <v>-0.0143443622268379</v>
      </c>
      <c r="I991" s="53" t="n">
        <f aca="false">SUM(B991:H991)</f>
        <v>3.70405735572425</v>
      </c>
      <c r="J991" s="53" t="n">
        <f aca="true">NORMINV(RAND(),0,J$7)</f>
        <v>4.07872787145855</v>
      </c>
      <c r="K991" s="53" t="n">
        <f aca="true">NORMINV(RAND(),0,K$7)</f>
        <v>-0.119946900776318</v>
      </c>
      <c r="L991" s="53" t="n">
        <f aca="true">NORMINV(RAND(),0,L$7)</f>
        <v>-0.494694132133489</v>
      </c>
      <c r="M991" s="53" t="n">
        <f aca="true">NORMINV(RAND(),0,M$7)</f>
        <v>-0.134498103615978</v>
      </c>
      <c r="N991" s="53" t="n">
        <f aca="true">NORMINV(RAND(),0,N$7)</f>
        <v>-0.515843491367947</v>
      </c>
      <c r="O991" s="53" t="n">
        <f aca="false">SUM(J991:N991)</f>
        <v>2.81374524356482</v>
      </c>
    </row>
    <row r="992" customFormat="false" ht="15" hidden="false" customHeight="false" outlineLevel="0" collapsed="false">
      <c r="A992" s="2" t="n">
        <v>984</v>
      </c>
      <c r="B992" s="53" t="n">
        <f aca="true">NORMINV(RAND(),0,B$7)</f>
        <v>2.80595799375738</v>
      </c>
      <c r="C992" s="53" t="n">
        <f aca="true">NORMINV(RAND(),0,C$7)</f>
        <v>-0.971013548475473</v>
      </c>
      <c r="D992" s="53" t="n">
        <f aca="true">NORMINV(RAND(),0,D$7)</f>
        <v>-0.833716901442187</v>
      </c>
      <c r="E992" s="53" t="n">
        <f aca="true">NORMINV(RAND(),0,E$7)</f>
        <v>-0.0132170708740688</v>
      </c>
      <c r="F992" s="53" t="n">
        <f aca="true">NORMINV(RAND(),0,F$7)</f>
        <v>-0.129915596444589</v>
      </c>
      <c r="G992" s="53" t="n">
        <f aca="true">NORMINV(RAND(),0,G$7)</f>
        <v>-0.21808327546356</v>
      </c>
      <c r="H992" s="53" t="n">
        <f aca="true">NORMINV(RAND(),0,H$7)</f>
        <v>-0.268226225577047</v>
      </c>
      <c r="I992" s="53" t="n">
        <f aca="false">SUM(B992:H992)</f>
        <v>0.37178537548045</v>
      </c>
      <c r="J992" s="53" t="n">
        <f aca="true">NORMINV(RAND(),0,J$7)</f>
        <v>-0.908627228630275</v>
      </c>
      <c r="K992" s="53" t="n">
        <f aca="true">NORMINV(RAND(),0,K$7)</f>
        <v>-1.35681420932912</v>
      </c>
      <c r="L992" s="53" t="n">
        <f aca="true">NORMINV(RAND(),0,L$7)</f>
        <v>0.0604207349395304</v>
      </c>
      <c r="M992" s="53" t="n">
        <f aca="true">NORMINV(RAND(),0,M$7)</f>
        <v>0.152289361483064</v>
      </c>
      <c r="N992" s="53" t="n">
        <f aca="true">NORMINV(RAND(),0,N$7)</f>
        <v>0.0677274423314004</v>
      </c>
      <c r="O992" s="53" t="n">
        <f aca="false">SUM(J992:N992)</f>
        <v>-1.9850038992054</v>
      </c>
    </row>
    <row r="993" customFormat="false" ht="15" hidden="false" customHeight="false" outlineLevel="0" collapsed="false">
      <c r="A993" s="2" t="n">
        <v>985</v>
      </c>
      <c r="B993" s="53" t="n">
        <f aca="true">NORMINV(RAND(),0,B$7)</f>
        <v>-1.61171678200167</v>
      </c>
      <c r="C993" s="53" t="n">
        <f aca="true">NORMINV(RAND(),0,C$7)</f>
        <v>-2.67632821015938</v>
      </c>
      <c r="D993" s="53" t="n">
        <f aca="true">NORMINV(RAND(),0,D$7)</f>
        <v>2.02314801509596</v>
      </c>
      <c r="E993" s="53" t="n">
        <f aca="true">NORMINV(RAND(),0,E$7)</f>
        <v>0.13911019690001</v>
      </c>
      <c r="F993" s="53" t="n">
        <f aca="true">NORMINV(RAND(),0,F$7)</f>
        <v>0.11833287773869</v>
      </c>
      <c r="G993" s="53" t="n">
        <f aca="true">NORMINV(RAND(),0,G$7)</f>
        <v>0.341034237976759</v>
      </c>
      <c r="H993" s="53" t="n">
        <f aca="true">NORMINV(RAND(),0,H$7)</f>
        <v>0.141304353740368</v>
      </c>
      <c r="I993" s="53" t="n">
        <f aca="false">SUM(B993:H993)</f>
        <v>-1.52511531070926</v>
      </c>
      <c r="J993" s="53" t="n">
        <f aca="true">NORMINV(RAND(),0,J$7)</f>
        <v>-2.56846722475883</v>
      </c>
      <c r="K993" s="53" t="n">
        <f aca="true">NORMINV(RAND(),0,K$7)</f>
        <v>-0.85102679616074</v>
      </c>
      <c r="L993" s="53" t="n">
        <f aca="true">NORMINV(RAND(),0,L$7)</f>
        <v>-0.159060839972656</v>
      </c>
      <c r="M993" s="53" t="n">
        <f aca="true">NORMINV(RAND(),0,M$7)</f>
        <v>0.134442940353224</v>
      </c>
      <c r="N993" s="53" t="n">
        <f aca="true">NORMINV(RAND(),0,N$7)</f>
        <v>0.0563540245237124</v>
      </c>
      <c r="O993" s="53" t="n">
        <f aca="false">SUM(J993:N993)</f>
        <v>-3.38775789601529</v>
      </c>
    </row>
    <row r="994" customFormat="false" ht="15" hidden="false" customHeight="false" outlineLevel="0" collapsed="false">
      <c r="A994" s="2" t="n">
        <v>986</v>
      </c>
      <c r="B994" s="53" t="n">
        <f aca="true">NORMINV(RAND(),0,B$7)</f>
        <v>0.326541278206789</v>
      </c>
      <c r="C994" s="53" t="n">
        <f aca="true">NORMINV(RAND(),0,C$7)</f>
        <v>0.833942216150136</v>
      </c>
      <c r="D994" s="53" t="n">
        <f aca="true">NORMINV(RAND(),0,D$7)</f>
        <v>-1.00349627071917</v>
      </c>
      <c r="E994" s="53" t="n">
        <f aca="true">NORMINV(RAND(),0,E$7)</f>
        <v>0.0664548533383112</v>
      </c>
      <c r="F994" s="53" t="n">
        <f aca="true">NORMINV(RAND(),0,F$7)</f>
        <v>0.100573108023225</v>
      </c>
      <c r="G994" s="53" t="n">
        <f aca="true">NORMINV(RAND(),0,G$7)</f>
        <v>-1.16585526307952</v>
      </c>
      <c r="H994" s="53" t="n">
        <f aca="true">NORMINV(RAND(),0,H$7)</f>
        <v>0.0843369824464225</v>
      </c>
      <c r="I994" s="53" t="n">
        <f aca="false">SUM(B994:H994)</f>
        <v>-0.757503095633811</v>
      </c>
      <c r="J994" s="53" t="n">
        <f aca="true">NORMINV(RAND(),0,J$7)</f>
        <v>-2.31654652447883</v>
      </c>
      <c r="K994" s="53" t="n">
        <f aca="true">NORMINV(RAND(),0,K$7)</f>
        <v>-0.771318849019858</v>
      </c>
      <c r="L994" s="53" t="n">
        <f aca="true">NORMINV(RAND(),0,L$7)</f>
        <v>0.332261831065963</v>
      </c>
      <c r="M994" s="53" t="n">
        <f aca="true">NORMINV(RAND(),0,M$7)</f>
        <v>-0.249399100880049</v>
      </c>
      <c r="N994" s="53" t="n">
        <f aca="true">NORMINV(RAND(),0,N$7)</f>
        <v>-0.420180957202866</v>
      </c>
      <c r="O994" s="53" t="n">
        <f aca="false">SUM(J994:N994)</f>
        <v>-3.42518360051564</v>
      </c>
    </row>
    <row r="995" customFormat="false" ht="15" hidden="false" customHeight="false" outlineLevel="0" collapsed="false">
      <c r="A995" s="2" t="n">
        <v>987</v>
      </c>
      <c r="B995" s="53" t="n">
        <f aca="true">NORMINV(RAND(),0,B$7)</f>
        <v>-3.05952809949662</v>
      </c>
      <c r="C995" s="53" t="n">
        <f aca="true">NORMINV(RAND(),0,C$7)</f>
        <v>0.675834752132246</v>
      </c>
      <c r="D995" s="53" t="n">
        <f aca="true">NORMINV(RAND(),0,D$7)</f>
        <v>1.99559385880266</v>
      </c>
      <c r="E995" s="53" t="n">
        <f aca="true">NORMINV(RAND(),0,E$7)</f>
        <v>-0.446006499857408</v>
      </c>
      <c r="F995" s="53" t="n">
        <f aca="true">NORMINV(RAND(),0,F$7)</f>
        <v>-0.130638431058261</v>
      </c>
      <c r="G995" s="53" t="n">
        <f aca="true">NORMINV(RAND(),0,G$7)</f>
        <v>-1.27643760851552</v>
      </c>
      <c r="H995" s="53" t="n">
        <f aca="true">NORMINV(RAND(),0,H$7)</f>
        <v>-0.503129462843252</v>
      </c>
      <c r="I995" s="53" t="n">
        <f aca="false">SUM(B995:H995)</f>
        <v>-2.74431149083616</v>
      </c>
      <c r="J995" s="53" t="n">
        <f aca="true">NORMINV(RAND(),0,J$7)</f>
        <v>-0.768901420164248</v>
      </c>
      <c r="K995" s="53" t="n">
        <f aca="true">NORMINV(RAND(),0,K$7)</f>
        <v>-0.0269169524724365</v>
      </c>
      <c r="L995" s="53" t="n">
        <f aca="true">NORMINV(RAND(),0,L$7)</f>
        <v>0.118182556526123</v>
      </c>
      <c r="M995" s="53" t="n">
        <f aca="true">NORMINV(RAND(),0,M$7)</f>
        <v>0.209048733187914</v>
      </c>
      <c r="N995" s="53" t="n">
        <f aca="true">NORMINV(RAND(),0,N$7)</f>
        <v>-0.0340229309883951</v>
      </c>
      <c r="O995" s="53" t="n">
        <f aca="false">SUM(J995:N995)</f>
        <v>-0.502610013911043</v>
      </c>
    </row>
    <row r="996" customFormat="false" ht="15" hidden="false" customHeight="false" outlineLevel="0" collapsed="false">
      <c r="A996" s="2" t="n">
        <v>988</v>
      </c>
      <c r="B996" s="53" t="n">
        <f aca="true">NORMINV(RAND(),0,B$7)</f>
        <v>0.508624849384421</v>
      </c>
      <c r="C996" s="53" t="n">
        <f aca="true">NORMINV(RAND(),0,C$7)</f>
        <v>-0.370597220373578</v>
      </c>
      <c r="D996" s="53" t="n">
        <f aca="true">NORMINV(RAND(),0,D$7)</f>
        <v>0.409764507921239</v>
      </c>
      <c r="E996" s="53" t="n">
        <f aca="true">NORMINV(RAND(),0,E$7)</f>
        <v>0.262438347589966</v>
      </c>
      <c r="F996" s="53" t="n">
        <f aca="true">NORMINV(RAND(),0,F$7)</f>
        <v>0.0337202447789238</v>
      </c>
      <c r="G996" s="53" t="n">
        <f aca="true">NORMINV(RAND(),0,G$7)</f>
        <v>-2.69092033092446</v>
      </c>
      <c r="H996" s="53" t="n">
        <f aca="true">NORMINV(RAND(),0,H$7)</f>
        <v>0.514665451027076</v>
      </c>
      <c r="I996" s="53" t="n">
        <f aca="false">SUM(B996:H996)</f>
        <v>-1.33230415059641</v>
      </c>
      <c r="J996" s="53" t="n">
        <f aca="true">NORMINV(RAND(),0,J$7)</f>
        <v>-0.952342931029469</v>
      </c>
      <c r="K996" s="53" t="n">
        <f aca="true">NORMINV(RAND(),0,K$7)</f>
        <v>1.33592304480935</v>
      </c>
      <c r="L996" s="53" t="n">
        <f aca="true">NORMINV(RAND(),0,L$7)</f>
        <v>-0.555549302832456</v>
      </c>
      <c r="M996" s="53" t="n">
        <f aca="true">NORMINV(RAND(),0,M$7)</f>
        <v>0.0719408434993955</v>
      </c>
      <c r="N996" s="53" t="n">
        <f aca="true">NORMINV(RAND(),0,N$7)</f>
        <v>0.175246170171177</v>
      </c>
      <c r="O996" s="53" t="n">
        <f aca="false">SUM(J996:N996)</f>
        <v>0.0752178246179922</v>
      </c>
    </row>
    <row r="997" customFormat="false" ht="15" hidden="false" customHeight="false" outlineLevel="0" collapsed="false">
      <c r="A997" s="2" t="n">
        <v>989</v>
      </c>
      <c r="B997" s="53" t="n">
        <f aca="true">NORMINV(RAND(),0,B$7)</f>
        <v>-0.473212893918244</v>
      </c>
      <c r="C997" s="53" t="n">
        <f aca="true">NORMINV(RAND(),0,C$7)</f>
        <v>-0.29505008602783</v>
      </c>
      <c r="D997" s="53" t="n">
        <f aca="true">NORMINV(RAND(),0,D$7)</f>
        <v>-0.938412976647147</v>
      </c>
      <c r="E997" s="53" t="n">
        <f aca="true">NORMINV(RAND(),0,E$7)</f>
        <v>0.22617372493252</v>
      </c>
      <c r="F997" s="53" t="n">
        <f aca="true">NORMINV(RAND(),0,F$7)</f>
        <v>0.189213093817588</v>
      </c>
      <c r="G997" s="53" t="n">
        <f aca="true">NORMINV(RAND(),0,G$7)</f>
        <v>0.858474498608998</v>
      </c>
      <c r="H997" s="53" t="n">
        <f aca="true">NORMINV(RAND(),0,H$7)</f>
        <v>-0.453025288890226</v>
      </c>
      <c r="I997" s="53" t="n">
        <f aca="false">SUM(B997:H997)</f>
        <v>-0.885839928124341</v>
      </c>
      <c r="J997" s="53" t="n">
        <f aca="true">NORMINV(RAND(),0,J$7)</f>
        <v>-0.149370468859555</v>
      </c>
      <c r="K997" s="53" t="n">
        <f aca="true">NORMINV(RAND(),0,K$7)</f>
        <v>-0.698736168710848</v>
      </c>
      <c r="L997" s="53" t="n">
        <f aca="true">NORMINV(RAND(),0,L$7)</f>
        <v>-0.706248331440863</v>
      </c>
      <c r="M997" s="53" t="n">
        <f aca="true">NORMINV(RAND(),0,M$7)</f>
        <v>0.183360584834961</v>
      </c>
      <c r="N997" s="53" t="n">
        <f aca="true">NORMINV(RAND(),0,N$7)</f>
        <v>-0.323498648040549</v>
      </c>
      <c r="O997" s="53" t="n">
        <f aca="false">SUM(J997:N997)</f>
        <v>-1.69449303221685</v>
      </c>
    </row>
    <row r="998" customFormat="false" ht="15" hidden="false" customHeight="false" outlineLevel="0" collapsed="false">
      <c r="A998" s="2" t="n">
        <v>990</v>
      </c>
      <c r="B998" s="53" t="n">
        <f aca="true">NORMINV(RAND(),0,B$7)</f>
        <v>-1.08709207555936</v>
      </c>
      <c r="C998" s="53" t="n">
        <f aca="true">NORMINV(RAND(),0,C$7)</f>
        <v>-1.45777074445458</v>
      </c>
      <c r="D998" s="53" t="n">
        <f aca="true">NORMINV(RAND(),0,D$7)</f>
        <v>0.0705852407783351</v>
      </c>
      <c r="E998" s="53" t="n">
        <f aca="true">NORMINV(RAND(),0,E$7)</f>
        <v>-0.512339401644668</v>
      </c>
      <c r="F998" s="53" t="n">
        <f aca="true">NORMINV(RAND(),0,F$7)</f>
        <v>0.71455745378809</v>
      </c>
      <c r="G998" s="53" t="n">
        <f aca="true">NORMINV(RAND(),0,G$7)</f>
        <v>0.677879945929455</v>
      </c>
      <c r="H998" s="53" t="n">
        <f aca="true">NORMINV(RAND(),0,H$7)</f>
        <v>-0.575942913779095</v>
      </c>
      <c r="I998" s="53" t="n">
        <f aca="false">SUM(B998:H998)</f>
        <v>-2.17012249494182</v>
      </c>
      <c r="J998" s="53" t="n">
        <f aca="true">NORMINV(RAND(),0,J$7)</f>
        <v>1.25407993911002</v>
      </c>
      <c r="K998" s="53" t="n">
        <f aca="true">NORMINV(RAND(),0,K$7)</f>
        <v>-0.681729306674367</v>
      </c>
      <c r="L998" s="53" t="n">
        <f aca="true">NORMINV(RAND(),0,L$7)</f>
        <v>0.0201716225959011</v>
      </c>
      <c r="M998" s="53" t="n">
        <f aca="true">NORMINV(RAND(),0,M$7)</f>
        <v>-0.119388636754005</v>
      </c>
      <c r="N998" s="53" t="n">
        <f aca="true">NORMINV(RAND(),0,N$7)</f>
        <v>0.593018369396649</v>
      </c>
      <c r="O998" s="53" t="n">
        <f aca="false">SUM(J998:N998)</f>
        <v>1.06615198767419</v>
      </c>
    </row>
    <row r="999" customFormat="false" ht="15" hidden="false" customHeight="false" outlineLevel="0" collapsed="false">
      <c r="A999" s="2" t="n">
        <v>991</v>
      </c>
      <c r="B999" s="53" t="n">
        <f aca="true">NORMINV(RAND(),0,B$7)</f>
        <v>2.51001364458033</v>
      </c>
      <c r="C999" s="53" t="n">
        <f aca="true">NORMINV(RAND(),0,C$7)</f>
        <v>0.114054877883134</v>
      </c>
      <c r="D999" s="53" t="n">
        <f aca="true">NORMINV(RAND(),0,D$7)</f>
        <v>1.84026036290106</v>
      </c>
      <c r="E999" s="53" t="n">
        <f aca="true">NORMINV(RAND(),0,E$7)</f>
        <v>-0.307817146388314</v>
      </c>
      <c r="F999" s="53" t="n">
        <f aca="true">NORMINV(RAND(),0,F$7)</f>
        <v>0.356727814077409</v>
      </c>
      <c r="G999" s="53" t="n">
        <f aca="true">NORMINV(RAND(),0,G$7)</f>
        <v>0.684984905278288</v>
      </c>
      <c r="H999" s="53" t="n">
        <f aca="true">NORMINV(RAND(),0,H$7)</f>
        <v>-0.591654507520749</v>
      </c>
      <c r="I999" s="53" t="n">
        <f aca="false">SUM(B999:H999)</f>
        <v>4.60656995081116</v>
      </c>
      <c r="J999" s="53" t="n">
        <f aca="true">NORMINV(RAND(),0,J$7)</f>
        <v>-1.73948784330654</v>
      </c>
      <c r="K999" s="53" t="n">
        <f aca="true">NORMINV(RAND(),0,K$7)</f>
        <v>0.683294404988292</v>
      </c>
      <c r="L999" s="53" t="n">
        <f aca="true">NORMINV(RAND(),0,L$7)</f>
        <v>-0.529955530411681</v>
      </c>
      <c r="M999" s="53" t="n">
        <f aca="true">NORMINV(RAND(),0,M$7)</f>
        <v>-0.0907946096797471</v>
      </c>
      <c r="N999" s="53" t="n">
        <f aca="true">NORMINV(RAND(),0,N$7)</f>
        <v>-0.0699216390081116</v>
      </c>
      <c r="O999" s="53" t="n">
        <f aca="false">SUM(J999:N999)</f>
        <v>-1.74686521741779</v>
      </c>
    </row>
    <row r="1000" customFormat="false" ht="15" hidden="false" customHeight="false" outlineLevel="0" collapsed="false">
      <c r="A1000" s="2" t="n">
        <v>992</v>
      </c>
      <c r="B1000" s="53" t="n">
        <f aca="true">NORMINV(RAND(),0,B$7)</f>
        <v>0.711961690110791</v>
      </c>
      <c r="C1000" s="53" t="n">
        <f aca="true">NORMINV(RAND(),0,C$7)</f>
        <v>-2.17710495089748</v>
      </c>
      <c r="D1000" s="53" t="n">
        <f aca="true">NORMINV(RAND(),0,D$7)</f>
        <v>-1.11873965926396</v>
      </c>
      <c r="E1000" s="53" t="n">
        <f aca="true">NORMINV(RAND(),0,E$7)</f>
        <v>-0.642079484043507</v>
      </c>
      <c r="F1000" s="53" t="n">
        <f aca="true">NORMINV(RAND(),0,F$7)</f>
        <v>-0.0128224633490328</v>
      </c>
      <c r="G1000" s="53" t="n">
        <f aca="true">NORMINV(RAND(),0,G$7)</f>
        <v>-1.74393233592813</v>
      </c>
      <c r="H1000" s="53" t="n">
        <f aca="true">NORMINV(RAND(),0,H$7)</f>
        <v>-0.365659217839678</v>
      </c>
      <c r="I1000" s="53" t="n">
        <f aca="false">SUM(B1000:H1000)</f>
        <v>-5.34837642121099</v>
      </c>
      <c r="J1000" s="53" t="n">
        <f aca="true">NORMINV(RAND(),0,J$7)</f>
        <v>1.57860960146889</v>
      </c>
      <c r="K1000" s="53" t="n">
        <f aca="true">NORMINV(RAND(),0,K$7)</f>
        <v>0.11714195289885</v>
      </c>
      <c r="L1000" s="53" t="n">
        <f aca="true">NORMINV(RAND(),0,L$7)</f>
        <v>-0.102392801055343</v>
      </c>
      <c r="M1000" s="53" t="n">
        <f aca="true">NORMINV(RAND(),0,M$7)</f>
        <v>-0.28424885929556</v>
      </c>
      <c r="N1000" s="53" t="n">
        <f aca="true">NORMINV(RAND(),0,N$7)</f>
        <v>0.161840783720019</v>
      </c>
      <c r="O1000" s="53" t="n">
        <f aca="false">SUM(J1000:N1000)</f>
        <v>1.47095067773686</v>
      </c>
    </row>
    <row r="1001" customFormat="false" ht="15" hidden="false" customHeight="false" outlineLevel="0" collapsed="false">
      <c r="A1001" s="2" t="n">
        <v>993</v>
      </c>
      <c r="B1001" s="53" t="n">
        <f aca="true">NORMINV(RAND(),0,B$7)</f>
        <v>-1.69196826234745</v>
      </c>
      <c r="C1001" s="53" t="n">
        <f aca="true">NORMINV(RAND(),0,C$7)</f>
        <v>-1.43588365479113</v>
      </c>
      <c r="D1001" s="53" t="n">
        <f aca="true">NORMINV(RAND(),0,D$7)</f>
        <v>-1.05245953993062</v>
      </c>
      <c r="E1001" s="53" t="n">
        <f aca="true">NORMINV(RAND(),0,E$7)</f>
        <v>0.245889149169599</v>
      </c>
      <c r="F1001" s="53" t="n">
        <f aca="true">NORMINV(RAND(),0,F$7)</f>
        <v>-0.0865502204671299</v>
      </c>
      <c r="G1001" s="53" t="n">
        <f aca="true">NORMINV(RAND(),0,G$7)</f>
        <v>1.97536862379227</v>
      </c>
      <c r="H1001" s="53" t="n">
        <f aca="true">NORMINV(RAND(),0,H$7)</f>
        <v>-0.061445036674575</v>
      </c>
      <c r="I1001" s="53" t="n">
        <f aca="false">SUM(B1001:H1001)</f>
        <v>-2.10704894124904</v>
      </c>
      <c r="J1001" s="53" t="n">
        <f aca="true">NORMINV(RAND(),0,J$7)</f>
        <v>-1.35499987393255</v>
      </c>
      <c r="K1001" s="53" t="n">
        <f aca="true">NORMINV(RAND(),0,K$7)</f>
        <v>-0.901296452127584</v>
      </c>
      <c r="L1001" s="53" t="n">
        <f aca="true">NORMINV(RAND(),0,L$7)</f>
        <v>-0.0369667437605379</v>
      </c>
      <c r="M1001" s="53" t="n">
        <f aca="true">NORMINV(RAND(),0,M$7)</f>
        <v>0.122484406738132</v>
      </c>
      <c r="N1001" s="53" t="n">
        <f aca="true">NORMINV(RAND(),0,N$7)</f>
        <v>0.770854189216686</v>
      </c>
      <c r="O1001" s="53" t="n">
        <f aca="false">SUM(J1001:N1001)</f>
        <v>-1.39992447386585</v>
      </c>
    </row>
    <row r="1002" customFormat="false" ht="15" hidden="false" customHeight="false" outlineLevel="0" collapsed="false">
      <c r="A1002" s="2" t="n">
        <v>994</v>
      </c>
      <c r="B1002" s="53" t="n">
        <f aca="true">NORMINV(RAND(),0,B$7)</f>
        <v>0.864284650258666</v>
      </c>
      <c r="C1002" s="53" t="n">
        <f aca="true">NORMINV(RAND(),0,C$7)</f>
        <v>2.72507163869473</v>
      </c>
      <c r="D1002" s="53" t="n">
        <f aca="true">NORMINV(RAND(),0,D$7)</f>
        <v>-1.42345320905335</v>
      </c>
      <c r="E1002" s="53" t="n">
        <f aca="true">NORMINV(RAND(),0,E$7)</f>
        <v>0.449559843073727</v>
      </c>
      <c r="F1002" s="53" t="n">
        <f aca="true">NORMINV(RAND(),0,F$7)</f>
        <v>0.175476808431024</v>
      </c>
      <c r="G1002" s="53" t="n">
        <f aca="true">NORMINV(RAND(),0,G$7)</f>
        <v>-1.30881683283208</v>
      </c>
      <c r="H1002" s="53" t="n">
        <f aca="true">NORMINV(RAND(),0,H$7)</f>
        <v>-0.235753922829707</v>
      </c>
      <c r="I1002" s="53" t="n">
        <f aca="false">SUM(B1002:H1002)</f>
        <v>1.24636897574301</v>
      </c>
      <c r="J1002" s="53" t="n">
        <f aca="true">NORMINV(RAND(),0,J$7)</f>
        <v>2.02415910948782</v>
      </c>
      <c r="K1002" s="53" t="n">
        <f aca="true">NORMINV(RAND(),0,K$7)</f>
        <v>-0.536176970142254</v>
      </c>
      <c r="L1002" s="53" t="n">
        <f aca="true">NORMINV(RAND(),0,L$7)</f>
        <v>0.0996632736464637</v>
      </c>
      <c r="M1002" s="53" t="n">
        <f aca="true">NORMINV(RAND(),0,M$7)</f>
        <v>0.0217379997761117</v>
      </c>
      <c r="N1002" s="53" t="n">
        <f aca="true">NORMINV(RAND(),0,N$7)</f>
        <v>0.0841056741176659</v>
      </c>
      <c r="O1002" s="53" t="n">
        <f aca="false">SUM(J1002:N1002)</f>
        <v>1.69348908688581</v>
      </c>
    </row>
    <row r="1003" customFormat="false" ht="15" hidden="false" customHeight="false" outlineLevel="0" collapsed="false">
      <c r="A1003" s="2" t="n">
        <v>995</v>
      </c>
      <c r="B1003" s="53" t="n">
        <f aca="true">NORMINV(RAND(),0,B$7)</f>
        <v>0.0244338701069812</v>
      </c>
      <c r="C1003" s="53" t="n">
        <f aca="true">NORMINV(RAND(),0,C$7)</f>
        <v>0.238760276053706</v>
      </c>
      <c r="D1003" s="53" t="n">
        <f aca="true">NORMINV(RAND(),0,D$7)</f>
        <v>4.02496513375457</v>
      </c>
      <c r="E1003" s="53" t="n">
        <f aca="true">NORMINV(RAND(),0,E$7)</f>
        <v>-0.686211263017791</v>
      </c>
      <c r="F1003" s="53" t="n">
        <f aca="true">NORMINV(RAND(),0,F$7)</f>
        <v>-0.468923266039802</v>
      </c>
      <c r="G1003" s="53" t="n">
        <f aca="true">NORMINV(RAND(),0,G$7)</f>
        <v>-0.562642381479367</v>
      </c>
      <c r="H1003" s="53" t="n">
        <f aca="true">NORMINV(RAND(),0,H$7)</f>
        <v>-0.576855557621885</v>
      </c>
      <c r="I1003" s="53" t="n">
        <f aca="false">SUM(B1003:H1003)</f>
        <v>1.99352681175641</v>
      </c>
      <c r="J1003" s="53" t="n">
        <f aca="true">NORMINV(RAND(),0,J$7)</f>
        <v>1.36123192662794</v>
      </c>
      <c r="K1003" s="53" t="n">
        <f aca="true">NORMINV(RAND(),0,K$7)</f>
        <v>0.857714021772314</v>
      </c>
      <c r="L1003" s="53" t="n">
        <f aca="true">NORMINV(RAND(),0,L$7)</f>
        <v>0.122345243810538</v>
      </c>
      <c r="M1003" s="53" t="n">
        <f aca="true">NORMINV(RAND(),0,M$7)</f>
        <v>-0.142274938780766</v>
      </c>
      <c r="N1003" s="53" t="n">
        <f aca="true">NORMINV(RAND(),0,N$7)</f>
        <v>-0.0200890643527164</v>
      </c>
      <c r="O1003" s="53" t="n">
        <f aca="false">SUM(J1003:N1003)</f>
        <v>2.17892718907731</v>
      </c>
    </row>
    <row r="1004" customFormat="false" ht="15" hidden="false" customHeight="false" outlineLevel="0" collapsed="false">
      <c r="A1004" s="2" t="n">
        <v>996</v>
      </c>
      <c r="B1004" s="53" t="n">
        <f aca="true">NORMINV(RAND(),0,B$7)</f>
        <v>-1.389188151706</v>
      </c>
      <c r="C1004" s="53" t="n">
        <f aca="true">NORMINV(RAND(),0,C$7)</f>
        <v>-0.53936107032087</v>
      </c>
      <c r="D1004" s="53" t="n">
        <f aca="true">NORMINV(RAND(),0,D$7)</f>
        <v>2.84138636640607</v>
      </c>
      <c r="E1004" s="53" t="n">
        <f aca="true">NORMINV(RAND(),0,E$7)</f>
        <v>-0.524787973831821</v>
      </c>
      <c r="F1004" s="53" t="n">
        <f aca="true">NORMINV(RAND(),0,F$7)</f>
        <v>-0.578071421510376</v>
      </c>
      <c r="G1004" s="53" t="n">
        <f aca="true">NORMINV(RAND(),0,G$7)</f>
        <v>1.33029849038169</v>
      </c>
      <c r="H1004" s="53" t="n">
        <f aca="true">NORMINV(RAND(),0,H$7)</f>
        <v>0.631919528636531</v>
      </c>
      <c r="I1004" s="53" t="n">
        <f aca="false">SUM(B1004:H1004)</f>
        <v>1.77219576805523</v>
      </c>
      <c r="J1004" s="53" t="n">
        <f aca="true">NORMINV(RAND(),0,J$7)</f>
        <v>-3.03454453942395</v>
      </c>
      <c r="K1004" s="53" t="n">
        <f aca="true">NORMINV(RAND(),0,K$7)</f>
        <v>-0.295563798078574</v>
      </c>
      <c r="L1004" s="53" t="n">
        <f aca="true">NORMINV(RAND(),0,L$7)</f>
        <v>0.274347105158567</v>
      </c>
      <c r="M1004" s="53" t="n">
        <f aca="true">NORMINV(RAND(),0,M$7)</f>
        <v>-0.243361727196412</v>
      </c>
      <c r="N1004" s="53" t="n">
        <f aca="true">NORMINV(RAND(),0,N$7)</f>
        <v>0.598051859358989</v>
      </c>
      <c r="O1004" s="53" t="n">
        <f aca="false">SUM(J1004:N1004)</f>
        <v>-2.70107110018138</v>
      </c>
    </row>
    <row r="1005" customFormat="false" ht="15" hidden="false" customHeight="false" outlineLevel="0" collapsed="false">
      <c r="A1005" s="2" t="n">
        <v>997</v>
      </c>
      <c r="B1005" s="53" t="n">
        <f aca="true">NORMINV(RAND(),0,B$7)</f>
        <v>0.355892513085649</v>
      </c>
      <c r="C1005" s="53" t="n">
        <f aca="true">NORMINV(RAND(),0,C$7)</f>
        <v>-0.114876998537588</v>
      </c>
      <c r="D1005" s="53" t="n">
        <f aca="true">NORMINV(RAND(),0,D$7)</f>
        <v>0.749700505197771</v>
      </c>
      <c r="E1005" s="53" t="n">
        <f aca="true">NORMINV(RAND(),0,E$7)</f>
        <v>-0.248124091387564</v>
      </c>
      <c r="F1005" s="53" t="n">
        <f aca="true">NORMINV(RAND(),0,F$7)</f>
        <v>-0.0990093107759871</v>
      </c>
      <c r="G1005" s="53" t="n">
        <f aca="true">NORMINV(RAND(),0,G$7)</f>
        <v>-1.63883593446038</v>
      </c>
      <c r="H1005" s="53" t="n">
        <f aca="true">NORMINV(RAND(),0,H$7)</f>
        <v>0.60717643069537</v>
      </c>
      <c r="I1005" s="53" t="n">
        <f aca="false">SUM(B1005:H1005)</f>
        <v>-0.388076886182734</v>
      </c>
      <c r="J1005" s="53" t="n">
        <f aca="true">NORMINV(RAND(),0,J$7)</f>
        <v>-0.631705947149376</v>
      </c>
      <c r="K1005" s="53" t="n">
        <f aca="true">NORMINV(RAND(),0,K$7)</f>
        <v>-1.07657238498004</v>
      </c>
      <c r="L1005" s="53" t="n">
        <f aca="true">NORMINV(RAND(),0,L$7)</f>
        <v>0.13930477350562</v>
      </c>
      <c r="M1005" s="53" t="n">
        <f aca="true">NORMINV(RAND(),0,M$7)</f>
        <v>0.0165915161796476</v>
      </c>
      <c r="N1005" s="53" t="n">
        <f aca="true">NORMINV(RAND(),0,N$7)</f>
        <v>-0.129704703019335</v>
      </c>
      <c r="O1005" s="53" t="n">
        <f aca="false">SUM(J1005:N1005)</f>
        <v>-1.68208674546349</v>
      </c>
    </row>
    <row r="1006" customFormat="false" ht="15" hidden="false" customHeight="false" outlineLevel="0" collapsed="false">
      <c r="A1006" s="2" t="n">
        <v>998</v>
      </c>
      <c r="B1006" s="53" t="n">
        <f aca="true">NORMINV(RAND(),0,B$7)</f>
        <v>-1.23127708668466</v>
      </c>
      <c r="C1006" s="53" t="n">
        <f aca="true">NORMINV(RAND(),0,C$7)</f>
        <v>-0.763507269741714</v>
      </c>
      <c r="D1006" s="53" t="n">
        <f aca="true">NORMINV(RAND(),0,D$7)</f>
        <v>-2.38444779722932</v>
      </c>
      <c r="E1006" s="53" t="n">
        <f aca="true">NORMINV(RAND(),0,E$7)</f>
        <v>0.0241142662299608</v>
      </c>
      <c r="F1006" s="53" t="n">
        <f aca="true">NORMINV(RAND(),0,F$7)</f>
        <v>0.389983468317568</v>
      </c>
      <c r="G1006" s="53" t="n">
        <f aca="true">NORMINV(RAND(),0,G$7)</f>
        <v>-1.57512826215915</v>
      </c>
      <c r="H1006" s="53" t="n">
        <f aca="true">NORMINV(RAND(),0,H$7)</f>
        <v>-0.135381376057542</v>
      </c>
      <c r="I1006" s="53" t="n">
        <f aca="false">SUM(B1006:H1006)</f>
        <v>-5.67564405732486</v>
      </c>
      <c r="J1006" s="53" t="n">
        <f aca="true">NORMINV(RAND(),0,J$7)</f>
        <v>0.22917180718174</v>
      </c>
      <c r="K1006" s="53" t="n">
        <f aca="true">NORMINV(RAND(),0,K$7)</f>
        <v>-0.0871954307087603</v>
      </c>
      <c r="L1006" s="53" t="n">
        <f aca="true">NORMINV(RAND(),0,L$7)</f>
        <v>-0.783683352369616</v>
      </c>
      <c r="M1006" s="53" t="n">
        <f aca="true">NORMINV(RAND(),0,M$7)</f>
        <v>-0.135426191866626</v>
      </c>
      <c r="N1006" s="53" t="n">
        <f aca="true">NORMINV(RAND(),0,N$7)</f>
        <v>0.183972616741736</v>
      </c>
      <c r="O1006" s="53" t="n">
        <f aca="false">SUM(J1006:N1006)</f>
        <v>-0.593160551021525</v>
      </c>
    </row>
    <row r="1007" customFormat="false" ht="15" hidden="false" customHeight="false" outlineLevel="0" collapsed="false">
      <c r="A1007" s="2" t="n">
        <v>999</v>
      </c>
      <c r="B1007" s="53" t="n">
        <f aca="true">NORMINV(RAND(),0,B$7)</f>
        <v>-1.47010778519144</v>
      </c>
      <c r="C1007" s="53" t="n">
        <f aca="true">NORMINV(RAND(),0,C$7)</f>
        <v>-0.943021861147531</v>
      </c>
      <c r="D1007" s="53" t="n">
        <f aca="true">NORMINV(RAND(),0,D$7)</f>
        <v>-3.27479648445778</v>
      </c>
      <c r="E1007" s="53" t="n">
        <f aca="true">NORMINV(RAND(),0,E$7)</f>
        <v>0.147489785066173</v>
      </c>
      <c r="F1007" s="53" t="n">
        <f aca="true">NORMINV(RAND(),0,F$7)</f>
        <v>0.474296820887489</v>
      </c>
      <c r="G1007" s="53" t="n">
        <f aca="true">NORMINV(RAND(),0,G$7)</f>
        <v>-1.31624084674579</v>
      </c>
      <c r="H1007" s="53" t="n">
        <f aca="true">NORMINV(RAND(),0,H$7)</f>
        <v>-0.330988688654002</v>
      </c>
      <c r="I1007" s="53" t="n">
        <f aca="false">SUM(B1007:H1007)</f>
        <v>-6.71336906024288</v>
      </c>
      <c r="J1007" s="53" t="n">
        <f aca="true">NORMINV(RAND(),0,J$7)</f>
        <v>-4.34394429573838</v>
      </c>
      <c r="K1007" s="53" t="n">
        <f aca="true">NORMINV(RAND(),0,K$7)</f>
        <v>0.153460817017265</v>
      </c>
      <c r="L1007" s="53" t="n">
        <f aca="true">NORMINV(RAND(),0,L$7)</f>
        <v>-0.461640118292159</v>
      </c>
      <c r="M1007" s="53" t="n">
        <f aca="true">NORMINV(RAND(),0,M$7)</f>
        <v>-0.0407099011991932</v>
      </c>
      <c r="N1007" s="53" t="n">
        <f aca="true">NORMINV(RAND(),0,N$7)</f>
        <v>-0.0981482989838842</v>
      </c>
      <c r="O1007" s="53" t="n">
        <f aca="false">SUM(J1007:N1007)</f>
        <v>-4.79098179719635</v>
      </c>
    </row>
    <row r="1008" customFormat="false" ht="15" hidden="false" customHeight="false" outlineLevel="0" collapsed="false">
      <c r="A1008" s="2" t="n">
        <v>1000</v>
      </c>
      <c r="B1008" s="53" t="n">
        <f aca="true">NORMINV(RAND(),0,B$7)</f>
        <v>0.137311369297897</v>
      </c>
      <c r="C1008" s="53" t="n">
        <f aca="true">NORMINV(RAND(),0,C$7)</f>
        <v>1.7118553460578</v>
      </c>
      <c r="D1008" s="53" t="n">
        <f aca="true">NORMINV(RAND(),0,D$7)</f>
        <v>1.11688019924274</v>
      </c>
      <c r="E1008" s="53" t="n">
        <f aca="true">NORMINV(RAND(),0,E$7)</f>
        <v>0.562299260277488</v>
      </c>
      <c r="F1008" s="53" t="n">
        <f aca="true">NORMINV(RAND(),0,F$7)</f>
        <v>0.0834833278515626</v>
      </c>
      <c r="G1008" s="53" t="n">
        <f aca="true">NORMINV(RAND(),0,G$7)</f>
        <v>-1.70363707366278</v>
      </c>
      <c r="H1008" s="53" t="n">
        <f aca="true">NORMINV(RAND(),0,H$7)</f>
        <v>0.760750631064464</v>
      </c>
      <c r="I1008" s="53" t="n">
        <f aca="false">SUM(B1008:H1008)</f>
        <v>2.66894306012916</v>
      </c>
      <c r="J1008" s="53" t="n">
        <f aca="true">NORMINV(RAND(),0,J$7)</f>
        <v>-3.40581101423393</v>
      </c>
      <c r="K1008" s="53" t="n">
        <f aca="true">NORMINV(RAND(),0,K$7)</f>
        <v>0.383965268818571</v>
      </c>
      <c r="L1008" s="53" t="n">
        <f aca="true">NORMINV(RAND(),0,L$7)</f>
        <v>0.123971230646545</v>
      </c>
      <c r="M1008" s="53" t="n">
        <f aca="true">NORMINV(RAND(),0,M$7)</f>
        <v>0.151371567063764</v>
      </c>
      <c r="N1008" s="53" t="n">
        <f aca="true">NORMINV(RAND(),0,N$7)</f>
        <v>0.324598406743397</v>
      </c>
      <c r="O1008" s="53" t="n">
        <f aca="false">SUM(J1008:N1008)</f>
        <v>-2.42190454096165</v>
      </c>
    </row>
    <row r="1009" customFormat="false" ht="15" hidden="false" customHeight="false" outlineLevel="0" collapsed="false">
      <c r="A1009" s="2" t="n">
        <v>1001</v>
      </c>
      <c r="B1009" s="53" t="n">
        <f aca="true">NORMINV(RAND(),0,B$7)</f>
        <v>5.62183830669505</v>
      </c>
      <c r="C1009" s="53" t="n">
        <f aca="true">NORMINV(RAND(),0,C$7)</f>
        <v>-0.176918309037195</v>
      </c>
      <c r="D1009" s="53" t="n">
        <f aca="true">NORMINV(RAND(),0,D$7)</f>
        <v>-1.24395612479633</v>
      </c>
      <c r="E1009" s="53" t="n">
        <f aca="true">NORMINV(RAND(),0,E$7)</f>
        <v>0.232463220493621</v>
      </c>
      <c r="F1009" s="53" t="n">
        <f aca="true">NORMINV(RAND(),0,F$7)</f>
        <v>0.0238198093466599</v>
      </c>
      <c r="G1009" s="53" t="n">
        <f aca="true">NORMINV(RAND(),0,G$7)</f>
        <v>-1.99657313255678</v>
      </c>
      <c r="H1009" s="53" t="n">
        <f aca="true">NORMINV(RAND(),0,H$7)</f>
        <v>-0.687972721079766</v>
      </c>
      <c r="I1009" s="53" t="n">
        <f aca="false">SUM(B1009:H1009)</f>
        <v>1.77270104906525</v>
      </c>
      <c r="J1009" s="53" t="n">
        <f aca="true">NORMINV(RAND(),0,J$7)</f>
        <v>-1.58316483081702</v>
      </c>
      <c r="K1009" s="53" t="n">
        <f aca="true">NORMINV(RAND(),0,K$7)</f>
        <v>0.776829917367965</v>
      </c>
      <c r="L1009" s="53" t="n">
        <f aca="true">NORMINV(RAND(),0,L$7)</f>
        <v>-0.334880183002146</v>
      </c>
      <c r="M1009" s="53" t="n">
        <f aca="true">NORMINV(RAND(),0,M$7)</f>
        <v>-0.0667087087680886</v>
      </c>
      <c r="N1009" s="53" t="n">
        <f aca="true">NORMINV(RAND(),0,N$7)</f>
        <v>0.148231581224919</v>
      </c>
      <c r="O1009" s="53" t="n">
        <f aca="false">SUM(J1009:N1009)</f>
        <v>-1.05969222399437</v>
      </c>
    </row>
    <row r="1010" customFormat="false" ht="15" hidden="false" customHeight="false" outlineLevel="0" collapsed="false">
      <c r="A1010" s="2" t="n">
        <v>1002</v>
      </c>
      <c r="B1010" s="53" t="n">
        <f aca="true">NORMINV(RAND(),0,B$7)</f>
        <v>0.903120613972608</v>
      </c>
      <c r="C1010" s="53" t="n">
        <f aca="true">NORMINV(RAND(),0,C$7)</f>
        <v>-2.51860049849243</v>
      </c>
      <c r="D1010" s="53" t="n">
        <f aca="true">NORMINV(RAND(),0,D$7)</f>
        <v>0.122352764031159</v>
      </c>
      <c r="E1010" s="53" t="n">
        <f aca="true">NORMINV(RAND(),0,E$7)</f>
        <v>0.56047348866048</v>
      </c>
      <c r="F1010" s="53" t="n">
        <f aca="true">NORMINV(RAND(),0,F$7)</f>
        <v>-0.235697192901193</v>
      </c>
      <c r="G1010" s="53" t="n">
        <f aca="true">NORMINV(RAND(),0,G$7)</f>
        <v>-0.828465801630132</v>
      </c>
      <c r="H1010" s="53" t="n">
        <f aca="true">NORMINV(RAND(),0,H$7)</f>
        <v>0.732752541392483</v>
      </c>
      <c r="I1010" s="53" t="n">
        <f aca="false">SUM(B1010:H1010)</f>
        <v>-1.26406408496703</v>
      </c>
      <c r="J1010" s="53" t="n">
        <f aca="true">NORMINV(RAND(),0,J$7)</f>
        <v>-3.30738765462725</v>
      </c>
      <c r="K1010" s="53" t="n">
        <f aca="true">NORMINV(RAND(),0,K$7)</f>
        <v>1.01679776565116</v>
      </c>
      <c r="L1010" s="53" t="n">
        <f aca="true">NORMINV(RAND(),0,L$7)</f>
        <v>0.233056758852096</v>
      </c>
      <c r="M1010" s="53" t="n">
        <f aca="true">NORMINV(RAND(),0,M$7)</f>
        <v>-0.29361789838846</v>
      </c>
      <c r="N1010" s="53" t="n">
        <f aca="true">NORMINV(RAND(),0,N$7)</f>
        <v>0.565194414255084</v>
      </c>
      <c r="O1010" s="53" t="n">
        <f aca="false">SUM(J1010:N1010)</f>
        <v>-1.78595661425737</v>
      </c>
    </row>
    <row r="1011" customFormat="false" ht="15" hidden="false" customHeight="false" outlineLevel="0" collapsed="false">
      <c r="A1011" s="2" t="n">
        <v>1003</v>
      </c>
      <c r="B1011" s="53" t="n">
        <f aca="true">NORMINV(RAND(),0,B$7)</f>
        <v>-0.558690869850806</v>
      </c>
      <c r="C1011" s="53" t="n">
        <f aca="true">NORMINV(RAND(),0,C$7)</f>
        <v>-0.436965034616595</v>
      </c>
      <c r="D1011" s="53" t="n">
        <f aca="true">NORMINV(RAND(),0,D$7)</f>
        <v>-1.05274062781787</v>
      </c>
      <c r="E1011" s="53" t="n">
        <f aca="true">NORMINV(RAND(),0,E$7)</f>
        <v>0.213236805987665</v>
      </c>
      <c r="F1011" s="53" t="n">
        <f aca="true">NORMINV(RAND(),0,F$7)</f>
        <v>0.0591266798226232</v>
      </c>
      <c r="G1011" s="53" t="n">
        <f aca="true">NORMINV(RAND(),0,G$7)</f>
        <v>-2.00412303902482</v>
      </c>
      <c r="H1011" s="53" t="n">
        <f aca="true">NORMINV(RAND(),0,H$7)</f>
        <v>0.312837025204047</v>
      </c>
      <c r="I1011" s="53" t="n">
        <f aca="false">SUM(B1011:H1011)</f>
        <v>-3.46731906029575</v>
      </c>
      <c r="J1011" s="53" t="n">
        <f aca="true">NORMINV(RAND(),0,J$7)</f>
        <v>-1.56236337794559</v>
      </c>
      <c r="K1011" s="53" t="n">
        <f aca="true">NORMINV(RAND(),0,K$7)</f>
        <v>-0.28393372874644</v>
      </c>
      <c r="L1011" s="53" t="n">
        <f aca="true">NORMINV(RAND(),0,L$7)</f>
        <v>0.2367209803453</v>
      </c>
      <c r="M1011" s="53" t="n">
        <f aca="true">NORMINV(RAND(),0,M$7)</f>
        <v>0.333066077720021</v>
      </c>
      <c r="N1011" s="53" t="n">
        <f aca="true">NORMINV(RAND(),0,N$7)</f>
        <v>0.349782120403647</v>
      </c>
      <c r="O1011" s="53" t="n">
        <f aca="false">SUM(J1011:N1011)</f>
        <v>-0.926727928223061</v>
      </c>
    </row>
    <row r="1012" customFormat="false" ht="15" hidden="false" customHeight="false" outlineLevel="0" collapsed="false">
      <c r="A1012" s="2" t="n">
        <v>1004</v>
      </c>
      <c r="B1012" s="53" t="n">
        <f aca="true">NORMINV(RAND(),0,B$7)</f>
        <v>0.639934600448156</v>
      </c>
      <c r="C1012" s="53" t="n">
        <f aca="true">NORMINV(RAND(),0,C$7)</f>
        <v>-1.59764168690783</v>
      </c>
      <c r="D1012" s="53" t="n">
        <f aca="true">NORMINV(RAND(),0,D$7)</f>
        <v>1.66929965489183</v>
      </c>
      <c r="E1012" s="53" t="n">
        <f aca="true">NORMINV(RAND(),0,E$7)</f>
        <v>0.121553733014165</v>
      </c>
      <c r="F1012" s="53" t="n">
        <f aca="true">NORMINV(RAND(),0,F$7)</f>
        <v>0.273025593140264</v>
      </c>
      <c r="G1012" s="53" t="n">
        <f aca="true">NORMINV(RAND(),0,G$7)</f>
        <v>-0.551494128398717</v>
      </c>
      <c r="H1012" s="53" t="n">
        <f aca="true">NORMINV(RAND(),0,H$7)</f>
        <v>0.0220309804392652</v>
      </c>
      <c r="I1012" s="53" t="n">
        <f aca="false">SUM(B1012:H1012)</f>
        <v>0.576708746627139</v>
      </c>
      <c r="J1012" s="53" t="n">
        <f aca="true">NORMINV(RAND(),0,J$7)</f>
        <v>-3.33839135032563</v>
      </c>
      <c r="K1012" s="53" t="n">
        <f aca="true">NORMINV(RAND(),0,K$7)</f>
        <v>-0.143787735427495</v>
      </c>
      <c r="L1012" s="53" t="n">
        <f aca="true">NORMINV(RAND(),0,L$7)</f>
        <v>-0.0315383499223408</v>
      </c>
      <c r="M1012" s="53" t="n">
        <f aca="true">NORMINV(RAND(),0,M$7)</f>
        <v>0.232586562738025</v>
      </c>
      <c r="N1012" s="53" t="n">
        <f aca="true">NORMINV(RAND(),0,N$7)</f>
        <v>0.207513579405799</v>
      </c>
      <c r="O1012" s="53" t="n">
        <f aca="false">SUM(J1012:N1012)</f>
        <v>-3.07361729353164</v>
      </c>
    </row>
    <row r="1013" customFormat="false" ht="15" hidden="false" customHeight="false" outlineLevel="0" collapsed="false">
      <c r="A1013" s="2" t="n">
        <v>1005</v>
      </c>
      <c r="B1013" s="53" t="n">
        <f aca="true">NORMINV(RAND(),0,B$7)</f>
        <v>-1.86643949952864</v>
      </c>
      <c r="C1013" s="53" t="n">
        <f aca="true">NORMINV(RAND(),0,C$7)</f>
        <v>-0.450322238146681</v>
      </c>
      <c r="D1013" s="53" t="n">
        <f aca="true">NORMINV(RAND(),0,D$7)</f>
        <v>-0.776121829294581</v>
      </c>
      <c r="E1013" s="53" t="n">
        <f aca="true">NORMINV(RAND(),0,E$7)</f>
        <v>0.328848936077591</v>
      </c>
      <c r="F1013" s="53" t="n">
        <f aca="true">NORMINV(RAND(),0,F$7)</f>
        <v>-0.0309157900968635</v>
      </c>
      <c r="G1013" s="53" t="n">
        <f aca="true">NORMINV(RAND(),0,G$7)</f>
        <v>-1.21799529044943</v>
      </c>
      <c r="H1013" s="53" t="n">
        <f aca="true">NORMINV(RAND(),0,H$7)</f>
        <v>-0.869280570657482</v>
      </c>
      <c r="I1013" s="53" t="n">
        <f aca="false">SUM(B1013:H1013)</f>
        <v>-4.88222628209608</v>
      </c>
      <c r="J1013" s="53" t="n">
        <f aca="true">NORMINV(RAND(),0,J$7)</f>
        <v>-0.155352009199791</v>
      </c>
      <c r="K1013" s="53" t="n">
        <f aca="true">NORMINV(RAND(),0,K$7)</f>
        <v>-0.262825359864509</v>
      </c>
      <c r="L1013" s="53" t="n">
        <f aca="true">NORMINV(RAND(),0,L$7)</f>
        <v>0.0903743047808621</v>
      </c>
      <c r="M1013" s="53" t="n">
        <f aca="true">NORMINV(RAND(),0,M$7)</f>
        <v>-0.570456909901457</v>
      </c>
      <c r="N1013" s="53" t="n">
        <f aca="true">NORMINV(RAND(),0,N$7)</f>
        <v>0.792461916146992</v>
      </c>
      <c r="O1013" s="53" t="n">
        <f aca="false">SUM(J1013:N1013)</f>
        <v>-0.105798058037904</v>
      </c>
    </row>
    <row r="1014" customFormat="false" ht="15" hidden="false" customHeight="false" outlineLevel="0" collapsed="false">
      <c r="A1014" s="2" t="n">
        <v>1006</v>
      </c>
      <c r="B1014" s="53" t="n">
        <f aca="true">NORMINV(RAND(),0,B$7)</f>
        <v>0.227604382191996</v>
      </c>
      <c r="C1014" s="53" t="n">
        <f aca="true">NORMINV(RAND(),0,C$7)</f>
        <v>2.12795959470315</v>
      </c>
      <c r="D1014" s="53" t="n">
        <f aca="true">NORMINV(RAND(),0,D$7)</f>
        <v>-1.13060785382208</v>
      </c>
      <c r="E1014" s="53" t="n">
        <f aca="true">NORMINV(RAND(),0,E$7)</f>
        <v>0.155296635933595</v>
      </c>
      <c r="F1014" s="53" t="n">
        <f aca="true">NORMINV(RAND(),0,F$7)</f>
        <v>-0.186303951201257</v>
      </c>
      <c r="G1014" s="53" t="n">
        <f aca="true">NORMINV(RAND(),0,G$7)</f>
        <v>-1.75941756190937</v>
      </c>
      <c r="H1014" s="53" t="n">
        <f aca="true">NORMINV(RAND(),0,H$7)</f>
        <v>-0.287827824205463</v>
      </c>
      <c r="I1014" s="53" t="n">
        <f aca="false">SUM(B1014:H1014)</f>
        <v>-0.853296578309433</v>
      </c>
      <c r="J1014" s="53" t="n">
        <f aca="true">NORMINV(RAND(),0,J$7)</f>
        <v>1.24431175976195</v>
      </c>
      <c r="K1014" s="53" t="n">
        <f aca="true">NORMINV(RAND(),0,K$7)</f>
        <v>-0.00142974741664758</v>
      </c>
      <c r="L1014" s="53" t="n">
        <f aca="true">NORMINV(RAND(),0,L$7)</f>
        <v>-0.0447883209780767</v>
      </c>
      <c r="M1014" s="53" t="n">
        <f aca="true">NORMINV(RAND(),0,M$7)</f>
        <v>0.131758131389086</v>
      </c>
      <c r="N1014" s="53" t="n">
        <f aca="true">NORMINV(RAND(),0,N$7)</f>
        <v>-0.243476144309344</v>
      </c>
      <c r="O1014" s="53" t="n">
        <f aca="false">SUM(J1014:N1014)</f>
        <v>1.08637567844697</v>
      </c>
    </row>
    <row r="1015" customFormat="false" ht="15" hidden="false" customHeight="false" outlineLevel="0" collapsed="false">
      <c r="A1015" s="2" t="n">
        <v>1007</v>
      </c>
      <c r="B1015" s="53" t="n">
        <f aca="true">NORMINV(RAND(),0,B$7)</f>
        <v>0.983358177874907</v>
      </c>
      <c r="C1015" s="53" t="n">
        <f aca="true">NORMINV(RAND(),0,C$7)</f>
        <v>1.92222479518939</v>
      </c>
      <c r="D1015" s="53" t="n">
        <f aca="true">NORMINV(RAND(),0,D$7)</f>
        <v>-1.336162764734</v>
      </c>
      <c r="E1015" s="53" t="n">
        <f aca="true">NORMINV(RAND(),0,E$7)</f>
        <v>0.226664426184728</v>
      </c>
      <c r="F1015" s="53" t="n">
        <f aca="true">NORMINV(RAND(),0,F$7)</f>
        <v>0.690782869667238</v>
      </c>
      <c r="G1015" s="53" t="n">
        <f aca="true">NORMINV(RAND(),0,G$7)</f>
        <v>-0.813638267625306</v>
      </c>
      <c r="H1015" s="53" t="n">
        <f aca="true">NORMINV(RAND(),0,H$7)</f>
        <v>0.287802513616979</v>
      </c>
      <c r="I1015" s="53" t="n">
        <f aca="false">SUM(B1015:H1015)</f>
        <v>1.96103175017394</v>
      </c>
      <c r="J1015" s="53" t="n">
        <f aca="true">NORMINV(RAND(),0,J$7)</f>
        <v>0.374172824951614</v>
      </c>
      <c r="K1015" s="53" t="n">
        <f aca="true">NORMINV(RAND(),0,K$7)</f>
        <v>0.784214177666054</v>
      </c>
      <c r="L1015" s="53" t="n">
        <f aca="true">NORMINV(RAND(),0,L$7)</f>
        <v>-0.546290664792589</v>
      </c>
      <c r="M1015" s="53" t="n">
        <f aca="true">NORMINV(RAND(),0,M$7)</f>
        <v>0.298479432812131</v>
      </c>
      <c r="N1015" s="53" t="n">
        <f aca="true">NORMINV(RAND(),0,N$7)</f>
        <v>0.141849990276044</v>
      </c>
      <c r="O1015" s="53" t="n">
        <f aca="false">SUM(J1015:N1015)</f>
        <v>1.05242576091325</v>
      </c>
    </row>
    <row r="1016" customFormat="false" ht="15" hidden="false" customHeight="false" outlineLevel="0" collapsed="false">
      <c r="A1016" s="2" t="n">
        <v>1008</v>
      </c>
      <c r="B1016" s="53" t="n">
        <f aca="true">NORMINV(RAND(),0,B$7)</f>
        <v>-1.3998674658937</v>
      </c>
      <c r="C1016" s="53" t="n">
        <f aca="true">NORMINV(RAND(),0,C$7)</f>
        <v>-2.56258194769048</v>
      </c>
      <c r="D1016" s="53" t="n">
        <f aca="true">NORMINV(RAND(),0,D$7)</f>
        <v>-0.665562001534874</v>
      </c>
      <c r="E1016" s="53" t="n">
        <f aca="true">NORMINV(RAND(),0,E$7)</f>
        <v>0.0396040518847291</v>
      </c>
      <c r="F1016" s="53" t="n">
        <f aca="true">NORMINV(RAND(),0,F$7)</f>
        <v>0.0268305722175705</v>
      </c>
      <c r="G1016" s="53" t="n">
        <f aca="true">NORMINV(RAND(),0,G$7)</f>
        <v>-0.552487440263821</v>
      </c>
      <c r="H1016" s="53" t="n">
        <f aca="true">NORMINV(RAND(),0,H$7)</f>
        <v>-0.69679062397195</v>
      </c>
      <c r="I1016" s="53" t="n">
        <f aca="false">SUM(B1016:H1016)</f>
        <v>-5.81085485525252</v>
      </c>
      <c r="J1016" s="53" t="n">
        <f aca="true">NORMINV(RAND(),0,J$7)</f>
        <v>-0.271394121200724</v>
      </c>
      <c r="K1016" s="53" t="n">
        <f aca="true">NORMINV(RAND(),0,K$7)</f>
        <v>-0.589066509610023</v>
      </c>
      <c r="L1016" s="53" t="n">
        <f aca="true">NORMINV(RAND(),0,L$7)</f>
        <v>0.156813012422951</v>
      </c>
      <c r="M1016" s="53" t="n">
        <f aca="true">NORMINV(RAND(),0,M$7)</f>
        <v>0.27648236110827</v>
      </c>
      <c r="N1016" s="53" t="n">
        <f aca="true">NORMINV(RAND(),0,N$7)</f>
        <v>0.482088412254046</v>
      </c>
      <c r="O1016" s="53" t="n">
        <f aca="false">SUM(J1016:N1016)</f>
        <v>0.0549231549745195</v>
      </c>
    </row>
    <row r="1017" customFormat="false" ht="15" hidden="false" customHeight="false" outlineLevel="0" collapsed="false">
      <c r="A1017" s="2" t="n">
        <v>1009</v>
      </c>
      <c r="B1017" s="53" t="n">
        <f aca="true">NORMINV(RAND(),0,B$7)</f>
        <v>0.666601121807812</v>
      </c>
      <c r="C1017" s="53" t="n">
        <f aca="true">NORMINV(RAND(),0,C$7)</f>
        <v>-2.07382245336759</v>
      </c>
      <c r="D1017" s="53" t="n">
        <f aca="true">NORMINV(RAND(),0,D$7)</f>
        <v>1.5730413014604</v>
      </c>
      <c r="E1017" s="53" t="n">
        <f aca="true">NORMINV(RAND(),0,E$7)</f>
        <v>0.169858849793784</v>
      </c>
      <c r="F1017" s="53" t="n">
        <f aca="true">NORMINV(RAND(),0,F$7)</f>
        <v>0.200213961165581</v>
      </c>
      <c r="G1017" s="53" t="n">
        <f aca="true">NORMINV(RAND(),0,G$7)</f>
        <v>1.35074585194406</v>
      </c>
      <c r="H1017" s="53" t="n">
        <f aca="true">NORMINV(RAND(),0,H$7)</f>
        <v>0.147520360091872</v>
      </c>
      <c r="I1017" s="53" t="n">
        <f aca="false">SUM(B1017:H1017)</f>
        <v>2.03415899289591</v>
      </c>
      <c r="J1017" s="53" t="n">
        <f aca="true">NORMINV(RAND(),0,J$7)</f>
        <v>0.765742884010702</v>
      </c>
      <c r="K1017" s="53" t="n">
        <f aca="true">NORMINV(RAND(),0,K$7)</f>
        <v>0.75449639500309</v>
      </c>
      <c r="L1017" s="53" t="n">
        <f aca="true">NORMINV(RAND(),0,L$7)</f>
        <v>0.635382355821873</v>
      </c>
      <c r="M1017" s="53" t="n">
        <f aca="true">NORMINV(RAND(),0,M$7)</f>
        <v>0.0823899784250163</v>
      </c>
      <c r="N1017" s="53" t="n">
        <f aca="true">NORMINV(RAND(),0,N$7)</f>
        <v>0.488767062669431</v>
      </c>
      <c r="O1017" s="53" t="n">
        <f aca="false">SUM(J1017:N1017)</f>
        <v>2.72677867593011</v>
      </c>
    </row>
    <row r="1018" customFormat="false" ht="15" hidden="false" customHeight="false" outlineLevel="0" collapsed="false">
      <c r="A1018" s="2" t="n">
        <v>1010</v>
      </c>
      <c r="B1018" s="53" t="n">
        <f aca="true">NORMINV(RAND(),0,B$7)</f>
        <v>1.38130135673923</v>
      </c>
      <c r="C1018" s="53" t="n">
        <f aca="true">NORMINV(RAND(),0,C$7)</f>
        <v>1.49610318031314</v>
      </c>
      <c r="D1018" s="53" t="n">
        <f aca="true">NORMINV(RAND(),0,D$7)</f>
        <v>-0.676466493161713</v>
      </c>
      <c r="E1018" s="53" t="n">
        <f aca="true">NORMINV(RAND(),0,E$7)</f>
        <v>-0.469143519433497</v>
      </c>
      <c r="F1018" s="53" t="n">
        <f aca="true">NORMINV(RAND(),0,F$7)</f>
        <v>0.315484205514784</v>
      </c>
      <c r="G1018" s="53" t="n">
        <f aca="true">NORMINV(RAND(),0,G$7)</f>
        <v>1.02467340015178</v>
      </c>
      <c r="H1018" s="53" t="n">
        <f aca="true">NORMINV(RAND(),0,H$7)</f>
        <v>-0.178513224423003</v>
      </c>
      <c r="I1018" s="53" t="n">
        <f aca="false">SUM(B1018:H1018)</f>
        <v>2.89343890570072</v>
      </c>
      <c r="J1018" s="53" t="n">
        <f aca="true">NORMINV(RAND(),0,J$7)</f>
        <v>-1.51862000363478</v>
      </c>
      <c r="K1018" s="53" t="n">
        <f aca="true">NORMINV(RAND(),0,K$7)</f>
        <v>-0.848634531322632</v>
      </c>
      <c r="L1018" s="53" t="n">
        <f aca="true">NORMINV(RAND(),0,L$7)</f>
        <v>0.210026923336774</v>
      </c>
      <c r="M1018" s="53" t="n">
        <f aca="true">NORMINV(RAND(),0,M$7)</f>
        <v>0.156585915447847</v>
      </c>
      <c r="N1018" s="53" t="n">
        <f aca="true">NORMINV(RAND(),0,N$7)</f>
        <v>-0.20074218092821</v>
      </c>
      <c r="O1018" s="53" t="n">
        <f aca="false">SUM(J1018:N1018)</f>
        <v>-2.201383877101</v>
      </c>
    </row>
    <row r="1019" customFormat="false" ht="15" hidden="false" customHeight="false" outlineLevel="0" collapsed="false">
      <c r="A1019" s="2" t="n">
        <v>1011</v>
      </c>
      <c r="B1019" s="53" t="n">
        <f aca="true">NORMINV(RAND(),0,B$7)</f>
        <v>-2.44188409933053</v>
      </c>
      <c r="C1019" s="53" t="n">
        <f aca="true">NORMINV(RAND(),0,C$7)</f>
        <v>-0.00850616790431224</v>
      </c>
      <c r="D1019" s="53" t="n">
        <f aca="true">NORMINV(RAND(),0,D$7)</f>
        <v>0.187695667154743</v>
      </c>
      <c r="E1019" s="53" t="n">
        <f aca="true">NORMINV(RAND(),0,E$7)</f>
        <v>0.00520194156557551</v>
      </c>
      <c r="F1019" s="53" t="n">
        <f aca="true">NORMINV(RAND(),0,F$7)</f>
        <v>-0.21329942096661</v>
      </c>
      <c r="G1019" s="53" t="n">
        <f aca="true">NORMINV(RAND(),0,G$7)</f>
        <v>0.986930361344572</v>
      </c>
      <c r="H1019" s="53" t="n">
        <f aca="true">NORMINV(RAND(),0,H$7)</f>
        <v>0.758740062910176</v>
      </c>
      <c r="I1019" s="53" t="n">
        <f aca="false">SUM(B1019:H1019)</f>
        <v>-0.725121655226387</v>
      </c>
      <c r="J1019" s="53" t="n">
        <f aca="true">NORMINV(RAND(),0,J$7)</f>
        <v>-0.232336823512039</v>
      </c>
      <c r="K1019" s="53" t="n">
        <f aca="true">NORMINV(RAND(),0,K$7)</f>
        <v>-1.69700188331315</v>
      </c>
      <c r="L1019" s="53" t="n">
        <f aca="true">NORMINV(RAND(),0,L$7)</f>
        <v>-0.275819769221795</v>
      </c>
      <c r="M1019" s="53" t="n">
        <f aca="true">NORMINV(RAND(),0,M$7)</f>
        <v>-0.0217360766708915</v>
      </c>
      <c r="N1019" s="53" t="n">
        <f aca="true">NORMINV(RAND(),0,N$7)</f>
        <v>0.446484748619786</v>
      </c>
      <c r="O1019" s="53" t="n">
        <f aca="false">SUM(J1019:N1019)</f>
        <v>-1.78040980409809</v>
      </c>
    </row>
    <row r="1020" customFormat="false" ht="15" hidden="false" customHeight="false" outlineLevel="0" collapsed="false">
      <c r="A1020" s="2" t="n">
        <v>1012</v>
      </c>
      <c r="B1020" s="53" t="n">
        <f aca="true">NORMINV(RAND(),0,B$7)</f>
        <v>0.167762539954592</v>
      </c>
      <c r="C1020" s="53" t="n">
        <f aca="true">NORMINV(RAND(),0,C$7)</f>
        <v>2.16408159360204</v>
      </c>
      <c r="D1020" s="53" t="n">
        <f aca="true">NORMINV(RAND(),0,D$7)</f>
        <v>2.15736878583323</v>
      </c>
      <c r="E1020" s="53" t="n">
        <f aca="true">NORMINV(RAND(),0,E$7)</f>
        <v>-0.328743529801042</v>
      </c>
      <c r="F1020" s="53" t="n">
        <f aca="true">NORMINV(RAND(),0,F$7)</f>
        <v>-0.117934745551837</v>
      </c>
      <c r="G1020" s="53" t="n">
        <f aca="true">NORMINV(RAND(),0,G$7)</f>
        <v>-1.71912168096401</v>
      </c>
      <c r="H1020" s="53" t="n">
        <f aca="true">NORMINV(RAND(),0,H$7)</f>
        <v>-0.28940441629571</v>
      </c>
      <c r="I1020" s="53" t="n">
        <f aca="false">SUM(B1020:H1020)</f>
        <v>2.03400854677726</v>
      </c>
      <c r="J1020" s="53" t="n">
        <f aca="true">NORMINV(RAND(),0,J$7)</f>
        <v>-0.691845006746727</v>
      </c>
      <c r="K1020" s="53" t="n">
        <f aca="true">NORMINV(RAND(),0,K$7)</f>
        <v>0.319134282887018</v>
      </c>
      <c r="L1020" s="53" t="n">
        <f aca="true">NORMINV(RAND(),0,L$7)</f>
        <v>-0.21280037063453</v>
      </c>
      <c r="M1020" s="53" t="n">
        <f aca="true">NORMINV(RAND(),0,M$7)</f>
        <v>0.0893859574493875</v>
      </c>
      <c r="N1020" s="53" t="n">
        <f aca="true">NORMINV(RAND(),0,N$7)</f>
        <v>0.221013951229565</v>
      </c>
      <c r="O1020" s="53" t="n">
        <f aca="false">SUM(J1020:N1020)</f>
        <v>-0.275111185815286</v>
      </c>
    </row>
    <row r="1021" customFormat="false" ht="15" hidden="false" customHeight="false" outlineLevel="0" collapsed="false">
      <c r="A1021" s="2" t="n">
        <v>1013</v>
      </c>
      <c r="B1021" s="53" t="n">
        <f aca="true">NORMINV(RAND(),0,B$7)</f>
        <v>-0.245055595516509</v>
      </c>
      <c r="C1021" s="53" t="n">
        <f aca="true">NORMINV(RAND(),0,C$7)</f>
        <v>2.77532034175667</v>
      </c>
      <c r="D1021" s="53" t="n">
        <f aca="true">NORMINV(RAND(),0,D$7)</f>
        <v>-4.92984840671123</v>
      </c>
      <c r="E1021" s="53" t="n">
        <f aca="true">NORMINV(RAND(),0,E$7)</f>
        <v>-0.418024786736139</v>
      </c>
      <c r="F1021" s="53" t="n">
        <f aca="true">NORMINV(RAND(),0,F$7)</f>
        <v>0.865392746812342</v>
      </c>
      <c r="G1021" s="53" t="n">
        <f aca="true">NORMINV(RAND(),0,G$7)</f>
        <v>1.61295951137204</v>
      </c>
      <c r="H1021" s="53" t="n">
        <f aca="true">NORMINV(RAND(),0,H$7)</f>
        <v>-0.736630518107108</v>
      </c>
      <c r="I1021" s="53" t="n">
        <f aca="false">SUM(B1021:H1021)</f>
        <v>-1.07588670712994</v>
      </c>
      <c r="J1021" s="53" t="n">
        <f aca="true">NORMINV(RAND(),0,J$7)</f>
        <v>0.94926080330535</v>
      </c>
      <c r="K1021" s="53" t="n">
        <f aca="true">NORMINV(RAND(),0,K$7)</f>
        <v>0.231055572460968</v>
      </c>
      <c r="L1021" s="53" t="n">
        <f aca="true">NORMINV(RAND(),0,L$7)</f>
        <v>-0.0595817104531187</v>
      </c>
      <c r="M1021" s="53" t="n">
        <f aca="true">NORMINV(RAND(),0,M$7)</f>
        <v>-0.109733170307362</v>
      </c>
      <c r="N1021" s="53" t="n">
        <f aca="true">NORMINV(RAND(),0,N$7)</f>
        <v>-0.215958566626633</v>
      </c>
      <c r="O1021" s="53" t="n">
        <f aca="false">SUM(J1021:N1021)</f>
        <v>0.795042928379205</v>
      </c>
    </row>
    <row r="1022" customFormat="false" ht="15" hidden="false" customHeight="false" outlineLevel="0" collapsed="false">
      <c r="A1022" s="2" t="n">
        <v>1014</v>
      </c>
      <c r="B1022" s="53" t="n">
        <f aca="true">NORMINV(RAND(),0,B$7)</f>
        <v>-1.89201129107784</v>
      </c>
      <c r="C1022" s="53" t="n">
        <f aca="true">NORMINV(RAND(),0,C$7)</f>
        <v>-0.225330545205292</v>
      </c>
      <c r="D1022" s="53" t="n">
        <f aca="true">NORMINV(RAND(),0,D$7)</f>
        <v>2.70798079980565</v>
      </c>
      <c r="E1022" s="53" t="n">
        <f aca="true">NORMINV(RAND(),0,E$7)</f>
        <v>0.239818372303738</v>
      </c>
      <c r="F1022" s="53" t="n">
        <f aca="true">NORMINV(RAND(),0,F$7)</f>
        <v>-0.396624249412003</v>
      </c>
      <c r="G1022" s="53" t="n">
        <f aca="true">NORMINV(RAND(),0,G$7)</f>
        <v>0.602727789361767</v>
      </c>
      <c r="H1022" s="53" t="n">
        <f aca="true">NORMINV(RAND(),0,H$7)</f>
        <v>-0.289487729274523</v>
      </c>
      <c r="I1022" s="53" t="n">
        <f aca="false">SUM(B1022:H1022)</f>
        <v>0.747073146501499</v>
      </c>
      <c r="J1022" s="53" t="n">
        <f aca="true">NORMINV(RAND(),0,J$7)</f>
        <v>-3.45819123253395</v>
      </c>
      <c r="K1022" s="53" t="n">
        <f aca="true">NORMINV(RAND(),0,K$7)</f>
        <v>0.416830946982913</v>
      </c>
      <c r="L1022" s="53" t="n">
        <f aca="true">NORMINV(RAND(),0,L$7)</f>
        <v>0.0224966990052213</v>
      </c>
      <c r="M1022" s="53" t="n">
        <f aca="true">NORMINV(RAND(),0,M$7)</f>
        <v>0.0893336180415052</v>
      </c>
      <c r="N1022" s="53" t="n">
        <f aca="true">NORMINV(RAND(),0,N$7)</f>
        <v>-0.621564577028251</v>
      </c>
      <c r="O1022" s="53" t="n">
        <f aca="false">SUM(J1022:N1022)</f>
        <v>-3.55109454553256</v>
      </c>
    </row>
    <row r="1023" customFormat="false" ht="15" hidden="false" customHeight="false" outlineLevel="0" collapsed="false">
      <c r="A1023" s="2" t="n">
        <v>1015</v>
      </c>
      <c r="B1023" s="53" t="n">
        <f aca="true">NORMINV(RAND(),0,B$7)</f>
        <v>-0.981821021521704</v>
      </c>
      <c r="C1023" s="53" t="n">
        <f aca="true">NORMINV(RAND(),0,C$7)</f>
        <v>-3.26469344351385</v>
      </c>
      <c r="D1023" s="53" t="n">
        <f aca="true">NORMINV(RAND(),0,D$7)</f>
        <v>-2.95080988938601</v>
      </c>
      <c r="E1023" s="53" t="n">
        <f aca="true">NORMINV(RAND(),0,E$7)</f>
        <v>0.122514847826737</v>
      </c>
      <c r="F1023" s="53" t="n">
        <f aca="true">NORMINV(RAND(),0,F$7)</f>
        <v>-0.129217143130716</v>
      </c>
      <c r="G1023" s="53" t="n">
        <f aca="true">NORMINV(RAND(),0,G$7)</f>
        <v>1.55029165878811</v>
      </c>
      <c r="H1023" s="53" t="n">
        <f aca="true">NORMINV(RAND(),0,H$7)</f>
        <v>0.387007246023507</v>
      </c>
      <c r="I1023" s="53" t="n">
        <f aca="false">SUM(B1023:H1023)</f>
        <v>-5.26672774491392</v>
      </c>
      <c r="J1023" s="53" t="n">
        <f aca="true">NORMINV(RAND(),0,J$7)</f>
        <v>-0.838352085789187</v>
      </c>
      <c r="K1023" s="53" t="n">
        <f aca="true">NORMINV(RAND(),0,K$7)</f>
        <v>-1.32442849057799</v>
      </c>
      <c r="L1023" s="53" t="n">
        <f aca="true">NORMINV(RAND(),0,L$7)</f>
        <v>-0.0690652083801798</v>
      </c>
      <c r="M1023" s="53" t="n">
        <f aca="true">NORMINV(RAND(),0,M$7)</f>
        <v>-0.318961518656125</v>
      </c>
      <c r="N1023" s="53" t="n">
        <f aca="true">NORMINV(RAND(),0,N$7)</f>
        <v>0.0231945983624082</v>
      </c>
      <c r="O1023" s="53" t="n">
        <f aca="false">SUM(J1023:N1023)</f>
        <v>-2.52761270504108</v>
      </c>
    </row>
    <row r="1024" customFormat="false" ht="15" hidden="false" customHeight="false" outlineLevel="0" collapsed="false">
      <c r="A1024" s="2" t="n">
        <v>1016</v>
      </c>
      <c r="B1024" s="53" t="n">
        <f aca="true">NORMINV(RAND(),0,B$7)</f>
        <v>2.17547958975776</v>
      </c>
      <c r="C1024" s="53" t="n">
        <f aca="true">NORMINV(RAND(),0,C$7)</f>
        <v>-0.0675435575315706</v>
      </c>
      <c r="D1024" s="53" t="n">
        <f aca="true">NORMINV(RAND(),0,D$7)</f>
        <v>-3.30137926676465</v>
      </c>
      <c r="E1024" s="53" t="n">
        <f aca="true">NORMINV(RAND(),0,E$7)</f>
        <v>0.407641785371763</v>
      </c>
      <c r="F1024" s="53" t="n">
        <f aca="true">NORMINV(RAND(),0,F$7)</f>
        <v>-0.000363533252434759</v>
      </c>
      <c r="G1024" s="53" t="n">
        <f aca="true">NORMINV(RAND(),0,G$7)</f>
        <v>-0.399308358696094</v>
      </c>
      <c r="H1024" s="53" t="n">
        <f aca="true">NORMINV(RAND(),0,H$7)</f>
        <v>-0.0232870943653015</v>
      </c>
      <c r="I1024" s="53" t="n">
        <f aca="false">SUM(B1024:H1024)</f>
        <v>-1.20876043548053</v>
      </c>
      <c r="J1024" s="53" t="n">
        <f aca="true">NORMINV(RAND(),0,J$7)</f>
        <v>0.0886728564557597</v>
      </c>
      <c r="K1024" s="53" t="n">
        <f aca="true">NORMINV(RAND(),0,K$7)</f>
        <v>1.66601027426715</v>
      </c>
      <c r="L1024" s="53" t="n">
        <f aca="true">NORMINV(RAND(),0,L$7)</f>
        <v>-0.356881041584799</v>
      </c>
      <c r="M1024" s="53" t="n">
        <f aca="true">NORMINV(RAND(),0,M$7)</f>
        <v>-0.232643712966716</v>
      </c>
      <c r="N1024" s="53" t="n">
        <f aca="true">NORMINV(RAND(),0,N$7)</f>
        <v>0.285555058358922</v>
      </c>
      <c r="O1024" s="53" t="n">
        <f aca="false">SUM(J1024:N1024)</f>
        <v>1.45071343453032</v>
      </c>
    </row>
    <row r="1025" customFormat="false" ht="15" hidden="false" customHeight="false" outlineLevel="0" collapsed="false">
      <c r="A1025" s="2" t="n">
        <v>1017</v>
      </c>
      <c r="B1025" s="53" t="n">
        <f aca="true">NORMINV(RAND(),0,B$7)</f>
        <v>-1.184843800717</v>
      </c>
      <c r="C1025" s="53" t="n">
        <f aca="true">NORMINV(RAND(),0,C$7)</f>
        <v>0.97130734490865</v>
      </c>
      <c r="D1025" s="53" t="n">
        <f aca="true">NORMINV(RAND(),0,D$7)</f>
        <v>1.35019249606646</v>
      </c>
      <c r="E1025" s="53" t="n">
        <f aca="true">NORMINV(RAND(),0,E$7)</f>
        <v>0.0163721225374364</v>
      </c>
      <c r="F1025" s="53" t="n">
        <f aca="true">NORMINV(RAND(),0,F$7)</f>
        <v>-0.329973922407057</v>
      </c>
      <c r="G1025" s="53" t="n">
        <f aca="true">NORMINV(RAND(),0,G$7)</f>
        <v>3.1791535382335</v>
      </c>
      <c r="H1025" s="53" t="n">
        <f aca="true">NORMINV(RAND(),0,H$7)</f>
        <v>-0.233329474797279</v>
      </c>
      <c r="I1025" s="53" t="n">
        <f aca="false">SUM(B1025:H1025)</f>
        <v>3.7688783038247</v>
      </c>
      <c r="J1025" s="53" t="n">
        <f aca="true">NORMINV(RAND(),0,J$7)</f>
        <v>-3.92838534412847</v>
      </c>
      <c r="K1025" s="53" t="n">
        <f aca="true">NORMINV(RAND(),0,K$7)</f>
        <v>0.762176043452783</v>
      </c>
      <c r="L1025" s="53" t="n">
        <f aca="true">NORMINV(RAND(),0,L$7)</f>
        <v>-0.256086886503328</v>
      </c>
      <c r="M1025" s="53" t="n">
        <f aca="true">NORMINV(RAND(),0,M$7)</f>
        <v>-0.305202304729779</v>
      </c>
      <c r="N1025" s="53" t="n">
        <f aca="true">NORMINV(RAND(),0,N$7)</f>
        <v>-0.0599105361404666</v>
      </c>
      <c r="O1025" s="53" t="n">
        <f aca="false">SUM(J1025:N1025)</f>
        <v>-3.78740902804926</v>
      </c>
    </row>
    <row r="1026" customFormat="false" ht="15" hidden="false" customHeight="false" outlineLevel="0" collapsed="false">
      <c r="A1026" s="2" t="n">
        <v>1018</v>
      </c>
      <c r="B1026" s="53" t="n">
        <f aca="true">NORMINV(RAND(),0,B$7)</f>
        <v>1.8216012733191</v>
      </c>
      <c r="C1026" s="53" t="n">
        <f aca="true">NORMINV(RAND(),0,C$7)</f>
        <v>-0.920098880057121</v>
      </c>
      <c r="D1026" s="53" t="n">
        <f aca="true">NORMINV(RAND(),0,D$7)</f>
        <v>-0.180820439886814</v>
      </c>
      <c r="E1026" s="53" t="n">
        <f aca="true">NORMINV(RAND(),0,E$7)</f>
        <v>0.332749707354011</v>
      </c>
      <c r="F1026" s="53" t="n">
        <f aca="true">NORMINV(RAND(),0,F$7)</f>
        <v>-0.0670016984454478</v>
      </c>
      <c r="G1026" s="53" t="n">
        <f aca="true">NORMINV(RAND(),0,G$7)</f>
        <v>-1.02204742686539</v>
      </c>
      <c r="H1026" s="53" t="n">
        <f aca="true">NORMINV(RAND(),0,H$7)</f>
        <v>0.599905100497899</v>
      </c>
      <c r="I1026" s="53" t="n">
        <f aca="false">SUM(B1026:H1026)</f>
        <v>0.56428763591624</v>
      </c>
      <c r="J1026" s="53" t="n">
        <f aca="true">NORMINV(RAND(),0,J$7)</f>
        <v>-0.484572392145102</v>
      </c>
      <c r="K1026" s="53" t="n">
        <f aca="true">NORMINV(RAND(),0,K$7)</f>
        <v>-0.145847161501386</v>
      </c>
      <c r="L1026" s="53" t="n">
        <f aca="true">NORMINV(RAND(),0,L$7)</f>
        <v>0.153069715279736</v>
      </c>
      <c r="M1026" s="53" t="n">
        <f aca="true">NORMINV(RAND(),0,M$7)</f>
        <v>0.18188500046607</v>
      </c>
      <c r="N1026" s="53" t="n">
        <f aca="true">NORMINV(RAND(),0,N$7)</f>
        <v>0.0903046968514361</v>
      </c>
      <c r="O1026" s="53" t="n">
        <f aca="false">SUM(J1026:N1026)</f>
        <v>-0.205160141049246</v>
      </c>
    </row>
    <row r="1027" customFormat="false" ht="15" hidden="false" customHeight="false" outlineLevel="0" collapsed="false">
      <c r="A1027" s="2" t="n">
        <v>1019</v>
      </c>
      <c r="B1027" s="53" t="n">
        <f aca="true">NORMINV(RAND(),0,B$7)</f>
        <v>-3.53094660741841</v>
      </c>
      <c r="C1027" s="53" t="n">
        <f aca="true">NORMINV(RAND(),0,C$7)</f>
        <v>0.380503314523634</v>
      </c>
      <c r="D1027" s="53" t="n">
        <f aca="true">NORMINV(RAND(),0,D$7)</f>
        <v>1.72386901500408</v>
      </c>
      <c r="E1027" s="53" t="n">
        <f aca="true">NORMINV(RAND(),0,E$7)</f>
        <v>-0.112757516661753</v>
      </c>
      <c r="F1027" s="53" t="n">
        <f aca="true">NORMINV(RAND(),0,F$7)</f>
        <v>-0.195747406186309</v>
      </c>
      <c r="G1027" s="53" t="n">
        <f aca="true">NORMINV(RAND(),0,G$7)</f>
        <v>-0.806958700256728</v>
      </c>
      <c r="H1027" s="53" t="n">
        <f aca="true">NORMINV(RAND(),0,H$7)</f>
        <v>0.148102612841088</v>
      </c>
      <c r="I1027" s="53" t="n">
        <f aca="false">SUM(B1027:H1027)</f>
        <v>-2.3939352881544</v>
      </c>
      <c r="J1027" s="53" t="n">
        <f aca="true">NORMINV(RAND(),0,J$7)</f>
        <v>0.863920983219162</v>
      </c>
      <c r="K1027" s="53" t="n">
        <f aca="true">NORMINV(RAND(),0,K$7)</f>
        <v>-0.650088632771386</v>
      </c>
      <c r="L1027" s="53" t="n">
        <f aca="true">NORMINV(RAND(),0,L$7)</f>
        <v>-0.243617685649407</v>
      </c>
      <c r="M1027" s="53" t="n">
        <f aca="true">NORMINV(RAND(),0,M$7)</f>
        <v>-0.441127708301425</v>
      </c>
      <c r="N1027" s="53" t="n">
        <f aca="true">NORMINV(RAND(),0,N$7)</f>
        <v>-0.101212873319749</v>
      </c>
      <c r="O1027" s="53" t="n">
        <f aca="false">SUM(J1027:N1027)</f>
        <v>-0.572125916822805</v>
      </c>
    </row>
    <row r="1028" customFormat="false" ht="15" hidden="false" customHeight="false" outlineLevel="0" collapsed="false">
      <c r="A1028" s="2" t="n">
        <v>1020</v>
      </c>
      <c r="B1028" s="53" t="n">
        <f aca="true">NORMINV(RAND(),0,B$7)</f>
        <v>0.788974019135767</v>
      </c>
      <c r="C1028" s="53" t="n">
        <f aca="true">NORMINV(RAND(),0,C$7)</f>
        <v>0.85462726096757</v>
      </c>
      <c r="D1028" s="53" t="n">
        <f aca="true">NORMINV(RAND(),0,D$7)</f>
        <v>-2.19215599093904</v>
      </c>
      <c r="E1028" s="53" t="n">
        <f aca="true">NORMINV(RAND(),0,E$7)</f>
        <v>0.00486171877572026</v>
      </c>
      <c r="F1028" s="53" t="n">
        <f aca="true">NORMINV(RAND(),0,F$7)</f>
        <v>-0.0437456165432388</v>
      </c>
      <c r="G1028" s="53" t="n">
        <f aca="true">NORMINV(RAND(),0,G$7)</f>
        <v>1.24097515969932</v>
      </c>
      <c r="H1028" s="53" t="n">
        <f aca="true">NORMINV(RAND(),0,H$7)</f>
        <v>-0.371922224055337</v>
      </c>
      <c r="I1028" s="53" t="n">
        <f aca="false">SUM(B1028:H1028)</f>
        <v>0.28161432704076</v>
      </c>
      <c r="J1028" s="53" t="n">
        <f aca="true">NORMINV(RAND(),0,J$7)</f>
        <v>-0.0450429949098254</v>
      </c>
      <c r="K1028" s="53" t="n">
        <f aca="true">NORMINV(RAND(),0,K$7)</f>
        <v>0.152608376434512</v>
      </c>
      <c r="L1028" s="53" t="n">
        <f aca="true">NORMINV(RAND(),0,L$7)</f>
        <v>0.471526387892849</v>
      </c>
      <c r="M1028" s="53" t="n">
        <f aca="true">NORMINV(RAND(),0,M$7)</f>
        <v>-0.280806211907391</v>
      </c>
      <c r="N1028" s="53" t="n">
        <f aca="true">NORMINV(RAND(),0,N$7)</f>
        <v>-0.564219780086985</v>
      </c>
      <c r="O1028" s="53" t="n">
        <f aca="false">SUM(J1028:N1028)</f>
        <v>-0.26593422257684</v>
      </c>
    </row>
    <row r="1029" customFormat="false" ht="15" hidden="false" customHeight="false" outlineLevel="0" collapsed="false">
      <c r="A1029" s="2" t="n">
        <v>1021</v>
      </c>
      <c r="B1029" s="53" t="n">
        <f aca="true">NORMINV(RAND(),0,B$7)</f>
        <v>-0.000235280266458788</v>
      </c>
      <c r="C1029" s="53" t="n">
        <f aca="true">NORMINV(RAND(),0,C$7)</f>
        <v>0.73690374830577</v>
      </c>
      <c r="D1029" s="53" t="n">
        <f aca="true">NORMINV(RAND(),0,D$7)</f>
        <v>1.4816317845889</v>
      </c>
      <c r="E1029" s="53" t="n">
        <f aca="true">NORMINV(RAND(),0,E$7)</f>
        <v>-0.601856988335563</v>
      </c>
      <c r="F1029" s="53" t="n">
        <f aca="true">NORMINV(RAND(),0,F$7)</f>
        <v>-0.243168288879401</v>
      </c>
      <c r="G1029" s="53" t="n">
        <f aca="true">NORMINV(RAND(),0,G$7)</f>
        <v>1.57874391083896</v>
      </c>
      <c r="H1029" s="53" t="n">
        <f aca="true">NORMINV(RAND(),0,H$7)</f>
        <v>-0.467322792857718</v>
      </c>
      <c r="I1029" s="53" t="n">
        <f aca="false">SUM(B1029:H1029)</f>
        <v>2.48469609339448</v>
      </c>
      <c r="J1029" s="53" t="n">
        <f aca="true">NORMINV(RAND(),0,J$7)</f>
        <v>1.27570660484759</v>
      </c>
      <c r="K1029" s="53" t="n">
        <f aca="true">NORMINV(RAND(),0,K$7)</f>
        <v>1.05303923930963</v>
      </c>
      <c r="L1029" s="53" t="n">
        <f aca="true">NORMINV(RAND(),0,L$7)</f>
        <v>0.0836289861828532</v>
      </c>
      <c r="M1029" s="53" t="n">
        <f aca="true">NORMINV(RAND(),0,M$7)</f>
        <v>-0.155090416096402</v>
      </c>
      <c r="N1029" s="53" t="n">
        <f aca="true">NORMINV(RAND(),0,N$7)</f>
        <v>-0.597278295387345</v>
      </c>
      <c r="O1029" s="53" t="n">
        <f aca="false">SUM(J1029:N1029)</f>
        <v>1.66000611885633</v>
      </c>
    </row>
    <row r="1030" customFormat="false" ht="15" hidden="false" customHeight="false" outlineLevel="0" collapsed="false">
      <c r="A1030" s="2" t="n">
        <v>1022</v>
      </c>
      <c r="B1030" s="53" t="n">
        <f aca="true">NORMINV(RAND(),0,B$7)</f>
        <v>-2.64108606031248</v>
      </c>
      <c r="C1030" s="53" t="n">
        <f aca="true">NORMINV(RAND(),0,C$7)</f>
        <v>6.49882877899717</v>
      </c>
      <c r="D1030" s="53" t="n">
        <f aca="true">NORMINV(RAND(),0,D$7)</f>
        <v>-3.82049451479198</v>
      </c>
      <c r="E1030" s="53" t="n">
        <f aca="true">NORMINV(RAND(),0,E$7)</f>
        <v>-0.180644035783091</v>
      </c>
      <c r="F1030" s="53" t="n">
        <f aca="true">NORMINV(RAND(),0,F$7)</f>
        <v>0.0517277043120802</v>
      </c>
      <c r="G1030" s="53" t="n">
        <f aca="true">NORMINV(RAND(),0,G$7)</f>
        <v>0.00423621067734094</v>
      </c>
      <c r="H1030" s="53" t="n">
        <f aca="true">NORMINV(RAND(),0,H$7)</f>
        <v>-0.147179678476077</v>
      </c>
      <c r="I1030" s="53" t="n">
        <f aca="false">SUM(B1030:H1030)</f>
        <v>-0.234611595377037</v>
      </c>
      <c r="J1030" s="53" t="n">
        <f aca="true">NORMINV(RAND(),0,J$7)</f>
        <v>-2.9026093015603</v>
      </c>
      <c r="K1030" s="53" t="n">
        <f aca="true">NORMINV(RAND(),0,K$7)</f>
        <v>-0.0582030241862968</v>
      </c>
      <c r="L1030" s="53" t="n">
        <f aca="true">NORMINV(RAND(),0,L$7)</f>
        <v>-0.242340811220247</v>
      </c>
      <c r="M1030" s="53" t="n">
        <f aca="true">NORMINV(RAND(),0,M$7)</f>
        <v>0.0128532836814016</v>
      </c>
      <c r="N1030" s="53" t="n">
        <f aca="true">NORMINV(RAND(),0,N$7)</f>
        <v>-0.274944263383237</v>
      </c>
      <c r="O1030" s="53" t="n">
        <f aca="false">SUM(J1030:N1030)</f>
        <v>-3.46524411666868</v>
      </c>
    </row>
    <row r="1031" customFormat="false" ht="15" hidden="false" customHeight="false" outlineLevel="0" collapsed="false">
      <c r="A1031" s="2" t="n">
        <v>1023</v>
      </c>
      <c r="B1031" s="53" t="n">
        <f aca="true">NORMINV(RAND(),0,B$7)</f>
        <v>0.554351899378318</v>
      </c>
      <c r="C1031" s="53" t="n">
        <f aca="true">NORMINV(RAND(),0,C$7)</f>
        <v>0.176892518423385</v>
      </c>
      <c r="D1031" s="53" t="n">
        <f aca="true">NORMINV(RAND(),0,D$7)</f>
        <v>-1.23193841900528</v>
      </c>
      <c r="E1031" s="53" t="n">
        <f aca="true">NORMINV(RAND(),0,E$7)</f>
        <v>-0.0388943014261888</v>
      </c>
      <c r="F1031" s="53" t="n">
        <f aca="true">NORMINV(RAND(),0,F$7)</f>
        <v>-0.113886076209618</v>
      </c>
      <c r="G1031" s="53" t="n">
        <f aca="true">NORMINV(RAND(),0,G$7)</f>
        <v>1.64182068659879</v>
      </c>
      <c r="H1031" s="53" t="n">
        <f aca="true">NORMINV(RAND(),0,H$7)</f>
        <v>-0.770715927185719</v>
      </c>
      <c r="I1031" s="53" t="n">
        <f aca="false">SUM(B1031:H1031)</f>
        <v>0.217630380573691</v>
      </c>
      <c r="J1031" s="53" t="n">
        <f aca="true">NORMINV(RAND(),0,J$7)</f>
        <v>1.30483956090681</v>
      </c>
      <c r="K1031" s="53" t="n">
        <f aca="true">NORMINV(RAND(),0,K$7)</f>
        <v>-0.175360824372562</v>
      </c>
      <c r="L1031" s="53" t="n">
        <f aca="true">NORMINV(RAND(),0,L$7)</f>
        <v>0.401800850956631</v>
      </c>
      <c r="M1031" s="53" t="n">
        <f aca="true">NORMINV(RAND(),0,M$7)</f>
        <v>0.234856302870283</v>
      </c>
      <c r="N1031" s="53" t="n">
        <f aca="true">NORMINV(RAND(),0,N$7)</f>
        <v>-0.230504719560373</v>
      </c>
      <c r="O1031" s="53" t="n">
        <f aca="false">SUM(J1031:N1031)</f>
        <v>1.53563117080079</v>
      </c>
    </row>
    <row r="1032" customFormat="false" ht="15" hidden="false" customHeight="false" outlineLevel="0" collapsed="false">
      <c r="A1032" s="2" t="n">
        <v>1024</v>
      </c>
      <c r="B1032" s="53" t="n">
        <f aca="true">NORMINV(RAND(),0,B$7)</f>
        <v>-0.794114512782386</v>
      </c>
      <c r="C1032" s="53" t="n">
        <f aca="true">NORMINV(RAND(),0,C$7)</f>
        <v>1.54328787352077</v>
      </c>
      <c r="D1032" s="53" t="n">
        <f aca="true">NORMINV(RAND(),0,D$7)</f>
        <v>0.725711047026998</v>
      </c>
      <c r="E1032" s="53" t="n">
        <f aca="true">NORMINV(RAND(),0,E$7)</f>
        <v>0.0369384132226194</v>
      </c>
      <c r="F1032" s="53" t="n">
        <f aca="true">NORMINV(RAND(),0,F$7)</f>
        <v>-0.163616857595257</v>
      </c>
      <c r="G1032" s="53" t="n">
        <f aca="true">NORMINV(RAND(),0,G$7)</f>
        <v>0.273086865105929</v>
      </c>
      <c r="H1032" s="53" t="n">
        <f aca="true">NORMINV(RAND(),0,H$7)</f>
        <v>0.709187707170225</v>
      </c>
      <c r="I1032" s="53" t="n">
        <f aca="false">SUM(B1032:H1032)</f>
        <v>2.3304805356689</v>
      </c>
      <c r="J1032" s="53" t="n">
        <f aca="true">NORMINV(RAND(),0,J$7)</f>
        <v>-4.15252224869861</v>
      </c>
      <c r="K1032" s="53" t="n">
        <f aca="true">NORMINV(RAND(),0,K$7)</f>
        <v>-0.249877705384428</v>
      </c>
      <c r="L1032" s="53" t="n">
        <f aca="true">NORMINV(RAND(),0,L$7)</f>
        <v>0.619482569074215</v>
      </c>
      <c r="M1032" s="53" t="n">
        <f aca="true">NORMINV(RAND(),0,M$7)</f>
        <v>-0.280907793494848</v>
      </c>
      <c r="N1032" s="53" t="n">
        <f aca="true">NORMINV(RAND(),0,N$7)</f>
        <v>-0.151930361792683</v>
      </c>
      <c r="O1032" s="53" t="n">
        <f aca="false">SUM(J1032:N1032)</f>
        <v>-4.21575554029636</v>
      </c>
    </row>
    <row r="1033" customFormat="false" ht="15" hidden="false" customHeight="false" outlineLevel="0" collapsed="false">
      <c r="A1033" s="2" t="n">
        <v>1025</v>
      </c>
      <c r="B1033" s="53" t="n">
        <f aca="true">NORMINV(RAND(),0,B$7)</f>
        <v>0.455599401605956</v>
      </c>
      <c r="C1033" s="53" t="n">
        <f aca="true">NORMINV(RAND(),0,C$7)</f>
        <v>-0.682441545957138</v>
      </c>
      <c r="D1033" s="53" t="n">
        <f aca="true">NORMINV(RAND(),0,D$7)</f>
        <v>-0.586099122985119</v>
      </c>
      <c r="E1033" s="53" t="n">
        <f aca="true">NORMINV(RAND(),0,E$7)</f>
        <v>-0.361545684195663</v>
      </c>
      <c r="F1033" s="53" t="n">
        <f aca="true">NORMINV(RAND(),0,F$7)</f>
        <v>0.237847493924606</v>
      </c>
      <c r="G1033" s="53" t="n">
        <f aca="true">NORMINV(RAND(),0,G$7)</f>
        <v>-1.44006575701551</v>
      </c>
      <c r="H1033" s="53" t="n">
        <f aca="true">NORMINV(RAND(),0,H$7)</f>
        <v>0.194842396705647</v>
      </c>
      <c r="I1033" s="53" t="n">
        <f aca="false">SUM(B1033:H1033)</f>
        <v>-2.18186281791723</v>
      </c>
      <c r="J1033" s="53" t="n">
        <f aca="true">NORMINV(RAND(),0,J$7)</f>
        <v>2.5128507277554</v>
      </c>
      <c r="K1033" s="53" t="n">
        <f aca="true">NORMINV(RAND(),0,K$7)</f>
        <v>-0.704470373645386</v>
      </c>
      <c r="L1033" s="53" t="n">
        <f aca="true">NORMINV(RAND(),0,L$7)</f>
        <v>0.0713571615881348</v>
      </c>
      <c r="M1033" s="53" t="n">
        <f aca="true">NORMINV(RAND(),0,M$7)</f>
        <v>0.0279138388355595</v>
      </c>
      <c r="N1033" s="53" t="n">
        <f aca="true">NORMINV(RAND(),0,N$7)</f>
        <v>-0.234073033893682</v>
      </c>
      <c r="O1033" s="53" t="n">
        <f aca="false">SUM(J1033:N1033)</f>
        <v>1.67357832064002</v>
      </c>
    </row>
    <row r="1034" customFormat="false" ht="15" hidden="false" customHeight="false" outlineLevel="0" collapsed="false">
      <c r="A1034" s="2" t="n">
        <v>1026</v>
      </c>
      <c r="B1034" s="53" t="n">
        <f aca="true">NORMINV(RAND(),0,B$7)</f>
        <v>-1.00712315662322</v>
      </c>
      <c r="C1034" s="53" t="n">
        <f aca="true">NORMINV(RAND(),0,C$7)</f>
        <v>0.245422691617403</v>
      </c>
      <c r="D1034" s="53" t="n">
        <f aca="true">NORMINV(RAND(),0,D$7)</f>
        <v>-1.68412773521994</v>
      </c>
      <c r="E1034" s="53" t="n">
        <f aca="true">NORMINV(RAND(),0,E$7)</f>
        <v>-0.281122063993314</v>
      </c>
      <c r="F1034" s="53" t="n">
        <f aca="true">NORMINV(RAND(),0,F$7)</f>
        <v>-0.34106778966774</v>
      </c>
      <c r="G1034" s="53" t="n">
        <f aca="true">NORMINV(RAND(),0,G$7)</f>
        <v>0.0917046198950625</v>
      </c>
      <c r="H1034" s="53" t="n">
        <f aca="true">NORMINV(RAND(),0,H$7)</f>
        <v>-0.0945224491731668</v>
      </c>
      <c r="I1034" s="53" t="n">
        <f aca="false">SUM(B1034:H1034)</f>
        <v>-3.07083588316491</v>
      </c>
      <c r="J1034" s="53" t="n">
        <f aca="true">NORMINV(RAND(),0,J$7)</f>
        <v>-1.48971749921689</v>
      </c>
      <c r="K1034" s="53" t="n">
        <f aca="true">NORMINV(RAND(),0,K$7)</f>
        <v>-0.962003744868373</v>
      </c>
      <c r="L1034" s="53" t="n">
        <f aca="true">NORMINV(RAND(),0,L$7)</f>
        <v>-0.130859203377869</v>
      </c>
      <c r="M1034" s="53" t="n">
        <f aca="true">NORMINV(RAND(),0,M$7)</f>
        <v>0.039009862868648</v>
      </c>
      <c r="N1034" s="53" t="n">
        <f aca="true">NORMINV(RAND(),0,N$7)</f>
        <v>0.553825843095922</v>
      </c>
      <c r="O1034" s="53" t="n">
        <f aca="false">SUM(J1034:N1034)</f>
        <v>-1.98974474149856</v>
      </c>
    </row>
    <row r="1035" customFormat="false" ht="15" hidden="false" customHeight="false" outlineLevel="0" collapsed="false">
      <c r="A1035" s="2" t="n">
        <v>1027</v>
      </c>
      <c r="B1035" s="53" t="n">
        <f aca="true">NORMINV(RAND(),0,B$7)</f>
        <v>2.20632689586067</v>
      </c>
      <c r="C1035" s="53" t="n">
        <f aca="true">NORMINV(RAND(),0,C$7)</f>
        <v>-0.576846619143998</v>
      </c>
      <c r="D1035" s="53" t="n">
        <f aca="true">NORMINV(RAND(),0,D$7)</f>
        <v>2.15824105274165</v>
      </c>
      <c r="E1035" s="53" t="n">
        <f aca="true">NORMINV(RAND(),0,E$7)</f>
        <v>-0.334839377484498</v>
      </c>
      <c r="F1035" s="53" t="n">
        <f aca="true">NORMINV(RAND(),0,F$7)</f>
        <v>-0.056047541518258</v>
      </c>
      <c r="G1035" s="53" t="n">
        <f aca="true">NORMINV(RAND(),0,G$7)</f>
        <v>0.484949379320881</v>
      </c>
      <c r="H1035" s="53" t="n">
        <f aca="true">NORMINV(RAND(),0,H$7)</f>
        <v>0.230619071449337</v>
      </c>
      <c r="I1035" s="53" t="n">
        <f aca="false">SUM(B1035:H1035)</f>
        <v>4.11240286122578</v>
      </c>
      <c r="J1035" s="53" t="n">
        <f aca="true">NORMINV(RAND(),0,J$7)</f>
        <v>-0.0727455163074007</v>
      </c>
      <c r="K1035" s="53" t="n">
        <f aca="true">NORMINV(RAND(),0,K$7)</f>
        <v>1.36653636574649</v>
      </c>
      <c r="L1035" s="53" t="n">
        <f aca="true">NORMINV(RAND(),0,L$7)</f>
        <v>0.235764949521072</v>
      </c>
      <c r="M1035" s="53" t="n">
        <f aca="true">NORMINV(RAND(),0,M$7)</f>
        <v>0.0540987801873183</v>
      </c>
      <c r="N1035" s="53" t="n">
        <f aca="true">NORMINV(RAND(),0,N$7)</f>
        <v>0.037152642624138</v>
      </c>
      <c r="O1035" s="53" t="n">
        <f aca="false">SUM(J1035:N1035)</f>
        <v>1.62080722177161</v>
      </c>
    </row>
    <row r="1036" customFormat="false" ht="15" hidden="false" customHeight="false" outlineLevel="0" collapsed="false">
      <c r="A1036" s="2" t="n">
        <v>1028</v>
      </c>
      <c r="B1036" s="53" t="n">
        <f aca="true">NORMINV(RAND(),0,B$7)</f>
        <v>0.680619332291475</v>
      </c>
      <c r="C1036" s="53" t="n">
        <f aca="true">NORMINV(RAND(),0,C$7)</f>
        <v>-1.236670345466</v>
      </c>
      <c r="D1036" s="53" t="n">
        <f aca="true">NORMINV(RAND(),0,D$7)</f>
        <v>-2.42289296819965</v>
      </c>
      <c r="E1036" s="53" t="n">
        <f aca="true">NORMINV(RAND(),0,E$7)</f>
        <v>-0.466120936532607</v>
      </c>
      <c r="F1036" s="53" t="n">
        <f aca="true">NORMINV(RAND(),0,F$7)</f>
        <v>0.368805038698247</v>
      </c>
      <c r="G1036" s="53" t="n">
        <f aca="true">NORMINV(RAND(),0,G$7)</f>
        <v>0.0919319773009164</v>
      </c>
      <c r="H1036" s="53" t="n">
        <f aca="true">NORMINV(RAND(),0,H$7)</f>
        <v>0.649544133979208</v>
      </c>
      <c r="I1036" s="53" t="n">
        <f aca="false">SUM(B1036:H1036)</f>
        <v>-2.33478376792841</v>
      </c>
      <c r="J1036" s="53" t="n">
        <f aca="true">NORMINV(RAND(),0,J$7)</f>
        <v>0.185428755272391</v>
      </c>
      <c r="K1036" s="53" t="n">
        <f aca="true">NORMINV(RAND(),0,K$7)</f>
        <v>0.507423946070487</v>
      </c>
      <c r="L1036" s="53" t="n">
        <f aca="true">NORMINV(RAND(),0,L$7)</f>
        <v>-0.0994321171238754</v>
      </c>
      <c r="M1036" s="53" t="n">
        <f aca="true">NORMINV(RAND(),0,M$7)</f>
        <v>-0.31649760604673</v>
      </c>
      <c r="N1036" s="53" t="n">
        <f aca="true">NORMINV(RAND(),0,N$7)</f>
        <v>0.641183825028912</v>
      </c>
      <c r="O1036" s="53" t="n">
        <f aca="false">SUM(J1036:N1036)</f>
        <v>0.918106803201184</v>
      </c>
    </row>
    <row r="1037" customFormat="false" ht="15" hidden="false" customHeight="false" outlineLevel="0" collapsed="false">
      <c r="A1037" s="2" t="n">
        <v>1029</v>
      </c>
      <c r="B1037" s="53" t="n">
        <f aca="true">NORMINV(RAND(),0,B$7)</f>
        <v>-1.2882927358157</v>
      </c>
      <c r="C1037" s="53" t="n">
        <f aca="true">NORMINV(RAND(),0,C$7)</f>
        <v>1.88105109488129</v>
      </c>
      <c r="D1037" s="53" t="n">
        <f aca="true">NORMINV(RAND(),0,D$7)</f>
        <v>0.751566490975864</v>
      </c>
      <c r="E1037" s="53" t="n">
        <f aca="true">NORMINV(RAND(),0,E$7)</f>
        <v>0.0633842600536117</v>
      </c>
      <c r="F1037" s="53" t="n">
        <f aca="true">NORMINV(RAND(),0,F$7)</f>
        <v>-0.29736706879153</v>
      </c>
      <c r="G1037" s="53" t="n">
        <f aca="true">NORMINV(RAND(),0,G$7)</f>
        <v>0.152095415603903</v>
      </c>
      <c r="H1037" s="53" t="n">
        <f aca="true">NORMINV(RAND(),0,H$7)</f>
        <v>-0.0794071450461488</v>
      </c>
      <c r="I1037" s="53" t="n">
        <f aca="false">SUM(B1037:H1037)</f>
        <v>1.18303031186129</v>
      </c>
      <c r="J1037" s="53" t="n">
        <f aca="true">NORMINV(RAND(),0,J$7)</f>
        <v>-1.9468474560328</v>
      </c>
      <c r="K1037" s="53" t="n">
        <f aca="true">NORMINV(RAND(),0,K$7)</f>
        <v>-1.01741552203085</v>
      </c>
      <c r="L1037" s="53" t="n">
        <f aca="true">NORMINV(RAND(),0,L$7)</f>
        <v>0.03927921156389</v>
      </c>
      <c r="M1037" s="53" t="n">
        <f aca="true">NORMINV(RAND(),0,M$7)</f>
        <v>0.300871563985959</v>
      </c>
      <c r="N1037" s="53" t="n">
        <f aca="true">NORMINV(RAND(),0,N$7)</f>
        <v>-0.0167655455241328</v>
      </c>
      <c r="O1037" s="53" t="n">
        <f aca="false">SUM(J1037:N1037)</f>
        <v>-2.64087774803793</v>
      </c>
    </row>
    <row r="1038" customFormat="false" ht="15" hidden="false" customHeight="false" outlineLevel="0" collapsed="false">
      <c r="A1038" s="2" t="n">
        <v>1030</v>
      </c>
      <c r="B1038" s="53" t="n">
        <f aca="true">NORMINV(RAND(),0,B$7)</f>
        <v>-0.235147428105054</v>
      </c>
      <c r="C1038" s="53" t="n">
        <f aca="true">NORMINV(RAND(),0,C$7)</f>
        <v>0.495725557207684</v>
      </c>
      <c r="D1038" s="53" t="n">
        <f aca="true">NORMINV(RAND(),0,D$7)</f>
        <v>3.21241639946074</v>
      </c>
      <c r="E1038" s="53" t="n">
        <f aca="true">NORMINV(RAND(),0,E$7)</f>
        <v>-0.176779445458892</v>
      </c>
      <c r="F1038" s="53" t="n">
        <f aca="true">NORMINV(RAND(),0,F$7)</f>
        <v>-0.31508766025915</v>
      </c>
      <c r="G1038" s="53" t="n">
        <f aca="true">NORMINV(RAND(),0,G$7)</f>
        <v>0.236118153694277</v>
      </c>
      <c r="H1038" s="53" t="n">
        <f aca="true">NORMINV(RAND(),0,H$7)</f>
        <v>-0.0970656902006545</v>
      </c>
      <c r="I1038" s="53" t="n">
        <f aca="false">SUM(B1038:H1038)</f>
        <v>3.12017988633895</v>
      </c>
      <c r="J1038" s="53" t="n">
        <f aca="true">NORMINV(RAND(),0,J$7)</f>
        <v>-2.77934096066659</v>
      </c>
      <c r="K1038" s="53" t="n">
        <f aca="true">NORMINV(RAND(),0,K$7)</f>
        <v>0.215476725605382</v>
      </c>
      <c r="L1038" s="53" t="n">
        <f aca="true">NORMINV(RAND(),0,L$7)</f>
        <v>0.280762415203526</v>
      </c>
      <c r="M1038" s="53" t="n">
        <f aca="true">NORMINV(RAND(),0,M$7)</f>
        <v>0.0864492971489032</v>
      </c>
      <c r="N1038" s="53" t="n">
        <f aca="true">NORMINV(RAND(),0,N$7)</f>
        <v>0.268871865533085</v>
      </c>
      <c r="O1038" s="53" t="n">
        <f aca="false">SUM(J1038:N1038)</f>
        <v>-1.92778065717569</v>
      </c>
    </row>
    <row r="1039" customFormat="false" ht="15" hidden="false" customHeight="false" outlineLevel="0" collapsed="false">
      <c r="A1039" s="2" t="n">
        <v>1031</v>
      </c>
      <c r="B1039" s="53" t="n">
        <f aca="true">NORMINV(RAND(),0,B$7)</f>
        <v>0.31403275151369</v>
      </c>
      <c r="C1039" s="53" t="n">
        <f aca="true">NORMINV(RAND(),0,C$7)</f>
        <v>0.324465164729817</v>
      </c>
      <c r="D1039" s="53" t="n">
        <f aca="true">NORMINV(RAND(),0,D$7)</f>
        <v>0.513601665006191</v>
      </c>
      <c r="E1039" s="53" t="n">
        <f aca="true">NORMINV(RAND(),0,E$7)</f>
        <v>0.378759305708977</v>
      </c>
      <c r="F1039" s="53" t="n">
        <f aca="true">NORMINV(RAND(),0,F$7)</f>
        <v>-0.176333972656529</v>
      </c>
      <c r="G1039" s="53" t="n">
        <f aca="true">NORMINV(RAND(),0,G$7)</f>
        <v>-1.24559607702568</v>
      </c>
      <c r="H1039" s="53" t="n">
        <f aca="true">NORMINV(RAND(),0,H$7)</f>
        <v>0.302594934524394</v>
      </c>
      <c r="I1039" s="53" t="n">
        <f aca="false">SUM(B1039:H1039)</f>
        <v>0.411523771800858</v>
      </c>
      <c r="J1039" s="53" t="n">
        <f aca="true">NORMINV(RAND(),0,J$7)</f>
        <v>0.0134041592813574</v>
      </c>
      <c r="K1039" s="53" t="n">
        <f aca="true">NORMINV(RAND(),0,K$7)</f>
        <v>0.868895250855745</v>
      </c>
      <c r="L1039" s="53" t="n">
        <f aca="true">NORMINV(RAND(),0,L$7)</f>
        <v>0.298302243963996</v>
      </c>
      <c r="M1039" s="53" t="n">
        <f aca="true">NORMINV(RAND(),0,M$7)</f>
        <v>-0.179340499228731</v>
      </c>
      <c r="N1039" s="53" t="n">
        <f aca="true">NORMINV(RAND(),0,N$7)</f>
        <v>-0.346223417053149</v>
      </c>
      <c r="O1039" s="53" t="n">
        <f aca="false">SUM(J1039:N1039)</f>
        <v>0.655037737819218</v>
      </c>
    </row>
    <row r="1040" customFormat="false" ht="15" hidden="false" customHeight="false" outlineLevel="0" collapsed="false">
      <c r="A1040" s="2" t="n">
        <v>1032</v>
      </c>
      <c r="B1040" s="53" t="n">
        <f aca="true">NORMINV(RAND(),0,B$7)</f>
        <v>-1.73018286044056</v>
      </c>
      <c r="C1040" s="53" t="n">
        <f aca="true">NORMINV(RAND(),0,C$7)</f>
        <v>2.19345128081675</v>
      </c>
      <c r="D1040" s="53" t="n">
        <f aca="true">NORMINV(RAND(),0,D$7)</f>
        <v>-1.33223160453613</v>
      </c>
      <c r="E1040" s="53" t="n">
        <f aca="true">NORMINV(RAND(),0,E$7)</f>
        <v>0.308951173078867</v>
      </c>
      <c r="F1040" s="53" t="n">
        <f aca="true">NORMINV(RAND(),0,F$7)</f>
        <v>0.037394376104942</v>
      </c>
      <c r="G1040" s="53" t="n">
        <f aca="true">NORMINV(RAND(),0,G$7)</f>
        <v>-0.447946205288704</v>
      </c>
      <c r="H1040" s="53" t="n">
        <f aca="true">NORMINV(RAND(),0,H$7)</f>
        <v>0.169443571322234</v>
      </c>
      <c r="I1040" s="53" t="n">
        <f aca="false">SUM(B1040:H1040)</f>
        <v>-0.801120268942601</v>
      </c>
      <c r="J1040" s="53" t="n">
        <f aca="true">NORMINV(RAND(),0,J$7)</f>
        <v>-0.644282418117607</v>
      </c>
      <c r="K1040" s="53" t="n">
        <f aca="true">NORMINV(RAND(),0,K$7)</f>
        <v>1.49317241611067</v>
      </c>
      <c r="L1040" s="53" t="n">
        <f aca="true">NORMINV(RAND(),0,L$7)</f>
        <v>-0.128563617582649</v>
      </c>
      <c r="M1040" s="53" t="n">
        <f aca="true">NORMINV(RAND(),0,M$7)</f>
        <v>-0.0962019700181645</v>
      </c>
      <c r="N1040" s="53" t="n">
        <f aca="true">NORMINV(RAND(),0,N$7)</f>
        <v>0.310042480328735</v>
      </c>
      <c r="O1040" s="53" t="n">
        <f aca="false">SUM(J1040:N1040)</f>
        <v>0.93416689072098</v>
      </c>
    </row>
    <row r="1041" customFormat="false" ht="15" hidden="false" customHeight="false" outlineLevel="0" collapsed="false">
      <c r="A1041" s="2" t="n">
        <v>1033</v>
      </c>
      <c r="B1041" s="53" t="n">
        <f aca="true">NORMINV(RAND(),0,B$7)</f>
        <v>0.704140981782328</v>
      </c>
      <c r="C1041" s="53" t="n">
        <f aca="true">NORMINV(RAND(),0,C$7)</f>
        <v>0.170133559314194</v>
      </c>
      <c r="D1041" s="53" t="n">
        <f aca="true">NORMINV(RAND(),0,D$7)</f>
        <v>-3.61781535897381</v>
      </c>
      <c r="E1041" s="53" t="n">
        <f aca="true">NORMINV(RAND(),0,E$7)</f>
        <v>0.651114444491698</v>
      </c>
      <c r="F1041" s="53" t="n">
        <f aca="true">NORMINV(RAND(),0,F$7)</f>
        <v>-0.27367456607831</v>
      </c>
      <c r="G1041" s="53" t="n">
        <f aca="true">NORMINV(RAND(),0,G$7)</f>
        <v>0.305632889275324</v>
      </c>
      <c r="H1041" s="53" t="n">
        <f aca="true">NORMINV(RAND(),0,H$7)</f>
        <v>-0.571864595389539</v>
      </c>
      <c r="I1041" s="53" t="n">
        <f aca="false">SUM(B1041:H1041)</f>
        <v>-2.63233264557811</v>
      </c>
      <c r="J1041" s="53" t="n">
        <f aca="true">NORMINV(RAND(),0,J$7)</f>
        <v>4.53579272706554</v>
      </c>
      <c r="K1041" s="53" t="n">
        <f aca="true">NORMINV(RAND(),0,K$7)</f>
        <v>0.174683638650861</v>
      </c>
      <c r="L1041" s="53" t="n">
        <f aca="true">NORMINV(RAND(),0,L$7)</f>
        <v>0.15434034980224</v>
      </c>
      <c r="M1041" s="53" t="n">
        <f aca="true">NORMINV(RAND(),0,M$7)</f>
        <v>0.139710850884656</v>
      </c>
      <c r="N1041" s="53" t="n">
        <f aca="true">NORMINV(RAND(),0,N$7)</f>
        <v>0.169210123677674</v>
      </c>
      <c r="O1041" s="53" t="n">
        <f aca="false">SUM(J1041:N1041)</f>
        <v>5.17373769008097</v>
      </c>
    </row>
    <row r="1042" customFormat="false" ht="15" hidden="false" customHeight="false" outlineLevel="0" collapsed="false">
      <c r="A1042" s="2" t="n">
        <v>1034</v>
      </c>
      <c r="B1042" s="53" t="n">
        <f aca="true">NORMINV(RAND(),0,B$7)</f>
        <v>-1.3988623230597</v>
      </c>
      <c r="C1042" s="53" t="n">
        <f aca="true">NORMINV(RAND(),0,C$7)</f>
        <v>-0.955243801279141</v>
      </c>
      <c r="D1042" s="53" t="n">
        <f aca="true">NORMINV(RAND(),0,D$7)</f>
        <v>-0.051715521402803</v>
      </c>
      <c r="E1042" s="53" t="n">
        <f aca="true">NORMINV(RAND(),0,E$7)</f>
        <v>-0.475062023795004</v>
      </c>
      <c r="F1042" s="53" t="n">
        <f aca="true">NORMINV(RAND(),0,F$7)</f>
        <v>0.407542991460033</v>
      </c>
      <c r="G1042" s="53" t="n">
        <f aca="true">NORMINV(RAND(),0,G$7)</f>
        <v>-0.941925235533554</v>
      </c>
      <c r="H1042" s="53" t="n">
        <f aca="true">NORMINV(RAND(),0,H$7)</f>
        <v>0.143577810175932</v>
      </c>
      <c r="I1042" s="53" t="n">
        <f aca="false">SUM(B1042:H1042)</f>
        <v>-3.27168810343423</v>
      </c>
      <c r="J1042" s="53" t="n">
        <f aca="true">NORMINV(RAND(),0,J$7)</f>
        <v>0.0306781872441423</v>
      </c>
      <c r="K1042" s="53" t="n">
        <f aca="true">NORMINV(RAND(),0,K$7)</f>
        <v>0.063134311267741</v>
      </c>
      <c r="L1042" s="53" t="n">
        <f aca="true">NORMINV(RAND(),0,L$7)</f>
        <v>0.429244944793336</v>
      </c>
      <c r="M1042" s="53" t="n">
        <f aca="true">NORMINV(RAND(),0,M$7)</f>
        <v>0.0643926769560398</v>
      </c>
      <c r="N1042" s="53" t="n">
        <f aca="true">NORMINV(RAND(),0,N$7)</f>
        <v>0.143131696023604</v>
      </c>
      <c r="O1042" s="53" t="n">
        <f aca="false">SUM(J1042:N1042)</f>
        <v>0.730581816284863</v>
      </c>
    </row>
    <row r="1043" customFormat="false" ht="15" hidden="false" customHeight="false" outlineLevel="0" collapsed="false">
      <c r="A1043" s="2" t="n">
        <v>1035</v>
      </c>
      <c r="B1043" s="53" t="n">
        <f aca="true">NORMINV(RAND(),0,B$7)</f>
        <v>0.784129587823711</v>
      </c>
      <c r="C1043" s="53" t="n">
        <f aca="true">NORMINV(RAND(),0,C$7)</f>
        <v>2.69499211394832</v>
      </c>
      <c r="D1043" s="53" t="n">
        <f aca="true">NORMINV(RAND(),0,D$7)</f>
        <v>0.606332028482198</v>
      </c>
      <c r="E1043" s="53" t="n">
        <f aca="true">NORMINV(RAND(),0,E$7)</f>
        <v>0.234217567799828</v>
      </c>
      <c r="F1043" s="53" t="n">
        <f aca="true">NORMINV(RAND(),0,F$7)</f>
        <v>-0.252447747727022</v>
      </c>
      <c r="G1043" s="53" t="n">
        <f aca="true">NORMINV(RAND(),0,G$7)</f>
        <v>0.767448151244074</v>
      </c>
      <c r="H1043" s="53" t="n">
        <f aca="true">NORMINV(RAND(),0,H$7)</f>
        <v>0.234903641755884</v>
      </c>
      <c r="I1043" s="53" t="n">
        <f aca="false">SUM(B1043:H1043)</f>
        <v>5.06957534332699</v>
      </c>
      <c r="J1043" s="53" t="n">
        <f aca="true">NORMINV(RAND(),0,J$7)</f>
        <v>1.21710717858079</v>
      </c>
      <c r="K1043" s="53" t="n">
        <f aca="true">NORMINV(RAND(),0,K$7)</f>
        <v>0.295267478068608</v>
      </c>
      <c r="L1043" s="53" t="n">
        <f aca="true">NORMINV(RAND(),0,L$7)</f>
        <v>0.337389327507858</v>
      </c>
      <c r="M1043" s="53" t="n">
        <f aca="true">NORMINV(RAND(),0,M$7)</f>
        <v>-0.233832695489006</v>
      </c>
      <c r="N1043" s="53" t="n">
        <f aca="true">NORMINV(RAND(),0,N$7)</f>
        <v>0.428314947145379</v>
      </c>
      <c r="O1043" s="53" t="n">
        <f aca="false">SUM(J1043:N1043)</f>
        <v>2.04424623581363</v>
      </c>
    </row>
    <row r="1044" customFormat="false" ht="15" hidden="false" customHeight="false" outlineLevel="0" collapsed="false">
      <c r="A1044" s="2" t="n">
        <v>1036</v>
      </c>
      <c r="B1044" s="53" t="n">
        <f aca="true">NORMINV(RAND(),0,B$7)</f>
        <v>-0.434733451190266</v>
      </c>
      <c r="C1044" s="53" t="n">
        <f aca="true">NORMINV(RAND(),0,C$7)</f>
        <v>-1.84383836173091</v>
      </c>
      <c r="D1044" s="53" t="n">
        <f aca="true">NORMINV(RAND(),0,D$7)</f>
        <v>-0.452459787726729</v>
      </c>
      <c r="E1044" s="53" t="n">
        <f aca="true">NORMINV(RAND(),0,E$7)</f>
        <v>-0.195137058316266</v>
      </c>
      <c r="F1044" s="53" t="n">
        <f aca="true">NORMINV(RAND(),0,F$7)</f>
        <v>-0.187976407920904</v>
      </c>
      <c r="G1044" s="53" t="n">
        <f aca="true">NORMINV(RAND(),0,G$7)</f>
        <v>0.850988624389933</v>
      </c>
      <c r="H1044" s="53" t="n">
        <f aca="true">NORMINV(RAND(),0,H$7)</f>
        <v>0.0518467524838714</v>
      </c>
      <c r="I1044" s="53" t="n">
        <f aca="false">SUM(B1044:H1044)</f>
        <v>-2.21130969001127</v>
      </c>
      <c r="J1044" s="53" t="n">
        <f aca="true">NORMINV(RAND(),0,J$7)</f>
        <v>0.525952440636933</v>
      </c>
      <c r="K1044" s="53" t="n">
        <f aca="true">NORMINV(RAND(),0,K$7)</f>
        <v>0.260307183954413</v>
      </c>
      <c r="L1044" s="53" t="n">
        <f aca="true">NORMINV(RAND(),0,L$7)</f>
        <v>0.440995982967121</v>
      </c>
      <c r="M1044" s="53" t="n">
        <f aca="true">NORMINV(RAND(),0,M$7)</f>
        <v>0.00966145275982053</v>
      </c>
      <c r="N1044" s="53" t="n">
        <f aca="true">NORMINV(RAND(),0,N$7)</f>
        <v>0.633335976721201</v>
      </c>
      <c r="O1044" s="53" t="n">
        <f aca="false">SUM(J1044:N1044)</f>
        <v>1.87025303703949</v>
      </c>
    </row>
    <row r="1045" customFormat="false" ht="15" hidden="false" customHeight="false" outlineLevel="0" collapsed="false">
      <c r="A1045" s="2" t="n">
        <v>1037</v>
      </c>
      <c r="B1045" s="53" t="n">
        <f aca="true">NORMINV(RAND(),0,B$7)</f>
        <v>0.171801742425617</v>
      </c>
      <c r="C1045" s="53" t="n">
        <f aca="true">NORMINV(RAND(),0,C$7)</f>
        <v>0.604862041248721</v>
      </c>
      <c r="D1045" s="53" t="n">
        <f aca="true">NORMINV(RAND(),0,D$7)</f>
        <v>4.96113094728487</v>
      </c>
      <c r="E1045" s="53" t="n">
        <f aca="true">NORMINV(RAND(),0,E$7)</f>
        <v>-0.365270679221564</v>
      </c>
      <c r="F1045" s="53" t="n">
        <f aca="true">NORMINV(RAND(),0,F$7)</f>
        <v>0.313739767604502</v>
      </c>
      <c r="G1045" s="53" t="n">
        <f aca="true">NORMINV(RAND(),0,G$7)</f>
        <v>0.836809964930366</v>
      </c>
      <c r="H1045" s="53" t="n">
        <f aca="true">NORMINV(RAND(),0,H$7)</f>
        <v>-0.102331705944068</v>
      </c>
      <c r="I1045" s="53" t="n">
        <f aca="false">SUM(B1045:H1045)</f>
        <v>6.42074207832844</v>
      </c>
      <c r="J1045" s="53" t="n">
        <f aca="true">NORMINV(RAND(),0,J$7)</f>
        <v>-0.0886980489700475</v>
      </c>
      <c r="K1045" s="53" t="n">
        <f aca="true">NORMINV(RAND(),0,K$7)</f>
        <v>0.429304169055427</v>
      </c>
      <c r="L1045" s="53" t="n">
        <f aca="true">NORMINV(RAND(),0,L$7)</f>
        <v>0.396787255548093</v>
      </c>
      <c r="M1045" s="53" t="n">
        <f aca="true">NORMINV(RAND(),0,M$7)</f>
        <v>-0.150692572584901</v>
      </c>
      <c r="N1045" s="53" t="n">
        <f aca="true">NORMINV(RAND(),0,N$7)</f>
        <v>-0.219103119349729</v>
      </c>
      <c r="O1045" s="53" t="n">
        <f aca="false">SUM(J1045:N1045)</f>
        <v>0.367597683698843</v>
      </c>
    </row>
    <row r="1046" customFormat="false" ht="15" hidden="false" customHeight="false" outlineLevel="0" collapsed="false">
      <c r="A1046" s="2" t="n">
        <v>1038</v>
      </c>
      <c r="B1046" s="53" t="n">
        <f aca="true">NORMINV(RAND(),0,B$7)</f>
        <v>-1.46581514248366</v>
      </c>
      <c r="C1046" s="53" t="n">
        <f aca="true">NORMINV(RAND(),0,C$7)</f>
        <v>1.78923413885276</v>
      </c>
      <c r="D1046" s="53" t="n">
        <f aca="true">NORMINV(RAND(),0,D$7)</f>
        <v>-1.47085289354823</v>
      </c>
      <c r="E1046" s="53" t="n">
        <f aca="true">NORMINV(RAND(),0,E$7)</f>
        <v>-0.340545384517817</v>
      </c>
      <c r="F1046" s="53" t="n">
        <f aca="true">NORMINV(RAND(),0,F$7)</f>
        <v>0.114315253121523</v>
      </c>
      <c r="G1046" s="53" t="n">
        <f aca="true">NORMINV(RAND(),0,G$7)</f>
        <v>1.9671031636644</v>
      </c>
      <c r="H1046" s="53" t="n">
        <f aca="true">NORMINV(RAND(),0,H$7)</f>
        <v>0.156582630614527</v>
      </c>
      <c r="I1046" s="53" t="n">
        <f aca="false">SUM(B1046:H1046)</f>
        <v>0.750021765703498</v>
      </c>
      <c r="J1046" s="53" t="n">
        <f aca="true">NORMINV(RAND(),0,J$7)</f>
        <v>5.62294890478903</v>
      </c>
      <c r="K1046" s="53" t="n">
        <f aca="true">NORMINV(RAND(),0,K$7)</f>
        <v>0.721011841374403</v>
      </c>
      <c r="L1046" s="53" t="n">
        <f aca="true">NORMINV(RAND(),0,L$7)</f>
        <v>0.139674684600899</v>
      </c>
      <c r="M1046" s="53" t="n">
        <f aca="true">NORMINV(RAND(),0,M$7)</f>
        <v>-0.0346654014335381</v>
      </c>
      <c r="N1046" s="53" t="n">
        <f aca="true">NORMINV(RAND(),0,N$7)</f>
        <v>-0.351296336631376</v>
      </c>
      <c r="O1046" s="53" t="n">
        <f aca="false">SUM(J1046:N1046)</f>
        <v>6.09767369269942</v>
      </c>
    </row>
    <row r="1047" customFormat="false" ht="15" hidden="false" customHeight="false" outlineLevel="0" collapsed="false">
      <c r="A1047" s="2" t="n">
        <v>1039</v>
      </c>
      <c r="B1047" s="53" t="n">
        <f aca="true">NORMINV(RAND(),0,B$7)</f>
        <v>-1.66898608790936</v>
      </c>
      <c r="C1047" s="53" t="n">
        <f aca="true">NORMINV(RAND(),0,C$7)</f>
        <v>0.782902991639049</v>
      </c>
      <c r="D1047" s="53" t="n">
        <f aca="true">NORMINV(RAND(),0,D$7)</f>
        <v>-1.20538823501755</v>
      </c>
      <c r="E1047" s="53" t="n">
        <f aca="true">NORMINV(RAND(),0,E$7)</f>
        <v>0.230373363459576</v>
      </c>
      <c r="F1047" s="53" t="n">
        <f aca="true">NORMINV(RAND(),0,F$7)</f>
        <v>-0.244879844633217</v>
      </c>
      <c r="G1047" s="53" t="n">
        <f aca="true">NORMINV(RAND(),0,G$7)</f>
        <v>-1.28264064937925</v>
      </c>
      <c r="H1047" s="53" t="n">
        <f aca="true">NORMINV(RAND(),0,H$7)</f>
        <v>0.155059362444998</v>
      </c>
      <c r="I1047" s="53" t="n">
        <f aca="false">SUM(B1047:H1047)</f>
        <v>-3.23355909939576</v>
      </c>
      <c r="J1047" s="53" t="n">
        <f aca="true">NORMINV(RAND(),0,J$7)</f>
        <v>-0.0792426174318195</v>
      </c>
      <c r="K1047" s="53" t="n">
        <f aca="true">NORMINV(RAND(),0,K$7)</f>
        <v>0.293352368970661</v>
      </c>
      <c r="L1047" s="53" t="n">
        <f aca="true">NORMINV(RAND(),0,L$7)</f>
        <v>-0.399261871554382</v>
      </c>
      <c r="M1047" s="53" t="n">
        <f aca="true">NORMINV(RAND(),0,M$7)</f>
        <v>0.0121479866994201</v>
      </c>
      <c r="N1047" s="53" t="n">
        <f aca="true">NORMINV(RAND(),0,N$7)</f>
        <v>0.0260140313225873</v>
      </c>
      <c r="O1047" s="53" t="n">
        <f aca="false">SUM(J1047:N1047)</f>
        <v>-0.146990101993533</v>
      </c>
    </row>
    <row r="1048" customFormat="false" ht="15" hidden="false" customHeight="false" outlineLevel="0" collapsed="false">
      <c r="A1048" s="2" t="n">
        <v>1040</v>
      </c>
      <c r="B1048" s="53" t="n">
        <f aca="true">NORMINV(RAND(),0,B$7)</f>
        <v>0.312511810943726</v>
      </c>
      <c r="C1048" s="53" t="n">
        <f aca="true">NORMINV(RAND(),0,C$7)</f>
        <v>0.366268411471165</v>
      </c>
      <c r="D1048" s="53" t="n">
        <f aca="true">NORMINV(RAND(),0,D$7)</f>
        <v>4.224309397197</v>
      </c>
      <c r="E1048" s="53" t="n">
        <f aca="true">NORMINV(RAND(),0,E$7)</f>
        <v>-0.00911854817108028</v>
      </c>
      <c r="F1048" s="53" t="n">
        <f aca="true">NORMINV(RAND(),0,F$7)</f>
        <v>-0.180759911981652</v>
      </c>
      <c r="G1048" s="53" t="n">
        <f aca="true">NORMINV(RAND(),0,G$7)</f>
        <v>-0.653882172513188</v>
      </c>
      <c r="H1048" s="53" t="n">
        <f aca="true">NORMINV(RAND(),0,H$7)</f>
        <v>0.147069471012347</v>
      </c>
      <c r="I1048" s="53" t="n">
        <f aca="false">SUM(B1048:H1048)</f>
        <v>4.20639845795832</v>
      </c>
      <c r="J1048" s="53" t="n">
        <f aca="true">NORMINV(RAND(),0,J$7)</f>
        <v>2.32422765506829</v>
      </c>
      <c r="K1048" s="53" t="n">
        <f aca="true">NORMINV(RAND(),0,K$7)</f>
        <v>-0.0636067453618413</v>
      </c>
      <c r="L1048" s="53" t="n">
        <f aca="true">NORMINV(RAND(),0,L$7)</f>
        <v>0.566211279147335</v>
      </c>
      <c r="M1048" s="53" t="n">
        <f aca="true">NORMINV(RAND(),0,M$7)</f>
        <v>-0.328682650714632</v>
      </c>
      <c r="N1048" s="53" t="n">
        <f aca="true">NORMINV(RAND(),0,N$7)</f>
        <v>-0.0857256362077561</v>
      </c>
      <c r="O1048" s="53" t="n">
        <f aca="false">SUM(J1048:N1048)</f>
        <v>2.4124239019314</v>
      </c>
    </row>
    <row r="1049" customFormat="false" ht="15" hidden="false" customHeight="false" outlineLevel="0" collapsed="false">
      <c r="A1049" s="2" t="n">
        <v>1041</v>
      </c>
      <c r="B1049" s="53" t="n">
        <f aca="true">NORMINV(RAND(),0,B$7)</f>
        <v>0.774710794603941</v>
      </c>
      <c r="C1049" s="53" t="n">
        <f aca="true">NORMINV(RAND(),0,C$7)</f>
        <v>2.7204496625916</v>
      </c>
      <c r="D1049" s="53" t="n">
        <f aca="true">NORMINV(RAND(),0,D$7)</f>
        <v>0.381500608266316</v>
      </c>
      <c r="E1049" s="53" t="n">
        <f aca="true">NORMINV(RAND(),0,E$7)</f>
        <v>0.306408619409681</v>
      </c>
      <c r="F1049" s="53" t="n">
        <f aca="true">NORMINV(RAND(),0,F$7)</f>
        <v>0.0633292513528355</v>
      </c>
      <c r="G1049" s="53" t="n">
        <f aca="true">NORMINV(RAND(),0,G$7)</f>
        <v>1.94604282014798</v>
      </c>
      <c r="H1049" s="53" t="n">
        <f aca="true">NORMINV(RAND(),0,H$7)</f>
        <v>-0.132746353438077</v>
      </c>
      <c r="I1049" s="53" t="n">
        <f aca="false">SUM(B1049:H1049)</f>
        <v>6.05969540293428</v>
      </c>
      <c r="J1049" s="53" t="n">
        <f aca="true">NORMINV(RAND(),0,J$7)</f>
        <v>3.47282711706157</v>
      </c>
      <c r="K1049" s="53" t="n">
        <f aca="true">NORMINV(RAND(),0,K$7)</f>
        <v>0.273013033591051</v>
      </c>
      <c r="L1049" s="53" t="n">
        <f aca="true">NORMINV(RAND(),0,L$7)</f>
        <v>0.101544910588283</v>
      </c>
      <c r="M1049" s="53" t="n">
        <f aca="true">NORMINV(RAND(),0,M$7)</f>
        <v>0.413935479054731</v>
      </c>
      <c r="N1049" s="53" t="n">
        <f aca="true">NORMINV(RAND(),0,N$7)</f>
        <v>-0.274576007105411</v>
      </c>
      <c r="O1049" s="53" t="n">
        <f aca="false">SUM(J1049:N1049)</f>
        <v>3.98674453319022</v>
      </c>
    </row>
    <row r="1050" customFormat="false" ht="15" hidden="false" customHeight="false" outlineLevel="0" collapsed="false">
      <c r="A1050" s="2" t="n">
        <v>1042</v>
      </c>
      <c r="B1050" s="53" t="n">
        <f aca="true">NORMINV(RAND(),0,B$7)</f>
        <v>2.09621769141955</v>
      </c>
      <c r="C1050" s="53" t="n">
        <f aca="true">NORMINV(RAND(),0,C$7)</f>
        <v>-0.817354136246133</v>
      </c>
      <c r="D1050" s="53" t="n">
        <f aca="true">NORMINV(RAND(),0,D$7)</f>
        <v>0.195493976089601</v>
      </c>
      <c r="E1050" s="53" t="n">
        <f aca="true">NORMINV(RAND(),0,E$7)</f>
        <v>-0.00319193353707428</v>
      </c>
      <c r="F1050" s="53" t="n">
        <f aca="true">NORMINV(RAND(),0,F$7)</f>
        <v>-0.402328621594359</v>
      </c>
      <c r="G1050" s="53" t="n">
        <f aca="true">NORMINV(RAND(),0,G$7)</f>
        <v>-1.23416938881649</v>
      </c>
      <c r="H1050" s="53" t="n">
        <f aca="true">NORMINV(RAND(),0,H$7)</f>
        <v>0.551727818903101</v>
      </c>
      <c r="I1050" s="53" t="n">
        <f aca="false">SUM(B1050:H1050)</f>
        <v>0.386395406218194</v>
      </c>
      <c r="J1050" s="53" t="n">
        <f aca="true">NORMINV(RAND(),0,J$7)</f>
        <v>0.244909703967793</v>
      </c>
      <c r="K1050" s="53" t="n">
        <f aca="true">NORMINV(RAND(),0,K$7)</f>
        <v>-0.212533132354018</v>
      </c>
      <c r="L1050" s="53" t="n">
        <f aca="true">NORMINV(RAND(),0,L$7)</f>
        <v>0.0149355883272764</v>
      </c>
      <c r="M1050" s="53" t="n">
        <f aca="true">NORMINV(RAND(),0,M$7)</f>
        <v>-0.181291961823479</v>
      </c>
      <c r="N1050" s="53" t="n">
        <f aca="true">NORMINV(RAND(),0,N$7)</f>
        <v>0.0437795879393298</v>
      </c>
      <c r="O1050" s="53" t="n">
        <f aca="false">SUM(J1050:N1050)</f>
        <v>-0.090200213943098</v>
      </c>
    </row>
    <row r="1051" customFormat="false" ht="15" hidden="false" customHeight="false" outlineLevel="0" collapsed="false">
      <c r="A1051" s="2" t="n">
        <v>1043</v>
      </c>
      <c r="B1051" s="53" t="n">
        <f aca="true">NORMINV(RAND(),0,B$7)</f>
        <v>2.19964322950898</v>
      </c>
      <c r="C1051" s="53" t="n">
        <f aca="true">NORMINV(RAND(),0,C$7)</f>
        <v>1.1849555804232</v>
      </c>
      <c r="D1051" s="53" t="n">
        <f aca="true">NORMINV(RAND(),0,D$7)</f>
        <v>-0.630316752392395</v>
      </c>
      <c r="E1051" s="53" t="n">
        <f aca="true">NORMINV(RAND(),0,E$7)</f>
        <v>-0.0264787343956482</v>
      </c>
      <c r="F1051" s="53" t="n">
        <f aca="true">NORMINV(RAND(),0,F$7)</f>
        <v>-0.164287483871573</v>
      </c>
      <c r="G1051" s="53" t="n">
        <f aca="true">NORMINV(RAND(),0,G$7)</f>
        <v>0.319047227221509</v>
      </c>
      <c r="H1051" s="53" t="n">
        <f aca="true">NORMINV(RAND(),0,H$7)</f>
        <v>0.311136711823638</v>
      </c>
      <c r="I1051" s="53" t="n">
        <f aca="false">SUM(B1051:H1051)</f>
        <v>3.19369977831771</v>
      </c>
      <c r="J1051" s="53" t="n">
        <f aca="true">NORMINV(RAND(),0,J$7)</f>
        <v>-3.4001822979843</v>
      </c>
      <c r="K1051" s="53" t="n">
        <f aca="true">NORMINV(RAND(),0,K$7)</f>
        <v>1.4758151003045</v>
      </c>
      <c r="L1051" s="53" t="n">
        <f aca="true">NORMINV(RAND(),0,L$7)</f>
        <v>0.481656706912434</v>
      </c>
      <c r="M1051" s="53" t="n">
        <f aca="true">NORMINV(RAND(),0,M$7)</f>
        <v>0.159713193454895</v>
      </c>
      <c r="N1051" s="53" t="n">
        <f aca="true">NORMINV(RAND(),0,N$7)</f>
        <v>0.0455566364329045</v>
      </c>
      <c r="O1051" s="53" t="n">
        <f aca="false">SUM(J1051:N1051)</f>
        <v>-1.23744066087956</v>
      </c>
    </row>
    <row r="1052" customFormat="false" ht="15" hidden="false" customHeight="false" outlineLevel="0" collapsed="false">
      <c r="A1052" s="2" t="n">
        <v>1044</v>
      </c>
      <c r="B1052" s="53" t="n">
        <f aca="true">NORMINV(RAND(),0,B$7)</f>
        <v>-2.78015770510998</v>
      </c>
      <c r="C1052" s="53" t="n">
        <f aca="true">NORMINV(RAND(),0,C$7)</f>
        <v>-2.38168699109636</v>
      </c>
      <c r="D1052" s="53" t="n">
        <f aca="true">NORMINV(RAND(),0,D$7)</f>
        <v>-1.94650427968171</v>
      </c>
      <c r="E1052" s="53" t="n">
        <f aca="true">NORMINV(RAND(),0,E$7)</f>
        <v>0.124120840994409</v>
      </c>
      <c r="F1052" s="53" t="n">
        <f aca="true">NORMINV(RAND(),0,F$7)</f>
        <v>-0.0656522699148677</v>
      </c>
      <c r="G1052" s="53" t="n">
        <f aca="true">NORMINV(RAND(),0,G$7)</f>
        <v>-1.35680244790046</v>
      </c>
      <c r="H1052" s="53" t="n">
        <f aca="true">NORMINV(RAND(),0,H$7)</f>
        <v>-0.415862137111444</v>
      </c>
      <c r="I1052" s="53" t="n">
        <f aca="false">SUM(B1052:H1052)</f>
        <v>-8.82254498982042</v>
      </c>
      <c r="J1052" s="53" t="n">
        <f aca="true">NORMINV(RAND(),0,J$7)</f>
        <v>-0.609840115117933</v>
      </c>
      <c r="K1052" s="53" t="n">
        <f aca="true">NORMINV(RAND(),0,K$7)</f>
        <v>-0.218432242799739</v>
      </c>
      <c r="L1052" s="53" t="n">
        <f aca="true">NORMINV(RAND(),0,L$7)</f>
        <v>-0.167221762769045</v>
      </c>
      <c r="M1052" s="53" t="n">
        <f aca="true">NORMINV(RAND(),0,M$7)</f>
        <v>0.00800976913951671</v>
      </c>
      <c r="N1052" s="53" t="n">
        <f aca="true">NORMINV(RAND(),0,N$7)</f>
        <v>0.320770650734055</v>
      </c>
      <c r="O1052" s="53" t="n">
        <f aca="false">SUM(J1052:N1052)</f>
        <v>-0.666713700813146</v>
      </c>
    </row>
    <row r="1053" customFormat="false" ht="15" hidden="false" customHeight="false" outlineLevel="0" collapsed="false">
      <c r="A1053" s="2" t="n">
        <v>1045</v>
      </c>
      <c r="B1053" s="53" t="n">
        <f aca="true">NORMINV(RAND(),0,B$7)</f>
        <v>-0.131142412262987</v>
      </c>
      <c r="C1053" s="53" t="n">
        <f aca="true">NORMINV(RAND(),0,C$7)</f>
        <v>1.00885751945718</v>
      </c>
      <c r="D1053" s="53" t="n">
        <f aca="true">NORMINV(RAND(),0,D$7)</f>
        <v>-1.24270706544206</v>
      </c>
      <c r="E1053" s="53" t="n">
        <f aca="true">NORMINV(RAND(),0,E$7)</f>
        <v>0.207088535816565</v>
      </c>
      <c r="F1053" s="53" t="n">
        <f aca="true">NORMINV(RAND(),0,F$7)</f>
        <v>-0.339764211175757</v>
      </c>
      <c r="G1053" s="53" t="n">
        <f aca="true">NORMINV(RAND(),0,G$7)</f>
        <v>0.666160928514593</v>
      </c>
      <c r="H1053" s="53" t="n">
        <f aca="true">NORMINV(RAND(),0,H$7)</f>
        <v>0.340448432899561</v>
      </c>
      <c r="I1053" s="53" t="n">
        <f aca="false">SUM(B1053:H1053)</f>
        <v>0.508941727807098</v>
      </c>
      <c r="J1053" s="53" t="n">
        <f aca="true">NORMINV(RAND(),0,J$7)</f>
        <v>-0.627231312918425</v>
      </c>
      <c r="K1053" s="53" t="n">
        <f aca="true">NORMINV(RAND(),0,K$7)</f>
        <v>-0.69261560423259</v>
      </c>
      <c r="L1053" s="53" t="n">
        <f aca="true">NORMINV(RAND(),0,L$7)</f>
        <v>0.144097311346399</v>
      </c>
      <c r="M1053" s="53" t="n">
        <f aca="true">NORMINV(RAND(),0,M$7)</f>
        <v>0.0958778236494143</v>
      </c>
      <c r="N1053" s="53" t="n">
        <f aca="true">NORMINV(RAND(),0,N$7)</f>
        <v>0.86412113533556</v>
      </c>
      <c r="O1053" s="53" t="n">
        <f aca="false">SUM(J1053:N1053)</f>
        <v>-0.215750646819642</v>
      </c>
    </row>
    <row r="1054" customFormat="false" ht="15" hidden="false" customHeight="false" outlineLevel="0" collapsed="false">
      <c r="A1054" s="2" t="n">
        <v>1046</v>
      </c>
      <c r="B1054" s="53" t="n">
        <f aca="true">NORMINV(RAND(),0,B$7)</f>
        <v>0.418676890635337</v>
      </c>
      <c r="C1054" s="53" t="n">
        <f aca="true">NORMINV(RAND(),0,C$7)</f>
        <v>0.667874075997101</v>
      </c>
      <c r="D1054" s="53" t="n">
        <f aca="true">NORMINV(RAND(),0,D$7)</f>
        <v>0.702454556783843</v>
      </c>
      <c r="E1054" s="53" t="n">
        <f aca="true">NORMINV(RAND(),0,E$7)</f>
        <v>-0.0598117849029001</v>
      </c>
      <c r="F1054" s="53" t="n">
        <f aca="true">NORMINV(RAND(),0,F$7)</f>
        <v>-0.348328699640097</v>
      </c>
      <c r="G1054" s="53" t="n">
        <f aca="true">NORMINV(RAND(),0,G$7)</f>
        <v>-1.22950139426698</v>
      </c>
      <c r="H1054" s="53" t="n">
        <f aca="true">NORMINV(RAND(),0,H$7)</f>
        <v>0.0911121441542751</v>
      </c>
      <c r="I1054" s="53" t="n">
        <f aca="false">SUM(B1054:H1054)</f>
        <v>0.242475788760578</v>
      </c>
      <c r="J1054" s="53" t="n">
        <f aca="true">NORMINV(RAND(),0,J$7)</f>
        <v>0.204020030925638</v>
      </c>
      <c r="K1054" s="53" t="n">
        <f aca="true">NORMINV(RAND(),0,K$7)</f>
        <v>-0.256185314995812</v>
      </c>
      <c r="L1054" s="53" t="n">
        <f aca="true">NORMINV(RAND(),0,L$7)</f>
        <v>0.288599963418978</v>
      </c>
      <c r="M1054" s="53" t="n">
        <f aca="true">NORMINV(RAND(),0,M$7)</f>
        <v>-0.177591203917333</v>
      </c>
      <c r="N1054" s="53" t="n">
        <f aca="true">NORMINV(RAND(),0,N$7)</f>
        <v>0.0275337159817541</v>
      </c>
      <c r="O1054" s="53" t="n">
        <f aca="false">SUM(J1054:N1054)</f>
        <v>0.0863771914132251</v>
      </c>
    </row>
    <row r="1055" customFormat="false" ht="15" hidden="false" customHeight="false" outlineLevel="0" collapsed="false">
      <c r="A1055" s="2" t="n">
        <v>1047</v>
      </c>
      <c r="B1055" s="53" t="n">
        <f aca="true">NORMINV(RAND(),0,B$7)</f>
        <v>0.86599728362287</v>
      </c>
      <c r="C1055" s="53" t="n">
        <f aca="true">NORMINV(RAND(),0,C$7)</f>
        <v>0.473987284020257</v>
      </c>
      <c r="D1055" s="53" t="n">
        <f aca="true">NORMINV(RAND(),0,D$7)</f>
        <v>-5.2654667395861</v>
      </c>
      <c r="E1055" s="53" t="n">
        <f aca="true">NORMINV(RAND(),0,E$7)</f>
        <v>-0.214023949269885</v>
      </c>
      <c r="F1055" s="53" t="n">
        <f aca="true">NORMINV(RAND(),0,F$7)</f>
        <v>0.0571792341130248</v>
      </c>
      <c r="G1055" s="53" t="n">
        <f aca="true">NORMINV(RAND(),0,G$7)</f>
        <v>-1.44017689881998</v>
      </c>
      <c r="H1055" s="53" t="n">
        <f aca="true">NORMINV(RAND(),0,H$7)</f>
        <v>0.492967223460946</v>
      </c>
      <c r="I1055" s="53" t="n">
        <f aca="false">SUM(B1055:H1055)</f>
        <v>-5.02953656245887</v>
      </c>
      <c r="J1055" s="53" t="n">
        <f aca="true">NORMINV(RAND(),0,J$7)</f>
        <v>2.16492323208799</v>
      </c>
      <c r="K1055" s="53" t="n">
        <f aca="true">NORMINV(RAND(),0,K$7)</f>
        <v>-1.15478166703097</v>
      </c>
      <c r="L1055" s="53" t="n">
        <f aca="true">NORMINV(RAND(),0,L$7)</f>
        <v>-0.177958610710486</v>
      </c>
      <c r="M1055" s="53" t="n">
        <f aca="true">NORMINV(RAND(),0,M$7)</f>
        <v>0.0258889030008501</v>
      </c>
      <c r="N1055" s="53" t="n">
        <f aca="true">NORMINV(RAND(),0,N$7)</f>
        <v>-0.489765852175783</v>
      </c>
      <c r="O1055" s="53" t="n">
        <f aca="false">SUM(J1055:N1055)</f>
        <v>0.368306005171599</v>
      </c>
    </row>
    <row r="1056" customFormat="false" ht="15" hidden="false" customHeight="false" outlineLevel="0" collapsed="false">
      <c r="A1056" s="2" t="n">
        <v>1048</v>
      </c>
      <c r="B1056" s="53" t="n">
        <f aca="true">NORMINV(RAND(),0,B$7)</f>
        <v>1.68682303400012</v>
      </c>
      <c r="C1056" s="53" t="n">
        <f aca="true">NORMINV(RAND(),0,C$7)</f>
        <v>2.71247378290577</v>
      </c>
      <c r="D1056" s="53" t="n">
        <f aca="true">NORMINV(RAND(),0,D$7)</f>
        <v>2.2091249905938</v>
      </c>
      <c r="E1056" s="53" t="n">
        <f aca="true">NORMINV(RAND(),0,E$7)</f>
        <v>1.03071100482849</v>
      </c>
      <c r="F1056" s="53" t="n">
        <f aca="true">NORMINV(RAND(),0,F$7)</f>
        <v>-0.385375398253023</v>
      </c>
      <c r="G1056" s="53" t="n">
        <f aca="true">NORMINV(RAND(),0,G$7)</f>
        <v>-1.08309582896869</v>
      </c>
      <c r="H1056" s="53" t="n">
        <f aca="true">NORMINV(RAND(),0,H$7)</f>
        <v>0.313954444652447</v>
      </c>
      <c r="I1056" s="53" t="n">
        <f aca="false">SUM(B1056:H1056)</f>
        <v>6.48461602975891</v>
      </c>
      <c r="J1056" s="53" t="n">
        <f aca="true">NORMINV(RAND(),0,J$7)</f>
        <v>0.457166349809186</v>
      </c>
      <c r="K1056" s="53" t="n">
        <f aca="true">NORMINV(RAND(),0,K$7)</f>
        <v>0.0478434866141648</v>
      </c>
      <c r="L1056" s="53" t="n">
        <f aca="true">NORMINV(RAND(),0,L$7)</f>
        <v>-0.204583905583362</v>
      </c>
      <c r="M1056" s="53" t="n">
        <f aca="true">NORMINV(RAND(),0,M$7)</f>
        <v>-0.00702661014917538</v>
      </c>
      <c r="N1056" s="53" t="n">
        <f aca="true">NORMINV(RAND(),0,N$7)</f>
        <v>-0.0531652150701218</v>
      </c>
      <c r="O1056" s="53" t="n">
        <f aca="false">SUM(J1056:N1056)</f>
        <v>0.240234105620691</v>
      </c>
    </row>
    <row r="1057" customFormat="false" ht="15" hidden="false" customHeight="false" outlineLevel="0" collapsed="false">
      <c r="A1057" s="2" t="n">
        <v>1049</v>
      </c>
      <c r="B1057" s="53" t="n">
        <f aca="true">NORMINV(RAND(),0,B$7)</f>
        <v>0.974948977436588</v>
      </c>
      <c r="C1057" s="53" t="n">
        <f aca="true">NORMINV(RAND(),0,C$7)</f>
        <v>3.31854876111613</v>
      </c>
      <c r="D1057" s="53" t="n">
        <f aca="true">NORMINV(RAND(),0,D$7)</f>
        <v>0.651231595520992</v>
      </c>
      <c r="E1057" s="53" t="n">
        <f aca="true">NORMINV(RAND(),0,E$7)</f>
        <v>0.769352233013162</v>
      </c>
      <c r="F1057" s="53" t="n">
        <f aca="true">NORMINV(RAND(),0,F$7)</f>
        <v>0.147936345022593</v>
      </c>
      <c r="G1057" s="53" t="n">
        <f aca="true">NORMINV(RAND(),0,G$7)</f>
        <v>-0.717427017343627</v>
      </c>
      <c r="H1057" s="53" t="n">
        <f aca="true">NORMINV(RAND(),0,H$7)</f>
        <v>-0.040033753942005</v>
      </c>
      <c r="I1057" s="53" t="n">
        <f aca="false">SUM(B1057:H1057)</f>
        <v>5.10455714082384</v>
      </c>
      <c r="J1057" s="53" t="n">
        <f aca="true">NORMINV(RAND(),0,J$7)</f>
        <v>1.2261631831425</v>
      </c>
      <c r="K1057" s="53" t="n">
        <f aca="true">NORMINV(RAND(),0,K$7)</f>
        <v>-0.561679075860691</v>
      </c>
      <c r="L1057" s="53" t="n">
        <f aca="true">NORMINV(RAND(),0,L$7)</f>
        <v>-0.215196793364687</v>
      </c>
      <c r="M1057" s="53" t="n">
        <f aca="true">NORMINV(RAND(),0,M$7)</f>
        <v>0.0671294164707799</v>
      </c>
      <c r="N1057" s="53" t="n">
        <f aca="true">NORMINV(RAND(),0,N$7)</f>
        <v>0.15425336001249</v>
      </c>
      <c r="O1057" s="53" t="n">
        <f aca="false">SUM(J1057:N1057)</f>
        <v>0.670670090400392</v>
      </c>
    </row>
    <row r="1058" customFormat="false" ht="15" hidden="false" customHeight="false" outlineLevel="0" collapsed="false">
      <c r="A1058" s="2" t="n">
        <v>1050</v>
      </c>
      <c r="B1058" s="53" t="n">
        <f aca="true">NORMINV(RAND(),0,B$7)</f>
        <v>0.389773172481363</v>
      </c>
      <c r="C1058" s="53" t="n">
        <f aca="true">NORMINV(RAND(),0,C$7)</f>
        <v>-1.49316497348409</v>
      </c>
      <c r="D1058" s="53" t="n">
        <f aca="true">NORMINV(RAND(),0,D$7)</f>
        <v>-1.84801656502961</v>
      </c>
      <c r="E1058" s="53" t="n">
        <f aca="true">NORMINV(RAND(),0,E$7)</f>
        <v>0.489115115521705</v>
      </c>
      <c r="F1058" s="53" t="n">
        <f aca="true">NORMINV(RAND(),0,F$7)</f>
        <v>-0.399441047189476</v>
      </c>
      <c r="G1058" s="53" t="n">
        <f aca="true">NORMINV(RAND(),0,G$7)</f>
        <v>-1.31392947710232</v>
      </c>
      <c r="H1058" s="53" t="n">
        <f aca="true">NORMINV(RAND(),0,H$7)</f>
        <v>0.432212455966753</v>
      </c>
      <c r="I1058" s="53" t="n">
        <f aca="false">SUM(B1058:H1058)</f>
        <v>-3.74345131883568</v>
      </c>
      <c r="J1058" s="53" t="n">
        <f aca="true">NORMINV(RAND(),0,J$7)</f>
        <v>-1.13999493242222</v>
      </c>
      <c r="K1058" s="53" t="n">
        <f aca="true">NORMINV(RAND(),0,K$7)</f>
        <v>0.47560422033522</v>
      </c>
      <c r="L1058" s="53" t="n">
        <f aca="true">NORMINV(RAND(),0,L$7)</f>
        <v>0.528568729729056</v>
      </c>
      <c r="M1058" s="53" t="n">
        <f aca="true">NORMINV(RAND(),0,M$7)</f>
        <v>-0.0877422676815556</v>
      </c>
      <c r="N1058" s="53" t="n">
        <f aca="true">NORMINV(RAND(),0,N$7)</f>
        <v>-0.226528584804961</v>
      </c>
      <c r="O1058" s="53" t="n">
        <f aca="false">SUM(J1058:N1058)</f>
        <v>-0.450092834844456</v>
      </c>
    </row>
    <row r="1059" customFormat="false" ht="15" hidden="false" customHeight="false" outlineLevel="0" collapsed="false">
      <c r="A1059" s="2" t="n">
        <v>1051</v>
      </c>
      <c r="B1059" s="53" t="n">
        <f aca="true">NORMINV(RAND(),0,B$7)</f>
        <v>-0.137377296160629</v>
      </c>
      <c r="C1059" s="53" t="n">
        <f aca="true">NORMINV(RAND(),0,C$7)</f>
        <v>-1.43223164218006</v>
      </c>
      <c r="D1059" s="53" t="n">
        <f aca="true">NORMINV(RAND(),0,D$7)</f>
        <v>1.3703517356189</v>
      </c>
      <c r="E1059" s="53" t="n">
        <f aca="true">NORMINV(RAND(),0,E$7)</f>
        <v>-0.224981391179204</v>
      </c>
      <c r="F1059" s="53" t="n">
        <f aca="true">NORMINV(RAND(),0,F$7)</f>
        <v>0.426484336504411</v>
      </c>
      <c r="G1059" s="53" t="n">
        <f aca="true">NORMINV(RAND(),0,G$7)</f>
        <v>-0.566561469379376</v>
      </c>
      <c r="H1059" s="53" t="n">
        <f aca="true">NORMINV(RAND(),0,H$7)</f>
        <v>0.0710806511895078</v>
      </c>
      <c r="I1059" s="53" t="n">
        <f aca="false">SUM(B1059:H1059)</f>
        <v>-0.493235075586452</v>
      </c>
      <c r="J1059" s="53" t="n">
        <f aca="true">NORMINV(RAND(),0,J$7)</f>
        <v>-1.66945459218172</v>
      </c>
      <c r="K1059" s="53" t="n">
        <f aca="true">NORMINV(RAND(),0,K$7)</f>
        <v>1.12306183464599</v>
      </c>
      <c r="L1059" s="53" t="n">
        <f aca="true">NORMINV(RAND(),0,L$7)</f>
        <v>-0.113604074172386</v>
      </c>
      <c r="M1059" s="53" t="n">
        <f aca="true">NORMINV(RAND(),0,M$7)</f>
        <v>0.063072722396475</v>
      </c>
      <c r="N1059" s="53" t="n">
        <f aca="true">NORMINV(RAND(),0,N$7)</f>
        <v>-0.33842630611292</v>
      </c>
      <c r="O1059" s="53" t="n">
        <f aca="false">SUM(J1059:N1059)</f>
        <v>-0.935350415424565</v>
      </c>
    </row>
    <row r="1060" customFormat="false" ht="15" hidden="false" customHeight="false" outlineLevel="0" collapsed="false">
      <c r="A1060" s="2" t="n">
        <v>1052</v>
      </c>
      <c r="B1060" s="53" t="n">
        <f aca="true">NORMINV(RAND(),0,B$7)</f>
        <v>0.838765599833459</v>
      </c>
      <c r="C1060" s="53" t="n">
        <f aca="true">NORMINV(RAND(),0,C$7)</f>
        <v>-0.44775244828719</v>
      </c>
      <c r="D1060" s="53" t="n">
        <f aca="true">NORMINV(RAND(),0,D$7)</f>
        <v>-1.91550448129212</v>
      </c>
      <c r="E1060" s="53" t="n">
        <f aca="true">NORMINV(RAND(),0,E$7)</f>
        <v>0.171545836944918</v>
      </c>
      <c r="F1060" s="53" t="n">
        <f aca="true">NORMINV(RAND(),0,F$7)</f>
        <v>-0.240031693656354</v>
      </c>
      <c r="G1060" s="53" t="n">
        <f aca="true">NORMINV(RAND(),0,G$7)</f>
        <v>2.29313811348575</v>
      </c>
      <c r="H1060" s="53" t="n">
        <f aca="true">NORMINV(RAND(),0,H$7)</f>
        <v>-0.240522306399284</v>
      </c>
      <c r="I1060" s="53" t="n">
        <f aca="false">SUM(B1060:H1060)</f>
        <v>0.459638620629186</v>
      </c>
      <c r="J1060" s="53" t="n">
        <f aca="true">NORMINV(RAND(),0,J$7)</f>
        <v>2.0378585639093</v>
      </c>
      <c r="K1060" s="53" t="n">
        <f aca="true">NORMINV(RAND(),0,K$7)</f>
        <v>0.268353880708063</v>
      </c>
      <c r="L1060" s="53" t="n">
        <f aca="true">NORMINV(RAND(),0,L$7)</f>
        <v>0.0956216228410854</v>
      </c>
      <c r="M1060" s="53" t="n">
        <f aca="true">NORMINV(RAND(),0,M$7)</f>
        <v>-0.173737718030076</v>
      </c>
      <c r="N1060" s="53" t="n">
        <f aca="true">NORMINV(RAND(),0,N$7)</f>
        <v>0.387774189028954</v>
      </c>
      <c r="O1060" s="53" t="n">
        <f aca="false">SUM(J1060:N1060)</f>
        <v>2.61587053845732</v>
      </c>
    </row>
    <row r="1061" customFormat="false" ht="15" hidden="false" customHeight="false" outlineLevel="0" collapsed="false">
      <c r="A1061" s="2" t="n">
        <v>1053</v>
      </c>
      <c r="B1061" s="53" t="n">
        <f aca="true">NORMINV(RAND(),0,B$7)</f>
        <v>-2.72821882121147</v>
      </c>
      <c r="C1061" s="53" t="n">
        <f aca="true">NORMINV(RAND(),0,C$7)</f>
        <v>1.01777233112235</v>
      </c>
      <c r="D1061" s="53" t="n">
        <f aca="true">NORMINV(RAND(),0,D$7)</f>
        <v>0.966176361870686</v>
      </c>
      <c r="E1061" s="53" t="n">
        <f aca="true">NORMINV(RAND(),0,E$7)</f>
        <v>0.114620914309536</v>
      </c>
      <c r="F1061" s="53" t="n">
        <f aca="true">NORMINV(RAND(),0,F$7)</f>
        <v>0.706827274086619</v>
      </c>
      <c r="G1061" s="53" t="n">
        <f aca="true">NORMINV(RAND(),0,G$7)</f>
        <v>0.188228841000909</v>
      </c>
      <c r="H1061" s="53" t="n">
        <f aca="true">NORMINV(RAND(),0,H$7)</f>
        <v>-0.0149667920871815</v>
      </c>
      <c r="I1061" s="53" t="n">
        <f aca="false">SUM(B1061:H1061)</f>
        <v>0.250440109091447</v>
      </c>
      <c r="J1061" s="53" t="n">
        <f aca="true">NORMINV(RAND(),0,J$7)</f>
        <v>-2.01758707004619</v>
      </c>
      <c r="K1061" s="53" t="n">
        <f aca="true">NORMINV(RAND(),0,K$7)</f>
        <v>-0.188127821563742</v>
      </c>
      <c r="L1061" s="53" t="n">
        <f aca="true">NORMINV(RAND(),0,L$7)</f>
        <v>0.235184532096534</v>
      </c>
      <c r="M1061" s="53" t="n">
        <f aca="true">NORMINV(RAND(),0,M$7)</f>
        <v>0.218074986661532</v>
      </c>
      <c r="N1061" s="53" t="n">
        <f aca="true">NORMINV(RAND(),0,N$7)</f>
        <v>0.129226770993371</v>
      </c>
      <c r="O1061" s="53" t="n">
        <f aca="false">SUM(J1061:N1061)</f>
        <v>-1.62322860185849</v>
      </c>
    </row>
    <row r="1062" customFormat="false" ht="15" hidden="false" customHeight="false" outlineLevel="0" collapsed="false">
      <c r="A1062" s="2" t="n">
        <v>1054</v>
      </c>
      <c r="B1062" s="53" t="n">
        <f aca="true">NORMINV(RAND(),0,B$7)</f>
        <v>-1.09485144163504</v>
      </c>
      <c r="C1062" s="53" t="n">
        <f aca="true">NORMINV(RAND(),0,C$7)</f>
        <v>-0.140375711032283</v>
      </c>
      <c r="D1062" s="53" t="n">
        <f aca="true">NORMINV(RAND(),0,D$7)</f>
        <v>2.36603211988713</v>
      </c>
      <c r="E1062" s="53" t="n">
        <f aca="true">NORMINV(RAND(),0,E$7)</f>
        <v>-0.161500510486823</v>
      </c>
      <c r="F1062" s="53" t="n">
        <f aca="true">NORMINV(RAND(),0,F$7)</f>
        <v>0.255192183412104</v>
      </c>
      <c r="G1062" s="53" t="n">
        <f aca="true">NORMINV(RAND(),0,G$7)</f>
        <v>0.598148645428801</v>
      </c>
      <c r="H1062" s="53" t="n">
        <f aca="true">NORMINV(RAND(),0,H$7)</f>
        <v>-0.9846903269054</v>
      </c>
      <c r="I1062" s="53" t="n">
        <f aca="false">SUM(B1062:H1062)</f>
        <v>0.837954958668487</v>
      </c>
      <c r="J1062" s="53" t="n">
        <f aca="true">NORMINV(RAND(),0,J$7)</f>
        <v>-0.74011301916184</v>
      </c>
      <c r="K1062" s="53" t="n">
        <f aca="true">NORMINV(RAND(),0,K$7)</f>
        <v>0.549321642098951</v>
      </c>
      <c r="L1062" s="53" t="n">
        <f aca="true">NORMINV(RAND(),0,L$7)</f>
        <v>-0.259726805610159</v>
      </c>
      <c r="M1062" s="53" t="n">
        <f aca="true">NORMINV(RAND(),0,M$7)</f>
        <v>-0.0122367245456192</v>
      </c>
      <c r="N1062" s="53" t="n">
        <f aca="true">NORMINV(RAND(),0,N$7)</f>
        <v>-0.673069568291493</v>
      </c>
      <c r="O1062" s="53" t="n">
        <f aca="false">SUM(J1062:N1062)</f>
        <v>-1.13582447551016</v>
      </c>
    </row>
    <row r="1063" customFormat="false" ht="15" hidden="false" customHeight="false" outlineLevel="0" collapsed="false">
      <c r="A1063" s="2" t="n">
        <v>1055</v>
      </c>
      <c r="B1063" s="53" t="n">
        <f aca="true">NORMINV(RAND(),0,B$7)</f>
        <v>-0.202437037922694</v>
      </c>
      <c r="C1063" s="53" t="n">
        <f aca="true">NORMINV(RAND(),0,C$7)</f>
        <v>1.26430615137059</v>
      </c>
      <c r="D1063" s="53" t="n">
        <f aca="true">NORMINV(RAND(),0,D$7)</f>
        <v>-2.95317367651917</v>
      </c>
      <c r="E1063" s="53" t="n">
        <f aca="true">NORMINV(RAND(),0,E$7)</f>
        <v>-0.152330472886127</v>
      </c>
      <c r="F1063" s="53" t="n">
        <f aca="true">NORMINV(RAND(),0,F$7)</f>
        <v>0.164322647016064</v>
      </c>
      <c r="G1063" s="53" t="n">
        <f aca="true">NORMINV(RAND(),0,G$7)</f>
        <v>0.533937880671443</v>
      </c>
      <c r="H1063" s="53" t="n">
        <f aca="true">NORMINV(RAND(),0,H$7)</f>
        <v>0.309150884035399</v>
      </c>
      <c r="I1063" s="53" t="n">
        <f aca="false">SUM(B1063:H1063)</f>
        <v>-1.0362236242345</v>
      </c>
      <c r="J1063" s="53" t="n">
        <f aca="true">NORMINV(RAND(),0,J$7)</f>
        <v>-0.630846597198389</v>
      </c>
      <c r="K1063" s="53" t="n">
        <f aca="true">NORMINV(RAND(),0,K$7)</f>
        <v>-0.691910979774633</v>
      </c>
      <c r="L1063" s="53" t="n">
        <f aca="true">NORMINV(RAND(),0,L$7)</f>
        <v>0.045636447882233</v>
      </c>
      <c r="M1063" s="53" t="n">
        <f aca="true">NORMINV(RAND(),0,M$7)</f>
        <v>-0.338974892496863</v>
      </c>
      <c r="N1063" s="53" t="n">
        <f aca="true">NORMINV(RAND(),0,N$7)</f>
        <v>0.321786643162103</v>
      </c>
      <c r="O1063" s="53" t="n">
        <f aca="false">SUM(J1063:N1063)</f>
        <v>-1.29430937842555</v>
      </c>
    </row>
    <row r="1064" customFormat="false" ht="15" hidden="false" customHeight="false" outlineLevel="0" collapsed="false">
      <c r="A1064" s="2" t="n">
        <v>1056</v>
      </c>
      <c r="B1064" s="53" t="n">
        <f aca="true">NORMINV(RAND(),0,B$7)</f>
        <v>-0.75626995321038</v>
      </c>
      <c r="C1064" s="53" t="n">
        <f aca="true">NORMINV(RAND(),0,C$7)</f>
        <v>0.00393941966459895</v>
      </c>
      <c r="D1064" s="53" t="n">
        <f aca="true">NORMINV(RAND(),0,D$7)</f>
        <v>1.29994468780188</v>
      </c>
      <c r="E1064" s="53" t="n">
        <f aca="true">NORMINV(RAND(),0,E$7)</f>
        <v>0.145647339673559</v>
      </c>
      <c r="F1064" s="53" t="n">
        <f aca="true">NORMINV(RAND(),0,F$7)</f>
        <v>0.0916535991969384</v>
      </c>
      <c r="G1064" s="53" t="n">
        <f aca="true">NORMINV(RAND(),0,G$7)</f>
        <v>-2.0087765803895</v>
      </c>
      <c r="H1064" s="53" t="n">
        <f aca="true">NORMINV(RAND(),0,H$7)</f>
        <v>0.102617313153551</v>
      </c>
      <c r="I1064" s="53" t="n">
        <f aca="false">SUM(B1064:H1064)</f>
        <v>-1.12124417410935</v>
      </c>
      <c r="J1064" s="53" t="n">
        <f aca="true">NORMINV(RAND(),0,J$7)</f>
        <v>0.897595048755459</v>
      </c>
      <c r="K1064" s="53" t="n">
        <f aca="true">NORMINV(RAND(),0,K$7)</f>
        <v>0.140280664795111</v>
      </c>
      <c r="L1064" s="53" t="n">
        <f aca="true">NORMINV(RAND(),0,L$7)</f>
        <v>0.197224092390756</v>
      </c>
      <c r="M1064" s="53" t="n">
        <f aca="true">NORMINV(RAND(),0,M$7)</f>
        <v>-0.0883182393738991</v>
      </c>
      <c r="N1064" s="53" t="n">
        <f aca="true">NORMINV(RAND(),0,N$7)</f>
        <v>-0.368335328005465</v>
      </c>
      <c r="O1064" s="53" t="n">
        <f aca="false">SUM(J1064:N1064)</f>
        <v>0.778446238561963</v>
      </c>
    </row>
    <row r="1065" customFormat="false" ht="15" hidden="false" customHeight="false" outlineLevel="0" collapsed="false">
      <c r="A1065" s="2" t="n">
        <v>1057</v>
      </c>
      <c r="B1065" s="53" t="n">
        <f aca="true">NORMINV(RAND(),0,B$7)</f>
        <v>1.19486754105404</v>
      </c>
      <c r="C1065" s="53" t="n">
        <f aca="true">NORMINV(RAND(),0,C$7)</f>
        <v>2.34232955039298</v>
      </c>
      <c r="D1065" s="53" t="n">
        <f aca="true">NORMINV(RAND(),0,D$7)</f>
        <v>-3.61320677962246</v>
      </c>
      <c r="E1065" s="53" t="n">
        <f aca="true">NORMINV(RAND(),0,E$7)</f>
        <v>0.6579029565939</v>
      </c>
      <c r="F1065" s="53" t="n">
        <f aca="true">NORMINV(RAND(),0,F$7)</f>
        <v>-0.0839500911396693</v>
      </c>
      <c r="G1065" s="53" t="n">
        <f aca="true">NORMINV(RAND(),0,G$7)</f>
        <v>0.12656376057724</v>
      </c>
      <c r="H1065" s="53" t="n">
        <f aca="true">NORMINV(RAND(),0,H$7)</f>
        <v>0.286534077284427</v>
      </c>
      <c r="I1065" s="53" t="n">
        <f aca="false">SUM(B1065:H1065)</f>
        <v>0.911041015140456</v>
      </c>
      <c r="J1065" s="53" t="n">
        <f aca="true">NORMINV(RAND(),0,J$7)</f>
        <v>-1.22400571911644</v>
      </c>
      <c r="K1065" s="53" t="n">
        <f aca="true">NORMINV(RAND(),0,K$7)</f>
        <v>-0.178964874301081</v>
      </c>
      <c r="L1065" s="53" t="n">
        <f aca="true">NORMINV(RAND(),0,L$7)</f>
        <v>-0.617356797301411</v>
      </c>
      <c r="M1065" s="53" t="n">
        <f aca="true">NORMINV(RAND(),0,M$7)</f>
        <v>-0.323264697371436</v>
      </c>
      <c r="N1065" s="53" t="n">
        <f aca="true">NORMINV(RAND(),0,N$7)</f>
        <v>0.232290684118921</v>
      </c>
      <c r="O1065" s="53" t="n">
        <f aca="false">SUM(J1065:N1065)</f>
        <v>-2.11130140397145</v>
      </c>
    </row>
    <row r="1066" customFormat="false" ht="15" hidden="false" customHeight="false" outlineLevel="0" collapsed="false">
      <c r="A1066" s="2" t="n">
        <v>1058</v>
      </c>
      <c r="B1066" s="53" t="n">
        <f aca="true">NORMINV(RAND(),0,B$7)</f>
        <v>0.568916485140169</v>
      </c>
      <c r="C1066" s="53" t="n">
        <f aca="true">NORMINV(RAND(),0,C$7)</f>
        <v>0.910201282877408</v>
      </c>
      <c r="D1066" s="53" t="n">
        <f aca="true">NORMINV(RAND(),0,D$7)</f>
        <v>0.858688882692726</v>
      </c>
      <c r="E1066" s="53" t="n">
        <f aca="true">NORMINV(RAND(),0,E$7)</f>
        <v>-0.0639512996186296</v>
      </c>
      <c r="F1066" s="53" t="n">
        <f aca="true">NORMINV(RAND(),0,F$7)</f>
        <v>-0.0313395399644256</v>
      </c>
      <c r="G1066" s="53" t="n">
        <f aca="true">NORMINV(RAND(),0,G$7)</f>
        <v>1.63537907788378</v>
      </c>
      <c r="H1066" s="53" t="n">
        <f aca="true">NORMINV(RAND(),0,H$7)</f>
        <v>-0.356148575368523</v>
      </c>
      <c r="I1066" s="53" t="n">
        <f aca="false">SUM(B1066:H1066)</f>
        <v>3.52174631364251</v>
      </c>
      <c r="J1066" s="53" t="n">
        <f aca="true">NORMINV(RAND(),0,J$7)</f>
        <v>-0.546407126894706</v>
      </c>
      <c r="K1066" s="53" t="n">
        <f aca="true">NORMINV(RAND(),0,K$7)</f>
        <v>-0.49494472322422</v>
      </c>
      <c r="L1066" s="53" t="n">
        <f aca="true">NORMINV(RAND(),0,L$7)</f>
        <v>-0.122735977622961</v>
      </c>
      <c r="M1066" s="53" t="n">
        <f aca="true">NORMINV(RAND(),0,M$7)</f>
        <v>0.0871555772836605</v>
      </c>
      <c r="N1066" s="53" t="n">
        <f aca="true">NORMINV(RAND(),0,N$7)</f>
        <v>0.330175610868216</v>
      </c>
      <c r="O1066" s="53" t="n">
        <f aca="false">SUM(J1066:N1066)</f>
        <v>-0.746756639590011</v>
      </c>
    </row>
    <row r="1067" customFormat="false" ht="15" hidden="false" customHeight="false" outlineLevel="0" collapsed="false">
      <c r="A1067" s="2" t="n">
        <v>1059</v>
      </c>
      <c r="B1067" s="53" t="n">
        <f aca="true">NORMINV(RAND(),0,B$7)</f>
        <v>-2.10194922104589</v>
      </c>
      <c r="C1067" s="53" t="n">
        <f aca="true">NORMINV(RAND(),0,C$7)</f>
        <v>-1.54887625617567</v>
      </c>
      <c r="D1067" s="53" t="n">
        <f aca="true">NORMINV(RAND(),0,D$7)</f>
        <v>-2.00672603039976</v>
      </c>
      <c r="E1067" s="53" t="n">
        <f aca="true">NORMINV(RAND(),0,E$7)</f>
        <v>-0.0881030120102441</v>
      </c>
      <c r="F1067" s="53" t="n">
        <f aca="true">NORMINV(RAND(),0,F$7)</f>
        <v>-0.133665449403713</v>
      </c>
      <c r="G1067" s="53" t="n">
        <f aca="true">NORMINV(RAND(),0,G$7)</f>
        <v>0.829439480018519</v>
      </c>
      <c r="H1067" s="53" t="n">
        <f aca="true">NORMINV(RAND(),0,H$7)</f>
        <v>-0.601362941503259</v>
      </c>
      <c r="I1067" s="53" t="n">
        <f aca="false">SUM(B1067:H1067)</f>
        <v>-5.65124343052002</v>
      </c>
      <c r="J1067" s="53" t="n">
        <f aca="true">NORMINV(RAND(),0,J$7)</f>
        <v>-2.67702631326742</v>
      </c>
      <c r="K1067" s="53" t="n">
        <f aca="true">NORMINV(RAND(),0,K$7)</f>
        <v>0.264034461014244</v>
      </c>
      <c r="L1067" s="53" t="n">
        <f aca="true">NORMINV(RAND(),0,L$7)</f>
        <v>-0.0276475879712137</v>
      </c>
      <c r="M1067" s="53" t="n">
        <f aca="true">NORMINV(RAND(),0,M$7)</f>
        <v>0.0844840032893648</v>
      </c>
      <c r="N1067" s="53" t="n">
        <f aca="true">NORMINV(RAND(),0,N$7)</f>
        <v>0.65506531892725</v>
      </c>
      <c r="O1067" s="53" t="n">
        <f aca="false">SUM(J1067:N1067)</f>
        <v>-1.70109011800777</v>
      </c>
    </row>
    <row r="1068" customFormat="false" ht="15" hidden="false" customHeight="false" outlineLevel="0" collapsed="false">
      <c r="A1068" s="2" t="n">
        <v>1060</v>
      </c>
      <c r="B1068" s="53" t="n">
        <f aca="true">NORMINV(RAND(),0,B$7)</f>
        <v>0.41266361825293</v>
      </c>
      <c r="C1068" s="53" t="n">
        <f aca="true">NORMINV(RAND(),0,C$7)</f>
        <v>-1.14272757597749</v>
      </c>
      <c r="D1068" s="53" t="n">
        <f aca="true">NORMINV(RAND(),0,D$7)</f>
        <v>-0.14994179941016</v>
      </c>
      <c r="E1068" s="53" t="n">
        <f aca="true">NORMINV(RAND(),0,E$7)</f>
        <v>-0.0425185265408634</v>
      </c>
      <c r="F1068" s="53" t="n">
        <f aca="true">NORMINV(RAND(),0,F$7)</f>
        <v>-0.0605786181492919</v>
      </c>
      <c r="G1068" s="53" t="n">
        <f aca="true">NORMINV(RAND(),0,G$7)</f>
        <v>-0.205509641835237</v>
      </c>
      <c r="H1068" s="53" t="n">
        <f aca="true">NORMINV(RAND(),0,H$7)</f>
        <v>-0.176057991353267</v>
      </c>
      <c r="I1068" s="53" t="n">
        <f aca="false">SUM(B1068:H1068)</f>
        <v>-1.36467053501338</v>
      </c>
      <c r="J1068" s="53" t="n">
        <f aca="true">NORMINV(RAND(),0,J$7)</f>
        <v>1.39811498438398</v>
      </c>
      <c r="K1068" s="53" t="n">
        <f aca="true">NORMINV(RAND(),0,K$7)</f>
        <v>-0.349346506523741</v>
      </c>
      <c r="L1068" s="53" t="n">
        <f aca="true">NORMINV(RAND(),0,L$7)</f>
        <v>-0.0883784946724827</v>
      </c>
      <c r="M1068" s="53" t="n">
        <f aca="true">NORMINV(RAND(),0,M$7)</f>
        <v>-0.00347269139697216</v>
      </c>
      <c r="N1068" s="53" t="n">
        <f aca="true">NORMINV(RAND(),0,N$7)</f>
        <v>0.144353365684405</v>
      </c>
      <c r="O1068" s="53" t="n">
        <f aca="false">SUM(J1068:N1068)</f>
        <v>1.10127065747519</v>
      </c>
    </row>
    <row r="1069" customFormat="false" ht="15" hidden="false" customHeight="false" outlineLevel="0" collapsed="false">
      <c r="A1069" s="2" t="n">
        <v>1061</v>
      </c>
      <c r="B1069" s="53" t="n">
        <f aca="true">NORMINV(RAND(),0,B$7)</f>
        <v>-0.391327523819238</v>
      </c>
      <c r="C1069" s="53" t="n">
        <f aca="true">NORMINV(RAND(),0,C$7)</f>
        <v>-2.36133449741799</v>
      </c>
      <c r="D1069" s="53" t="n">
        <f aca="true">NORMINV(RAND(),0,D$7)</f>
        <v>2.9220358470953</v>
      </c>
      <c r="E1069" s="53" t="n">
        <f aca="true">NORMINV(RAND(),0,E$7)</f>
        <v>0.129268524352063</v>
      </c>
      <c r="F1069" s="53" t="n">
        <f aca="true">NORMINV(RAND(),0,F$7)</f>
        <v>-0.444508324162407</v>
      </c>
      <c r="G1069" s="53" t="n">
        <f aca="true">NORMINV(RAND(),0,G$7)</f>
        <v>0.10252687923167</v>
      </c>
      <c r="H1069" s="53" t="n">
        <f aca="true">NORMINV(RAND(),0,H$7)</f>
        <v>-0.243979035151189</v>
      </c>
      <c r="I1069" s="53" t="n">
        <f aca="false">SUM(B1069:H1069)</f>
        <v>-0.287318129871792</v>
      </c>
      <c r="J1069" s="53" t="n">
        <f aca="true">NORMINV(RAND(),0,J$7)</f>
        <v>-2.65739716787109</v>
      </c>
      <c r="K1069" s="53" t="n">
        <f aca="true">NORMINV(RAND(),0,K$7)</f>
        <v>-0.322527191190463</v>
      </c>
      <c r="L1069" s="53" t="n">
        <f aca="true">NORMINV(RAND(),0,L$7)</f>
        <v>0.340459147289883</v>
      </c>
      <c r="M1069" s="53" t="n">
        <f aca="true">NORMINV(RAND(),0,M$7)</f>
        <v>0.0421701448485568</v>
      </c>
      <c r="N1069" s="53" t="n">
        <f aca="true">NORMINV(RAND(),0,N$7)</f>
        <v>0.120063027250538</v>
      </c>
      <c r="O1069" s="53" t="n">
        <f aca="false">SUM(J1069:N1069)</f>
        <v>-2.47723203967258</v>
      </c>
    </row>
    <row r="1070" customFormat="false" ht="15" hidden="false" customHeight="false" outlineLevel="0" collapsed="false">
      <c r="A1070" s="2" t="n">
        <v>1062</v>
      </c>
      <c r="B1070" s="53" t="n">
        <f aca="true">NORMINV(RAND(),0,B$7)</f>
        <v>-0.270465092047635</v>
      </c>
      <c r="C1070" s="53" t="n">
        <f aca="true">NORMINV(RAND(),0,C$7)</f>
        <v>-0.0985925077915608</v>
      </c>
      <c r="D1070" s="53" t="n">
        <f aca="true">NORMINV(RAND(),0,D$7)</f>
        <v>1.62703231094478</v>
      </c>
      <c r="E1070" s="53" t="n">
        <f aca="true">NORMINV(RAND(),0,E$7)</f>
        <v>-0.0953813467916234</v>
      </c>
      <c r="F1070" s="53" t="n">
        <f aca="true">NORMINV(RAND(),0,F$7)</f>
        <v>0.440581266064448</v>
      </c>
      <c r="G1070" s="53" t="n">
        <f aca="true">NORMINV(RAND(),0,G$7)</f>
        <v>-1.01898225870898</v>
      </c>
      <c r="H1070" s="53" t="n">
        <f aca="true">NORMINV(RAND(),0,H$7)</f>
        <v>0.502596585848226</v>
      </c>
      <c r="I1070" s="53" t="n">
        <f aca="false">SUM(B1070:H1070)</f>
        <v>1.08678895751766</v>
      </c>
      <c r="J1070" s="53" t="n">
        <f aca="true">NORMINV(RAND(),0,J$7)</f>
        <v>-2.24905988220941</v>
      </c>
      <c r="K1070" s="53" t="n">
        <f aca="true">NORMINV(RAND(),0,K$7)</f>
        <v>0.0308875946858433</v>
      </c>
      <c r="L1070" s="53" t="n">
        <f aca="true">NORMINV(RAND(),0,L$7)</f>
        <v>-0.606269729018084</v>
      </c>
      <c r="M1070" s="53" t="n">
        <f aca="true">NORMINV(RAND(),0,M$7)</f>
        <v>0.210411514695612</v>
      </c>
      <c r="N1070" s="53" t="n">
        <f aca="true">NORMINV(RAND(),0,N$7)</f>
        <v>0.147303500326472</v>
      </c>
      <c r="O1070" s="53" t="n">
        <f aca="false">SUM(J1070:N1070)</f>
        <v>-2.46672700151956</v>
      </c>
    </row>
    <row r="1071" customFormat="false" ht="15" hidden="false" customHeight="false" outlineLevel="0" collapsed="false">
      <c r="A1071" s="2" t="n">
        <v>1063</v>
      </c>
      <c r="B1071" s="53" t="n">
        <f aca="true">NORMINV(RAND(),0,B$7)</f>
        <v>-1.52163731235656</v>
      </c>
      <c r="C1071" s="53" t="n">
        <f aca="true">NORMINV(RAND(),0,C$7)</f>
        <v>1.86633254436974</v>
      </c>
      <c r="D1071" s="53" t="n">
        <f aca="true">NORMINV(RAND(),0,D$7)</f>
        <v>-1.32645974658382</v>
      </c>
      <c r="E1071" s="53" t="n">
        <f aca="true">NORMINV(RAND(),0,E$7)</f>
        <v>-0.285324291142681</v>
      </c>
      <c r="F1071" s="53" t="n">
        <f aca="true">NORMINV(RAND(),0,F$7)</f>
        <v>0.192809880332558</v>
      </c>
      <c r="G1071" s="53" t="n">
        <f aca="true">NORMINV(RAND(),0,G$7)</f>
        <v>0.16814998613995</v>
      </c>
      <c r="H1071" s="53" t="n">
        <f aca="true">NORMINV(RAND(),0,H$7)</f>
        <v>-0.0962489370645267</v>
      </c>
      <c r="I1071" s="53" t="n">
        <f aca="false">SUM(B1071:H1071)</f>
        <v>-1.00237787630534</v>
      </c>
      <c r="J1071" s="53" t="n">
        <f aca="true">NORMINV(RAND(),0,J$7)</f>
        <v>3.48732277468821</v>
      </c>
      <c r="K1071" s="53" t="n">
        <f aca="true">NORMINV(RAND(),0,K$7)</f>
        <v>0.00594590595629294</v>
      </c>
      <c r="L1071" s="53" t="n">
        <f aca="true">NORMINV(RAND(),0,L$7)</f>
        <v>-0.694161209449657</v>
      </c>
      <c r="M1071" s="53" t="n">
        <f aca="true">NORMINV(RAND(),0,M$7)</f>
        <v>-0.035296424250545</v>
      </c>
      <c r="N1071" s="53" t="n">
        <f aca="true">NORMINV(RAND(),0,N$7)</f>
        <v>0.260780043692676</v>
      </c>
      <c r="O1071" s="53" t="n">
        <f aca="false">SUM(J1071:N1071)</f>
        <v>3.02459109063698</v>
      </c>
    </row>
    <row r="1072" customFormat="false" ht="15" hidden="false" customHeight="false" outlineLevel="0" collapsed="false">
      <c r="A1072" s="2" t="n">
        <v>1064</v>
      </c>
      <c r="B1072" s="53" t="n">
        <f aca="true">NORMINV(RAND(),0,B$7)</f>
        <v>0.950867171860567</v>
      </c>
      <c r="C1072" s="53" t="n">
        <f aca="true">NORMINV(RAND(),0,C$7)</f>
        <v>-3.24292438244084</v>
      </c>
      <c r="D1072" s="53" t="n">
        <f aca="true">NORMINV(RAND(),0,D$7)</f>
        <v>0.415055081979811</v>
      </c>
      <c r="E1072" s="53" t="n">
        <f aca="true">NORMINV(RAND(),0,E$7)</f>
        <v>0.0969065803770998</v>
      </c>
      <c r="F1072" s="53" t="n">
        <f aca="true">NORMINV(RAND(),0,F$7)</f>
        <v>-0.454444729208279</v>
      </c>
      <c r="G1072" s="53" t="n">
        <f aca="true">NORMINV(RAND(),0,G$7)</f>
        <v>-1.94411688053873</v>
      </c>
      <c r="H1072" s="53" t="n">
        <f aca="true">NORMINV(RAND(),0,H$7)</f>
        <v>0.0637611030756418</v>
      </c>
      <c r="I1072" s="53" t="n">
        <f aca="false">SUM(B1072:H1072)</f>
        <v>-4.11489605489473</v>
      </c>
      <c r="J1072" s="53" t="n">
        <f aca="true">NORMINV(RAND(),0,J$7)</f>
        <v>-1.59728417352397</v>
      </c>
      <c r="K1072" s="53" t="n">
        <f aca="true">NORMINV(RAND(),0,K$7)</f>
        <v>1.71480959523922</v>
      </c>
      <c r="L1072" s="53" t="n">
        <f aca="true">NORMINV(RAND(),0,L$7)</f>
        <v>-0.26355738658142</v>
      </c>
      <c r="M1072" s="53" t="n">
        <f aca="true">NORMINV(RAND(),0,M$7)</f>
        <v>-0.377896813640422</v>
      </c>
      <c r="N1072" s="53" t="n">
        <f aca="true">NORMINV(RAND(),0,N$7)</f>
        <v>0.00536976080050287</v>
      </c>
      <c r="O1072" s="53" t="n">
        <f aca="false">SUM(J1072:N1072)</f>
        <v>-0.518559017706094</v>
      </c>
    </row>
    <row r="1073" customFormat="false" ht="15" hidden="false" customHeight="false" outlineLevel="0" collapsed="false">
      <c r="A1073" s="2" t="n">
        <v>1065</v>
      </c>
      <c r="B1073" s="53" t="n">
        <f aca="true">NORMINV(RAND(),0,B$7)</f>
        <v>1.1310510439295</v>
      </c>
      <c r="C1073" s="53" t="n">
        <f aca="true">NORMINV(RAND(),0,C$7)</f>
        <v>-0.914226868561678</v>
      </c>
      <c r="D1073" s="53" t="n">
        <f aca="true">NORMINV(RAND(),0,D$7)</f>
        <v>2.54541375360314</v>
      </c>
      <c r="E1073" s="53" t="n">
        <f aca="true">NORMINV(RAND(),0,E$7)</f>
        <v>-0.373879630399221</v>
      </c>
      <c r="F1073" s="53" t="n">
        <f aca="true">NORMINV(RAND(),0,F$7)</f>
        <v>0.208860982957443</v>
      </c>
      <c r="G1073" s="53" t="n">
        <f aca="true">NORMINV(RAND(),0,G$7)</f>
        <v>1.44681467014753</v>
      </c>
      <c r="H1073" s="53" t="n">
        <f aca="true">NORMINV(RAND(),0,H$7)</f>
        <v>-0.645393435839949</v>
      </c>
      <c r="I1073" s="53" t="n">
        <f aca="false">SUM(B1073:H1073)</f>
        <v>3.39864051583677</v>
      </c>
      <c r="J1073" s="53" t="n">
        <f aca="true">NORMINV(RAND(),0,J$7)</f>
        <v>-0.761409274821557</v>
      </c>
      <c r="K1073" s="53" t="n">
        <f aca="true">NORMINV(RAND(),0,K$7)</f>
        <v>-0.48661443057867</v>
      </c>
      <c r="L1073" s="53" t="n">
        <f aca="true">NORMINV(RAND(),0,L$7)</f>
        <v>-0.0517165884598048</v>
      </c>
      <c r="M1073" s="53" t="n">
        <f aca="true">NORMINV(RAND(),0,M$7)</f>
        <v>-0.103715296141686</v>
      </c>
      <c r="N1073" s="53" t="n">
        <f aca="true">NORMINV(RAND(),0,N$7)</f>
        <v>-0.905874891199625</v>
      </c>
      <c r="O1073" s="53" t="n">
        <f aca="false">SUM(J1073:N1073)</f>
        <v>-2.30933048120134</v>
      </c>
    </row>
    <row r="1074" customFormat="false" ht="15" hidden="false" customHeight="false" outlineLevel="0" collapsed="false">
      <c r="A1074" s="2" t="n">
        <v>1066</v>
      </c>
      <c r="B1074" s="53" t="n">
        <f aca="true">NORMINV(RAND(),0,B$7)</f>
        <v>2.16619289620246</v>
      </c>
      <c r="C1074" s="53" t="n">
        <f aca="true">NORMINV(RAND(),0,C$7)</f>
        <v>2.09080328160066</v>
      </c>
      <c r="D1074" s="53" t="n">
        <f aca="true">NORMINV(RAND(),0,D$7)</f>
        <v>0.0414066953077173</v>
      </c>
      <c r="E1074" s="53" t="n">
        <f aca="true">NORMINV(RAND(),0,E$7)</f>
        <v>-0.371321446471898</v>
      </c>
      <c r="F1074" s="53" t="n">
        <f aca="true">NORMINV(RAND(),0,F$7)</f>
        <v>-0.388679530911358</v>
      </c>
      <c r="G1074" s="53" t="n">
        <f aca="true">NORMINV(RAND(),0,G$7)</f>
        <v>1.72632214662518</v>
      </c>
      <c r="H1074" s="53" t="n">
        <f aca="true">NORMINV(RAND(),0,H$7)</f>
        <v>0.947068281018207</v>
      </c>
      <c r="I1074" s="53" t="n">
        <f aca="false">SUM(B1074:H1074)</f>
        <v>6.21179232337097</v>
      </c>
      <c r="J1074" s="53" t="n">
        <f aca="true">NORMINV(RAND(),0,J$7)</f>
        <v>1.20217383333463</v>
      </c>
      <c r="K1074" s="53" t="n">
        <f aca="true">NORMINV(RAND(),0,K$7)</f>
        <v>0.0601772974620252</v>
      </c>
      <c r="L1074" s="53" t="n">
        <f aca="true">NORMINV(RAND(),0,L$7)</f>
        <v>-0.384133944380021</v>
      </c>
      <c r="M1074" s="53" t="n">
        <f aca="true">NORMINV(RAND(),0,M$7)</f>
        <v>0.21336634588581</v>
      </c>
      <c r="N1074" s="53" t="n">
        <f aca="true">NORMINV(RAND(),0,N$7)</f>
        <v>0.463506941242474</v>
      </c>
      <c r="O1074" s="53" t="n">
        <f aca="false">SUM(J1074:N1074)</f>
        <v>1.55509047354492</v>
      </c>
    </row>
    <row r="1075" customFormat="false" ht="15" hidden="false" customHeight="false" outlineLevel="0" collapsed="false">
      <c r="A1075" s="2" t="n">
        <v>1067</v>
      </c>
      <c r="B1075" s="53" t="n">
        <f aca="true">NORMINV(RAND(),0,B$7)</f>
        <v>-0.594489620859512</v>
      </c>
      <c r="C1075" s="53" t="n">
        <f aca="true">NORMINV(RAND(),0,C$7)</f>
        <v>2.80277132420817</v>
      </c>
      <c r="D1075" s="53" t="n">
        <f aca="true">NORMINV(RAND(),0,D$7)</f>
        <v>-0.978951215148402</v>
      </c>
      <c r="E1075" s="53" t="n">
        <f aca="true">NORMINV(RAND(),0,E$7)</f>
        <v>-0.254240019127084</v>
      </c>
      <c r="F1075" s="53" t="n">
        <f aca="true">NORMINV(RAND(),0,F$7)</f>
        <v>0.155891080000852</v>
      </c>
      <c r="G1075" s="53" t="n">
        <f aca="true">NORMINV(RAND(),0,G$7)</f>
        <v>-0.783747412395967</v>
      </c>
      <c r="H1075" s="53" t="n">
        <f aca="true">NORMINV(RAND(),0,H$7)</f>
        <v>0.544816975308098</v>
      </c>
      <c r="I1075" s="53" t="n">
        <f aca="false">SUM(B1075:H1075)</f>
        <v>0.892051111986155</v>
      </c>
      <c r="J1075" s="53" t="n">
        <f aca="true">NORMINV(RAND(),0,J$7)</f>
        <v>-0.588531846914886</v>
      </c>
      <c r="K1075" s="53" t="n">
        <f aca="true">NORMINV(RAND(),0,K$7)</f>
        <v>-0.961822979081243</v>
      </c>
      <c r="L1075" s="53" t="n">
        <f aca="true">NORMINV(RAND(),0,L$7)</f>
        <v>0.372331982450808</v>
      </c>
      <c r="M1075" s="53" t="n">
        <f aca="true">NORMINV(RAND(),0,M$7)</f>
        <v>-0.355514555086285</v>
      </c>
      <c r="N1075" s="53" t="n">
        <f aca="true">NORMINV(RAND(),0,N$7)</f>
        <v>-0.0403465175080498</v>
      </c>
      <c r="O1075" s="53" t="n">
        <f aca="false">SUM(J1075:N1075)</f>
        <v>-1.57388391613966</v>
      </c>
    </row>
    <row r="1076" customFormat="false" ht="15" hidden="false" customHeight="false" outlineLevel="0" collapsed="false">
      <c r="A1076" s="2" t="n">
        <v>1068</v>
      </c>
      <c r="B1076" s="53" t="n">
        <f aca="true">NORMINV(RAND(),0,B$7)</f>
        <v>-0.740404676056713</v>
      </c>
      <c r="C1076" s="53" t="n">
        <f aca="true">NORMINV(RAND(),0,C$7)</f>
        <v>-0.462556298307471</v>
      </c>
      <c r="D1076" s="53" t="n">
        <f aca="true">NORMINV(RAND(),0,D$7)</f>
        <v>0.829246813017622</v>
      </c>
      <c r="E1076" s="53" t="n">
        <f aca="true">NORMINV(RAND(),0,E$7)</f>
        <v>0.432637483546531</v>
      </c>
      <c r="F1076" s="53" t="n">
        <f aca="true">NORMINV(RAND(),0,F$7)</f>
        <v>-0.162698224510157</v>
      </c>
      <c r="G1076" s="53" t="n">
        <f aca="true">NORMINV(RAND(),0,G$7)</f>
        <v>1.36400808139592</v>
      </c>
      <c r="H1076" s="53" t="n">
        <f aca="true">NORMINV(RAND(),0,H$7)</f>
        <v>0.327000206435552</v>
      </c>
      <c r="I1076" s="53" t="n">
        <f aca="false">SUM(B1076:H1076)</f>
        <v>1.58723338552129</v>
      </c>
      <c r="J1076" s="53" t="n">
        <f aca="true">NORMINV(RAND(),0,J$7)</f>
        <v>-1.45648075163736</v>
      </c>
      <c r="K1076" s="53" t="n">
        <f aca="true">NORMINV(RAND(),0,K$7)</f>
        <v>1.71906508903801</v>
      </c>
      <c r="L1076" s="53" t="n">
        <f aca="true">NORMINV(RAND(),0,L$7)</f>
        <v>-0.411999382143389</v>
      </c>
      <c r="M1076" s="53" t="n">
        <f aca="true">NORMINV(RAND(),0,M$7)</f>
        <v>0.121075036872411</v>
      </c>
      <c r="N1076" s="53" t="n">
        <f aca="true">NORMINV(RAND(),0,N$7)</f>
        <v>-0.085826154749565</v>
      </c>
      <c r="O1076" s="53" t="n">
        <f aca="false">SUM(J1076:N1076)</f>
        <v>-0.114166162619891</v>
      </c>
    </row>
    <row r="1077" customFormat="false" ht="15" hidden="false" customHeight="false" outlineLevel="0" collapsed="false">
      <c r="A1077" s="2" t="n">
        <v>1069</v>
      </c>
      <c r="B1077" s="53" t="n">
        <f aca="true">NORMINV(RAND(),0,B$7)</f>
        <v>-0.463472559015028</v>
      </c>
      <c r="C1077" s="53" t="n">
        <f aca="true">NORMINV(RAND(),0,C$7)</f>
        <v>-0.89557870502081</v>
      </c>
      <c r="D1077" s="53" t="n">
        <f aca="true">NORMINV(RAND(),0,D$7)</f>
        <v>-0.945135740756049</v>
      </c>
      <c r="E1077" s="53" t="n">
        <f aca="true">NORMINV(RAND(),0,E$7)</f>
        <v>0.247469942566681</v>
      </c>
      <c r="F1077" s="53" t="n">
        <f aca="true">NORMINV(RAND(),0,F$7)</f>
        <v>-0.131821786410612</v>
      </c>
      <c r="G1077" s="53" t="n">
        <f aca="true">NORMINV(RAND(),0,G$7)</f>
        <v>1.29700547211014</v>
      </c>
      <c r="H1077" s="53" t="n">
        <f aca="true">NORMINV(RAND(),0,H$7)</f>
        <v>0.0496558081792299</v>
      </c>
      <c r="I1077" s="53" t="n">
        <f aca="false">SUM(B1077:H1077)</f>
        <v>-0.841877568346448</v>
      </c>
      <c r="J1077" s="53" t="n">
        <f aca="true">NORMINV(RAND(),0,J$7)</f>
        <v>2.96405287998897</v>
      </c>
      <c r="K1077" s="53" t="n">
        <f aca="true">NORMINV(RAND(),0,K$7)</f>
        <v>1.03323843809257</v>
      </c>
      <c r="L1077" s="53" t="n">
        <f aca="true">NORMINV(RAND(),0,L$7)</f>
        <v>0.239779466140564</v>
      </c>
      <c r="M1077" s="53" t="n">
        <f aca="true">NORMINV(RAND(),0,M$7)</f>
        <v>-0.175858303745048</v>
      </c>
      <c r="N1077" s="53" t="n">
        <f aca="true">NORMINV(RAND(),0,N$7)</f>
        <v>-0.720565921177541</v>
      </c>
      <c r="O1077" s="53" t="n">
        <f aca="false">SUM(J1077:N1077)</f>
        <v>3.34064655929951</v>
      </c>
    </row>
    <row r="1078" customFormat="false" ht="15" hidden="false" customHeight="false" outlineLevel="0" collapsed="false">
      <c r="A1078" s="2" t="n">
        <v>1070</v>
      </c>
      <c r="B1078" s="53" t="n">
        <f aca="true">NORMINV(RAND(),0,B$7)</f>
        <v>1.38842216595565</v>
      </c>
      <c r="C1078" s="53" t="n">
        <f aca="true">NORMINV(RAND(),0,C$7)</f>
        <v>0.100584383767595</v>
      </c>
      <c r="D1078" s="53" t="n">
        <f aca="true">NORMINV(RAND(),0,D$7)</f>
        <v>3.00030051413461</v>
      </c>
      <c r="E1078" s="53" t="n">
        <f aca="true">NORMINV(RAND(),0,E$7)</f>
        <v>-0.89705234806126</v>
      </c>
      <c r="F1078" s="53" t="n">
        <f aca="true">NORMINV(RAND(),0,F$7)</f>
        <v>-0.270020408511563</v>
      </c>
      <c r="G1078" s="53" t="n">
        <f aca="true">NORMINV(RAND(),0,G$7)</f>
        <v>0.95698864885935</v>
      </c>
      <c r="H1078" s="53" t="n">
        <f aca="true">NORMINV(RAND(),0,H$7)</f>
        <v>0.285182862280626</v>
      </c>
      <c r="I1078" s="53" t="n">
        <f aca="false">SUM(B1078:H1078)</f>
        <v>4.564405818425</v>
      </c>
      <c r="J1078" s="53" t="n">
        <f aca="true">NORMINV(RAND(),0,J$7)</f>
        <v>2.58822471299148</v>
      </c>
      <c r="K1078" s="53" t="n">
        <f aca="true">NORMINV(RAND(),0,K$7)</f>
        <v>0.33614180009076</v>
      </c>
      <c r="L1078" s="53" t="n">
        <f aca="true">NORMINV(RAND(),0,L$7)</f>
        <v>0.11213952967337</v>
      </c>
      <c r="M1078" s="53" t="n">
        <f aca="true">NORMINV(RAND(),0,M$7)</f>
        <v>-0.0262937365672024</v>
      </c>
      <c r="N1078" s="53" t="n">
        <f aca="true">NORMINV(RAND(),0,N$7)</f>
        <v>0.241055696015635</v>
      </c>
      <c r="O1078" s="53" t="n">
        <f aca="false">SUM(J1078:N1078)</f>
        <v>3.25126800220404</v>
      </c>
    </row>
    <row r="1079" customFormat="false" ht="15" hidden="false" customHeight="false" outlineLevel="0" collapsed="false">
      <c r="A1079" s="2" t="n">
        <v>1071</v>
      </c>
      <c r="B1079" s="53" t="n">
        <f aca="true">NORMINV(RAND(),0,B$7)</f>
        <v>0.372119645685275</v>
      </c>
      <c r="C1079" s="53" t="n">
        <f aca="true">NORMINV(RAND(),0,C$7)</f>
        <v>1.13800179117279</v>
      </c>
      <c r="D1079" s="53" t="n">
        <f aca="true">NORMINV(RAND(),0,D$7)</f>
        <v>0.400881692474331</v>
      </c>
      <c r="E1079" s="53" t="n">
        <f aca="true">NORMINV(RAND(),0,E$7)</f>
        <v>0.0482415256115044</v>
      </c>
      <c r="F1079" s="53" t="n">
        <f aca="true">NORMINV(RAND(),0,F$7)</f>
        <v>-0.039225401277936</v>
      </c>
      <c r="G1079" s="53" t="n">
        <f aca="true">NORMINV(RAND(),0,G$7)</f>
        <v>0.326495728985718</v>
      </c>
      <c r="H1079" s="53" t="n">
        <f aca="true">NORMINV(RAND(),0,H$7)</f>
        <v>0.424859254570815</v>
      </c>
      <c r="I1079" s="53" t="n">
        <f aca="false">SUM(B1079:H1079)</f>
        <v>2.6713742372225</v>
      </c>
      <c r="J1079" s="53" t="n">
        <f aca="true">NORMINV(RAND(),0,J$7)</f>
        <v>-0.124646846755026</v>
      </c>
      <c r="K1079" s="53" t="n">
        <f aca="true">NORMINV(RAND(),0,K$7)</f>
        <v>0.873618954626775</v>
      </c>
      <c r="L1079" s="53" t="n">
        <f aca="true">NORMINV(RAND(),0,L$7)</f>
        <v>-0.385763665020442</v>
      </c>
      <c r="M1079" s="53" t="n">
        <f aca="true">NORMINV(RAND(),0,M$7)</f>
        <v>-0.488892739213199</v>
      </c>
      <c r="N1079" s="53" t="n">
        <f aca="true">NORMINV(RAND(),0,N$7)</f>
        <v>-0.0494741182472973</v>
      </c>
      <c r="O1079" s="53" t="n">
        <f aca="false">SUM(J1079:N1079)</f>
        <v>-0.17515841460919</v>
      </c>
    </row>
    <row r="1080" customFormat="false" ht="15" hidden="false" customHeight="false" outlineLevel="0" collapsed="false">
      <c r="A1080" s="2" t="n">
        <v>1072</v>
      </c>
      <c r="B1080" s="53" t="n">
        <f aca="true">NORMINV(RAND(),0,B$7)</f>
        <v>-0.886081551993394</v>
      </c>
      <c r="C1080" s="53" t="n">
        <f aca="true">NORMINV(RAND(),0,C$7)</f>
        <v>-0.162448203534336</v>
      </c>
      <c r="D1080" s="53" t="n">
        <f aca="true">NORMINV(RAND(),0,D$7)</f>
        <v>-0.958646645024933</v>
      </c>
      <c r="E1080" s="53" t="n">
        <f aca="true">NORMINV(RAND(),0,E$7)</f>
        <v>0.278758138156986</v>
      </c>
      <c r="F1080" s="53" t="n">
        <f aca="true">NORMINV(RAND(),0,F$7)</f>
        <v>-0.236839373286268</v>
      </c>
      <c r="G1080" s="53" t="n">
        <f aca="true">NORMINV(RAND(),0,G$7)</f>
        <v>1.62554504780969</v>
      </c>
      <c r="H1080" s="53" t="n">
        <f aca="true">NORMINV(RAND(),0,H$7)</f>
        <v>-0.0888468484373687</v>
      </c>
      <c r="I1080" s="53" t="n">
        <f aca="false">SUM(B1080:H1080)</f>
        <v>-0.428559436309623</v>
      </c>
      <c r="J1080" s="53" t="n">
        <f aca="true">NORMINV(RAND(),0,J$7)</f>
        <v>-0.803305465105432</v>
      </c>
      <c r="K1080" s="53" t="n">
        <f aca="true">NORMINV(RAND(),0,K$7)</f>
        <v>-0.963495421957807</v>
      </c>
      <c r="L1080" s="53" t="n">
        <f aca="true">NORMINV(RAND(),0,L$7)</f>
        <v>0.43755769860503</v>
      </c>
      <c r="M1080" s="53" t="n">
        <f aca="true">NORMINV(RAND(),0,M$7)</f>
        <v>0.104418427213901</v>
      </c>
      <c r="N1080" s="53" t="n">
        <f aca="true">NORMINV(RAND(),0,N$7)</f>
        <v>0.179455355591787</v>
      </c>
      <c r="O1080" s="53" t="n">
        <f aca="false">SUM(J1080:N1080)</f>
        <v>-1.04536940565252</v>
      </c>
    </row>
    <row r="1081" customFormat="false" ht="15" hidden="false" customHeight="false" outlineLevel="0" collapsed="false">
      <c r="A1081" s="2" t="n">
        <v>1073</v>
      </c>
      <c r="B1081" s="53" t="n">
        <f aca="true">NORMINV(RAND(),0,B$7)</f>
        <v>-1.77848356405774</v>
      </c>
      <c r="C1081" s="53" t="n">
        <f aca="true">NORMINV(RAND(),0,C$7)</f>
        <v>-0.406194164498422</v>
      </c>
      <c r="D1081" s="53" t="n">
        <f aca="true">NORMINV(RAND(),0,D$7)</f>
        <v>0.872580383173645</v>
      </c>
      <c r="E1081" s="53" t="n">
        <f aca="true">NORMINV(RAND(),0,E$7)</f>
        <v>0.280116729799667</v>
      </c>
      <c r="F1081" s="53" t="n">
        <f aca="true">NORMINV(RAND(),0,F$7)</f>
        <v>-0.206002959770737</v>
      </c>
      <c r="G1081" s="53" t="n">
        <f aca="true">NORMINV(RAND(),0,G$7)</f>
        <v>1.20040319238116</v>
      </c>
      <c r="H1081" s="53" t="n">
        <f aca="true">NORMINV(RAND(),0,H$7)</f>
        <v>0.169796600143847</v>
      </c>
      <c r="I1081" s="53" t="n">
        <f aca="false">SUM(B1081:H1081)</f>
        <v>0.132216217171428</v>
      </c>
      <c r="J1081" s="53" t="n">
        <f aca="true">NORMINV(RAND(),0,J$7)</f>
        <v>2.22745937389525</v>
      </c>
      <c r="K1081" s="53" t="n">
        <f aca="true">NORMINV(RAND(),0,K$7)</f>
        <v>-0.242463598580779</v>
      </c>
      <c r="L1081" s="53" t="n">
        <f aca="true">NORMINV(RAND(),0,L$7)</f>
        <v>-0.420417104696089</v>
      </c>
      <c r="M1081" s="53" t="n">
        <f aca="true">NORMINV(RAND(),0,M$7)</f>
        <v>-0.156341276277702</v>
      </c>
      <c r="N1081" s="53" t="n">
        <f aca="true">NORMINV(RAND(),0,N$7)</f>
        <v>0.526856863057332</v>
      </c>
      <c r="O1081" s="53" t="n">
        <f aca="false">SUM(J1081:N1081)</f>
        <v>1.93509425739801</v>
      </c>
    </row>
    <row r="1082" customFormat="false" ht="15" hidden="false" customHeight="false" outlineLevel="0" collapsed="false">
      <c r="A1082" s="2" t="n">
        <v>1074</v>
      </c>
      <c r="B1082" s="53" t="n">
        <f aca="true">NORMINV(RAND(),0,B$7)</f>
        <v>3.0613294663988</v>
      </c>
      <c r="C1082" s="53" t="n">
        <f aca="true">NORMINV(RAND(),0,C$7)</f>
        <v>0.409757456178868</v>
      </c>
      <c r="D1082" s="53" t="n">
        <f aca="true">NORMINV(RAND(),0,D$7)</f>
        <v>1.10425637419917</v>
      </c>
      <c r="E1082" s="53" t="n">
        <f aca="true">NORMINV(RAND(),0,E$7)</f>
        <v>-0.102034281417709</v>
      </c>
      <c r="F1082" s="53" t="n">
        <f aca="true">NORMINV(RAND(),0,F$7)</f>
        <v>-0.295993757731412</v>
      </c>
      <c r="G1082" s="53" t="n">
        <f aca="true">NORMINV(RAND(),0,G$7)</f>
        <v>-1.47300893047106</v>
      </c>
      <c r="H1082" s="53" t="n">
        <f aca="true">NORMINV(RAND(),0,H$7)</f>
        <v>1.14975076026619</v>
      </c>
      <c r="I1082" s="53" t="n">
        <f aca="false">SUM(B1082:H1082)</f>
        <v>3.85405708742284</v>
      </c>
      <c r="J1082" s="53" t="n">
        <f aca="true">NORMINV(RAND(),0,J$7)</f>
        <v>1.26298488591057</v>
      </c>
      <c r="K1082" s="53" t="n">
        <f aca="true">NORMINV(RAND(),0,K$7)</f>
        <v>-1.19926135201627</v>
      </c>
      <c r="L1082" s="53" t="n">
        <f aca="true">NORMINV(RAND(),0,L$7)</f>
        <v>0.0538344504535118</v>
      </c>
      <c r="M1082" s="53" t="n">
        <f aca="true">NORMINV(RAND(),0,M$7)</f>
        <v>-0.0737349076970318</v>
      </c>
      <c r="N1082" s="53" t="n">
        <f aca="true">NORMINV(RAND(),0,N$7)</f>
        <v>-0.280027246154787</v>
      </c>
      <c r="O1082" s="53" t="n">
        <f aca="false">SUM(J1082:N1082)</f>
        <v>-0.236204169504006</v>
      </c>
    </row>
    <row r="1083" customFormat="false" ht="15" hidden="false" customHeight="false" outlineLevel="0" collapsed="false">
      <c r="A1083" s="2" t="n">
        <v>1075</v>
      </c>
      <c r="B1083" s="53" t="n">
        <f aca="true">NORMINV(RAND(),0,B$7)</f>
        <v>-1.39616604913505</v>
      </c>
      <c r="C1083" s="53" t="n">
        <f aca="true">NORMINV(RAND(),0,C$7)</f>
        <v>-0.708084371458209</v>
      </c>
      <c r="D1083" s="53" t="n">
        <f aca="true">NORMINV(RAND(),0,D$7)</f>
        <v>-2.41335102486194</v>
      </c>
      <c r="E1083" s="53" t="n">
        <f aca="true">NORMINV(RAND(),0,E$7)</f>
        <v>0.0779134193971465</v>
      </c>
      <c r="F1083" s="53" t="n">
        <f aca="true">NORMINV(RAND(),0,F$7)</f>
        <v>-0.511766648733812</v>
      </c>
      <c r="G1083" s="53" t="n">
        <f aca="true">NORMINV(RAND(),0,G$7)</f>
        <v>-0.288413390781655</v>
      </c>
      <c r="H1083" s="53" t="n">
        <f aca="true">NORMINV(RAND(),0,H$7)</f>
        <v>-0.206246392616588</v>
      </c>
      <c r="I1083" s="53" t="n">
        <f aca="false">SUM(B1083:H1083)</f>
        <v>-5.44611445819011</v>
      </c>
      <c r="J1083" s="53" t="n">
        <f aca="true">NORMINV(RAND(),0,J$7)</f>
        <v>0.77796863690528</v>
      </c>
      <c r="K1083" s="53" t="n">
        <f aca="true">NORMINV(RAND(),0,K$7)</f>
        <v>-0.189137021958742</v>
      </c>
      <c r="L1083" s="53" t="n">
        <f aca="true">NORMINV(RAND(),0,L$7)</f>
        <v>-0.862323185136717</v>
      </c>
      <c r="M1083" s="53" t="n">
        <f aca="true">NORMINV(RAND(),0,M$7)</f>
        <v>-0.264021503151223</v>
      </c>
      <c r="N1083" s="53" t="n">
        <f aca="true">NORMINV(RAND(),0,N$7)</f>
        <v>0.642136907215657</v>
      </c>
      <c r="O1083" s="53" t="n">
        <f aca="false">SUM(J1083:N1083)</f>
        <v>0.104623833874255</v>
      </c>
    </row>
    <row r="1084" customFormat="false" ht="15" hidden="false" customHeight="false" outlineLevel="0" collapsed="false">
      <c r="A1084" s="2" t="n">
        <v>1076</v>
      </c>
      <c r="B1084" s="53" t="n">
        <f aca="true">NORMINV(RAND(),0,B$7)</f>
        <v>-1.15269981234785</v>
      </c>
      <c r="C1084" s="53" t="n">
        <f aca="true">NORMINV(RAND(),0,C$7)</f>
        <v>0.727607201628442</v>
      </c>
      <c r="D1084" s="53" t="n">
        <f aca="true">NORMINV(RAND(),0,D$7)</f>
        <v>1.75848259327874</v>
      </c>
      <c r="E1084" s="53" t="n">
        <f aca="true">NORMINV(RAND(),0,E$7)</f>
        <v>0.367513390199058</v>
      </c>
      <c r="F1084" s="53" t="n">
        <f aca="true">NORMINV(RAND(),0,F$7)</f>
        <v>-0.372423280856041</v>
      </c>
      <c r="G1084" s="53" t="n">
        <f aca="true">NORMINV(RAND(),0,G$7)</f>
        <v>1.14527620746309</v>
      </c>
      <c r="H1084" s="53" t="n">
        <f aca="true">NORMINV(RAND(),0,H$7)</f>
        <v>0.0725361724382841</v>
      </c>
      <c r="I1084" s="53" t="n">
        <f aca="false">SUM(B1084:H1084)</f>
        <v>2.54629247180373</v>
      </c>
      <c r="J1084" s="53" t="n">
        <f aca="true">NORMINV(RAND(),0,J$7)</f>
        <v>-2.20380390605265</v>
      </c>
      <c r="K1084" s="53" t="n">
        <f aca="true">NORMINV(RAND(),0,K$7)</f>
        <v>0.58236503567946</v>
      </c>
      <c r="L1084" s="53" t="n">
        <f aca="true">NORMINV(RAND(),0,L$7)</f>
        <v>-0.427971678360866</v>
      </c>
      <c r="M1084" s="53" t="n">
        <f aca="true">NORMINV(RAND(),0,M$7)</f>
        <v>-0.00766206384188357</v>
      </c>
      <c r="N1084" s="53" t="n">
        <f aca="true">NORMINV(RAND(),0,N$7)</f>
        <v>-0.286257311770553</v>
      </c>
      <c r="O1084" s="53" t="n">
        <f aca="false">SUM(J1084:N1084)</f>
        <v>-2.3433299243465</v>
      </c>
    </row>
    <row r="1085" customFormat="false" ht="15" hidden="false" customHeight="false" outlineLevel="0" collapsed="false">
      <c r="A1085" s="2" t="n">
        <v>1077</v>
      </c>
      <c r="B1085" s="53" t="n">
        <f aca="true">NORMINV(RAND(),0,B$7)</f>
        <v>0.95154555426251</v>
      </c>
      <c r="C1085" s="53" t="n">
        <f aca="true">NORMINV(RAND(),0,C$7)</f>
        <v>0.888657548879361</v>
      </c>
      <c r="D1085" s="53" t="n">
        <f aca="true">NORMINV(RAND(),0,D$7)</f>
        <v>-2.1624867061417</v>
      </c>
      <c r="E1085" s="53" t="n">
        <f aca="true">NORMINV(RAND(),0,E$7)</f>
        <v>0.283708680854354</v>
      </c>
      <c r="F1085" s="53" t="n">
        <f aca="true">NORMINV(RAND(),0,F$7)</f>
        <v>0.198662661360567</v>
      </c>
      <c r="G1085" s="53" t="n">
        <f aca="true">NORMINV(RAND(),0,G$7)</f>
        <v>-0.0111654033621684</v>
      </c>
      <c r="H1085" s="53" t="n">
        <f aca="true">NORMINV(RAND(),0,H$7)</f>
        <v>-0.491709472250558</v>
      </c>
      <c r="I1085" s="53" t="n">
        <f aca="false">SUM(B1085:H1085)</f>
        <v>-0.342787136397636</v>
      </c>
      <c r="J1085" s="53" t="n">
        <f aca="true">NORMINV(RAND(),0,J$7)</f>
        <v>2.81943792337138</v>
      </c>
      <c r="K1085" s="53" t="n">
        <f aca="true">NORMINV(RAND(),0,K$7)</f>
        <v>0.835740631366222</v>
      </c>
      <c r="L1085" s="53" t="n">
        <f aca="true">NORMINV(RAND(),0,L$7)</f>
        <v>-0.0789923148420971</v>
      </c>
      <c r="M1085" s="53" t="n">
        <f aca="true">NORMINV(RAND(),0,M$7)</f>
        <v>0.264646638598537</v>
      </c>
      <c r="N1085" s="53" t="n">
        <f aca="true">NORMINV(RAND(),0,N$7)</f>
        <v>-0.0598459099805511</v>
      </c>
      <c r="O1085" s="53" t="n">
        <f aca="false">SUM(J1085:N1085)</f>
        <v>3.78098696851349</v>
      </c>
    </row>
    <row r="1086" customFormat="false" ht="15" hidden="false" customHeight="false" outlineLevel="0" collapsed="false">
      <c r="A1086" s="2" t="n">
        <v>1078</v>
      </c>
      <c r="B1086" s="53" t="n">
        <f aca="true">NORMINV(RAND(),0,B$7)</f>
        <v>-3.30460749460568</v>
      </c>
      <c r="C1086" s="53" t="n">
        <f aca="true">NORMINV(RAND(),0,C$7)</f>
        <v>3.16354004016529</v>
      </c>
      <c r="D1086" s="53" t="n">
        <f aca="true">NORMINV(RAND(),0,D$7)</f>
        <v>-0.012520829629363</v>
      </c>
      <c r="E1086" s="53" t="n">
        <f aca="true">NORMINV(RAND(),0,E$7)</f>
        <v>1.01331095180892</v>
      </c>
      <c r="F1086" s="53" t="n">
        <f aca="true">NORMINV(RAND(),0,F$7)</f>
        <v>-0.36874671968711</v>
      </c>
      <c r="G1086" s="53" t="n">
        <f aca="true">NORMINV(RAND(),0,G$7)</f>
        <v>-0.632607778400423</v>
      </c>
      <c r="H1086" s="53" t="n">
        <f aca="true">NORMINV(RAND(),0,H$7)</f>
        <v>0.37745233592195</v>
      </c>
      <c r="I1086" s="53" t="n">
        <f aca="false">SUM(B1086:H1086)</f>
        <v>0.235820505573583</v>
      </c>
      <c r="J1086" s="53" t="n">
        <f aca="true">NORMINV(RAND(),0,J$7)</f>
        <v>-3.27111727100346</v>
      </c>
      <c r="K1086" s="53" t="n">
        <f aca="true">NORMINV(RAND(),0,K$7)</f>
        <v>-2.07080236523994</v>
      </c>
      <c r="L1086" s="53" t="n">
        <f aca="true">NORMINV(RAND(),0,L$7)</f>
        <v>0.138335929378667</v>
      </c>
      <c r="M1086" s="53" t="n">
        <f aca="true">NORMINV(RAND(),0,M$7)</f>
        <v>0.260647071854772</v>
      </c>
      <c r="N1086" s="53" t="n">
        <f aca="true">NORMINV(RAND(),0,N$7)</f>
        <v>-0.073336882972272</v>
      </c>
      <c r="O1086" s="53" t="n">
        <f aca="false">SUM(J1086:N1086)</f>
        <v>-5.01627351798223</v>
      </c>
    </row>
    <row r="1087" customFormat="false" ht="15" hidden="false" customHeight="false" outlineLevel="0" collapsed="false">
      <c r="A1087" s="2" t="n">
        <v>1079</v>
      </c>
      <c r="B1087" s="53" t="n">
        <f aca="true">NORMINV(RAND(),0,B$7)</f>
        <v>-1.06150406053315</v>
      </c>
      <c r="C1087" s="53" t="n">
        <f aca="true">NORMINV(RAND(),0,C$7)</f>
        <v>0.0523277054858178</v>
      </c>
      <c r="D1087" s="53" t="n">
        <f aca="true">NORMINV(RAND(),0,D$7)</f>
        <v>-2.71459590217323</v>
      </c>
      <c r="E1087" s="53" t="n">
        <f aca="true">NORMINV(RAND(),0,E$7)</f>
        <v>-0.246436869635589</v>
      </c>
      <c r="F1087" s="53" t="n">
        <f aca="true">NORMINV(RAND(),0,F$7)</f>
        <v>-0.196358234582226</v>
      </c>
      <c r="G1087" s="53" t="n">
        <f aca="true">NORMINV(RAND(),0,G$7)</f>
        <v>-0.408165482068099</v>
      </c>
      <c r="H1087" s="53" t="n">
        <f aca="true">NORMINV(RAND(),0,H$7)</f>
        <v>0.705954746131361</v>
      </c>
      <c r="I1087" s="53" t="n">
        <f aca="false">SUM(B1087:H1087)</f>
        <v>-3.86877809737512</v>
      </c>
      <c r="J1087" s="53" t="n">
        <f aca="true">NORMINV(RAND(),0,J$7)</f>
        <v>-0.686119322004416</v>
      </c>
      <c r="K1087" s="53" t="n">
        <f aca="true">NORMINV(RAND(),0,K$7)</f>
        <v>-0.138174554367134</v>
      </c>
      <c r="L1087" s="53" t="n">
        <f aca="true">NORMINV(RAND(),0,L$7)</f>
        <v>-0.712463688468283</v>
      </c>
      <c r="M1087" s="53" t="n">
        <f aca="true">NORMINV(RAND(),0,M$7)</f>
        <v>0.0384623609281975</v>
      </c>
      <c r="N1087" s="53" t="n">
        <f aca="true">NORMINV(RAND(),0,N$7)</f>
        <v>0.110152256981143</v>
      </c>
      <c r="O1087" s="53" t="n">
        <f aca="false">SUM(J1087:N1087)</f>
        <v>-1.38814294693049</v>
      </c>
    </row>
    <row r="1088" customFormat="false" ht="15" hidden="false" customHeight="false" outlineLevel="0" collapsed="false">
      <c r="A1088" s="2" t="n">
        <v>1080</v>
      </c>
      <c r="B1088" s="53" t="n">
        <f aca="true">NORMINV(RAND(),0,B$7)</f>
        <v>-1.00634417198657</v>
      </c>
      <c r="C1088" s="53" t="n">
        <f aca="true">NORMINV(RAND(),0,C$7)</f>
        <v>1.23294653502167</v>
      </c>
      <c r="D1088" s="53" t="n">
        <f aca="true">NORMINV(RAND(),0,D$7)</f>
        <v>-2.84961372824865</v>
      </c>
      <c r="E1088" s="53" t="n">
        <f aca="true">NORMINV(RAND(),0,E$7)</f>
        <v>0.84226787087793</v>
      </c>
      <c r="F1088" s="53" t="n">
        <f aca="true">NORMINV(RAND(),0,F$7)</f>
        <v>0.286958162291391</v>
      </c>
      <c r="G1088" s="53" t="n">
        <f aca="true">NORMINV(RAND(),0,G$7)</f>
        <v>-2.42860375177676</v>
      </c>
      <c r="H1088" s="53" t="n">
        <f aca="true">NORMINV(RAND(),0,H$7)</f>
        <v>0.684035951444055</v>
      </c>
      <c r="I1088" s="53" t="n">
        <f aca="false">SUM(B1088:H1088)</f>
        <v>-3.23835313237694</v>
      </c>
      <c r="J1088" s="53" t="n">
        <f aca="true">NORMINV(RAND(),0,J$7)</f>
        <v>0.13851346384456</v>
      </c>
      <c r="K1088" s="53" t="n">
        <f aca="true">NORMINV(RAND(),0,K$7)</f>
        <v>-0.524098005745074</v>
      </c>
      <c r="L1088" s="53" t="n">
        <f aca="true">NORMINV(RAND(),0,L$7)</f>
        <v>0.0038506847652748</v>
      </c>
      <c r="M1088" s="53" t="n">
        <f aca="true">NORMINV(RAND(),0,M$7)</f>
        <v>-0.200594912654252</v>
      </c>
      <c r="N1088" s="53" t="n">
        <f aca="true">NORMINV(RAND(),0,N$7)</f>
        <v>-0.0732070210797117</v>
      </c>
      <c r="O1088" s="53" t="n">
        <f aca="false">SUM(J1088:N1088)</f>
        <v>-0.655535790869203</v>
      </c>
    </row>
    <row r="1089" customFormat="false" ht="15" hidden="false" customHeight="false" outlineLevel="0" collapsed="false">
      <c r="A1089" s="2" t="n">
        <v>1081</v>
      </c>
      <c r="B1089" s="53" t="n">
        <f aca="true">NORMINV(RAND(),0,B$7)</f>
        <v>0.670268752651563</v>
      </c>
      <c r="C1089" s="53" t="n">
        <f aca="true">NORMINV(RAND(),0,C$7)</f>
        <v>0.0719540028406274</v>
      </c>
      <c r="D1089" s="53" t="n">
        <f aca="true">NORMINV(RAND(),0,D$7)</f>
        <v>0.161121848862463</v>
      </c>
      <c r="E1089" s="53" t="n">
        <f aca="true">NORMINV(RAND(),0,E$7)</f>
        <v>-0.255543239968607</v>
      </c>
      <c r="F1089" s="53" t="n">
        <f aca="true">NORMINV(RAND(),0,F$7)</f>
        <v>-0.375241933759849</v>
      </c>
      <c r="G1089" s="53" t="n">
        <f aca="true">NORMINV(RAND(),0,G$7)</f>
        <v>-2.40981070691924</v>
      </c>
      <c r="H1089" s="53" t="n">
        <f aca="true">NORMINV(RAND(),0,H$7)</f>
        <v>0.0359199060078579</v>
      </c>
      <c r="I1089" s="53" t="n">
        <f aca="false">SUM(B1089:H1089)</f>
        <v>-2.10133137028518</v>
      </c>
      <c r="J1089" s="53" t="n">
        <f aca="true">NORMINV(RAND(),0,J$7)</f>
        <v>-1.82090040068617</v>
      </c>
      <c r="K1089" s="53" t="n">
        <f aca="true">NORMINV(RAND(),0,K$7)</f>
        <v>-0.382750593624961</v>
      </c>
      <c r="L1089" s="53" t="n">
        <f aca="true">NORMINV(RAND(),0,L$7)</f>
        <v>0.255671370870631</v>
      </c>
      <c r="M1089" s="53" t="n">
        <f aca="true">NORMINV(RAND(),0,M$7)</f>
        <v>-0.32116880486152</v>
      </c>
      <c r="N1089" s="53" t="n">
        <f aca="true">NORMINV(RAND(),0,N$7)</f>
        <v>0.0441656231071862</v>
      </c>
      <c r="O1089" s="53" t="n">
        <f aca="false">SUM(J1089:N1089)</f>
        <v>-2.22498280519483</v>
      </c>
    </row>
    <row r="1090" customFormat="false" ht="15" hidden="false" customHeight="false" outlineLevel="0" collapsed="false">
      <c r="A1090" s="2" t="n">
        <v>1082</v>
      </c>
      <c r="B1090" s="53" t="n">
        <f aca="true">NORMINV(RAND(),0,B$7)</f>
        <v>-0.533735858858312</v>
      </c>
      <c r="C1090" s="53" t="n">
        <f aca="true">NORMINV(RAND(),0,C$7)</f>
        <v>1.19707856224947</v>
      </c>
      <c r="D1090" s="53" t="n">
        <f aca="true">NORMINV(RAND(),0,D$7)</f>
        <v>-1.55214257526657</v>
      </c>
      <c r="E1090" s="53" t="n">
        <f aca="true">NORMINV(RAND(),0,E$7)</f>
        <v>-0.4476914239424</v>
      </c>
      <c r="F1090" s="53" t="n">
        <f aca="true">NORMINV(RAND(),0,F$7)</f>
        <v>0.26476532169196</v>
      </c>
      <c r="G1090" s="53" t="n">
        <f aca="true">NORMINV(RAND(),0,G$7)</f>
        <v>1.52195854523545</v>
      </c>
      <c r="H1090" s="53" t="n">
        <f aca="true">NORMINV(RAND(),0,H$7)</f>
        <v>-0.258948560616256</v>
      </c>
      <c r="I1090" s="53" t="n">
        <f aca="false">SUM(B1090:H1090)</f>
        <v>0.191284010493345</v>
      </c>
      <c r="J1090" s="53" t="n">
        <f aca="true">NORMINV(RAND(),0,J$7)</f>
        <v>-0.114545832602354</v>
      </c>
      <c r="K1090" s="53" t="n">
        <f aca="true">NORMINV(RAND(),0,K$7)</f>
        <v>0.270049302452228</v>
      </c>
      <c r="L1090" s="53" t="n">
        <f aca="true">NORMINV(RAND(),0,L$7)</f>
        <v>0.806550961185996</v>
      </c>
      <c r="M1090" s="53" t="n">
        <f aca="true">NORMINV(RAND(),0,M$7)</f>
        <v>-0.250417305715229</v>
      </c>
      <c r="N1090" s="53" t="n">
        <f aca="true">NORMINV(RAND(),0,N$7)</f>
        <v>0.761504113237921</v>
      </c>
      <c r="O1090" s="53" t="n">
        <f aca="false">SUM(J1090:N1090)</f>
        <v>1.47314123855856</v>
      </c>
    </row>
    <row r="1091" customFormat="false" ht="15" hidden="false" customHeight="false" outlineLevel="0" collapsed="false">
      <c r="A1091" s="2" t="n">
        <v>1083</v>
      </c>
      <c r="B1091" s="53" t="n">
        <f aca="true">NORMINV(RAND(),0,B$7)</f>
        <v>0.955447068418006</v>
      </c>
      <c r="C1091" s="53" t="n">
        <f aca="true">NORMINV(RAND(),0,C$7)</f>
        <v>0.365377429574939</v>
      </c>
      <c r="D1091" s="53" t="n">
        <f aca="true">NORMINV(RAND(),0,D$7)</f>
        <v>-1.23152521202629</v>
      </c>
      <c r="E1091" s="53" t="n">
        <f aca="true">NORMINV(RAND(),0,E$7)</f>
        <v>-0.70631830729428</v>
      </c>
      <c r="F1091" s="53" t="n">
        <f aca="true">NORMINV(RAND(),0,F$7)</f>
        <v>-0.541538014704898</v>
      </c>
      <c r="G1091" s="53" t="n">
        <f aca="true">NORMINV(RAND(),0,G$7)</f>
        <v>-0.544507762265444</v>
      </c>
      <c r="H1091" s="53" t="n">
        <f aca="true">NORMINV(RAND(),0,H$7)</f>
        <v>0.4316948463861</v>
      </c>
      <c r="I1091" s="53" t="n">
        <f aca="false">SUM(B1091:H1091)</f>
        <v>-1.27136995191187</v>
      </c>
      <c r="J1091" s="53" t="n">
        <f aca="true">NORMINV(RAND(),0,J$7)</f>
        <v>-0.770435152440601</v>
      </c>
      <c r="K1091" s="53" t="n">
        <f aca="true">NORMINV(RAND(),0,K$7)</f>
        <v>1.05331523060462</v>
      </c>
      <c r="L1091" s="53" t="n">
        <f aca="true">NORMINV(RAND(),0,L$7)</f>
        <v>0.253758402638397</v>
      </c>
      <c r="M1091" s="53" t="n">
        <f aca="true">NORMINV(RAND(),0,M$7)</f>
        <v>-0.277310859086515</v>
      </c>
      <c r="N1091" s="53" t="n">
        <f aca="true">NORMINV(RAND(),0,N$7)</f>
        <v>-0.718773645444918</v>
      </c>
      <c r="O1091" s="53" t="n">
        <f aca="false">SUM(J1091:N1091)</f>
        <v>-0.459446023729013</v>
      </c>
    </row>
    <row r="1092" customFormat="false" ht="15" hidden="false" customHeight="false" outlineLevel="0" collapsed="false">
      <c r="A1092" s="2" t="n">
        <v>1084</v>
      </c>
      <c r="B1092" s="53" t="n">
        <f aca="true">NORMINV(RAND(),0,B$7)</f>
        <v>0.799080446163718</v>
      </c>
      <c r="C1092" s="53" t="n">
        <f aca="true">NORMINV(RAND(),0,C$7)</f>
        <v>-2.25253900673953</v>
      </c>
      <c r="D1092" s="53" t="n">
        <f aca="true">NORMINV(RAND(),0,D$7)</f>
        <v>3.71037301925609</v>
      </c>
      <c r="E1092" s="53" t="n">
        <f aca="true">NORMINV(RAND(),0,E$7)</f>
        <v>-0.291898397134337</v>
      </c>
      <c r="F1092" s="53" t="n">
        <f aca="true">NORMINV(RAND(),0,F$7)</f>
        <v>0.382888960788464</v>
      </c>
      <c r="G1092" s="53" t="n">
        <f aca="true">NORMINV(RAND(),0,G$7)</f>
        <v>-0.812962734514344</v>
      </c>
      <c r="H1092" s="53" t="n">
        <f aca="true">NORMINV(RAND(),0,H$7)</f>
        <v>0.442775160765614</v>
      </c>
      <c r="I1092" s="53" t="n">
        <f aca="false">SUM(B1092:H1092)</f>
        <v>1.97771744858568</v>
      </c>
      <c r="J1092" s="53" t="n">
        <f aca="true">NORMINV(RAND(),0,J$7)</f>
        <v>-1.43022276671597</v>
      </c>
      <c r="K1092" s="53" t="n">
        <f aca="true">NORMINV(RAND(),0,K$7)</f>
        <v>-0.831782499824649</v>
      </c>
      <c r="L1092" s="53" t="n">
        <f aca="true">NORMINV(RAND(),0,L$7)</f>
        <v>-0.0943375396539271</v>
      </c>
      <c r="M1092" s="53" t="n">
        <f aca="true">NORMINV(RAND(),0,M$7)</f>
        <v>0.148343236914573</v>
      </c>
      <c r="N1092" s="53" t="n">
        <f aca="true">NORMINV(RAND(),0,N$7)</f>
        <v>-0.119139847239386</v>
      </c>
      <c r="O1092" s="53" t="n">
        <f aca="false">SUM(J1092:N1092)</f>
        <v>-2.32713941651936</v>
      </c>
    </row>
    <row r="1093" customFormat="false" ht="15" hidden="false" customHeight="false" outlineLevel="0" collapsed="false">
      <c r="A1093" s="2" t="n">
        <v>1085</v>
      </c>
      <c r="B1093" s="53" t="n">
        <f aca="true">NORMINV(RAND(),0,B$7)</f>
        <v>-0.926505727217006</v>
      </c>
      <c r="C1093" s="53" t="n">
        <f aca="true">NORMINV(RAND(),0,C$7)</f>
        <v>-1.22717143297981</v>
      </c>
      <c r="D1093" s="53" t="n">
        <f aca="true">NORMINV(RAND(),0,D$7)</f>
        <v>-1.13698265825354</v>
      </c>
      <c r="E1093" s="53" t="n">
        <f aca="true">NORMINV(RAND(),0,E$7)</f>
        <v>-0.166223490168828</v>
      </c>
      <c r="F1093" s="53" t="n">
        <f aca="true">NORMINV(RAND(),0,F$7)</f>
        <v>-0.454421864385714</v>
      </c>
      <c r="G1093" s="53" t="n">
        <f aca="true">NORMINV(RAND(),0,G$7)</f>
        <v>-2.43062809613564</v>
      </c>
      <c r="H1093" s="53" t="n">
        <f aca="true">NORMINV(RAND(),0,H$7)</f>
        <v>-0.767489634119068</v>
      </c>
      <c r="I1093" s="53" t="n">
        <f aca="false">SUM(B1093:H1093)</f>
        <v>-7.1094229032596</v>
      </c>
      <c r="J1093" s="53" t="n">
        <f aca="true">NORMINV(RAND(),0,J$7)</f>
        <v>-2.15666770568318</v>
      </c>
      <c r="K1093" s="53" t="n">
        <f aca="true">NORMINV(RAND(),0,K$7)</f>
        <v>-0.436022744560413</v>
      </c>
      <c r="L1093" s="53" t="n">
        <f aca="true">NORMINV(RAND(),0,L$7)</f>
        <v>0.869119695346419</v>
      </c>
      <c r="M1093" s="53" t="n">
        <f aca="true">NORMINV(RAND(),0,M$7)</f>
        <v>-0.271621109652631</v>
      </c>
      <c r="N1093" s="53" t="n">
        <f aca="true">NORMINV(RAND(),0,N$7)</f>
        <v>-0.35851342518894</v>
      </c>
      <c r="O1093" s="53" t="n">
        <f aca="false">SUM(J1093:N1093)</f>
        <v>-2.35370528973874</v>
      </c>
    </row>
    <row r="1094" customFormat="false" ht="15" hidden="false" customHeight="false" outlineLevel="0" collapsed="false">
      <c r="A1094" s="2" t="n">
        <v>1086</v>
      </c>
      <c r="B1094" s="53" t="n">
        <f aca="true">NORMINV(RAND(),0,B$7)</f>
        <v>1.56271059908902</v>
      </c>
      <c r="C1094" s="53" t="n">
        <f aca="true">NORMINV(RAND(),0,C$7)</f>
        <v>-0.0509341294584247</v>
      </c>
      <c r="D1094" s="53" t="n">
        <f aca="true">NORMINV(RAND(),0,D$7)</f>
        <v>-0.434390783664147</v>
      </c>
      <c r="E1094" s="53" t="n">
        <f aca="true">NORMINV(RAND(),0,E$7)</f>
        <v>0.137436639798819</v>
      </c>
      <c r="F1094" s="53" t="n">
        <f aca="true">NORMINV(RAND(),0,F$7)</f>
        <v>0.0984994685121025</v>
      </c>
      <c r="G1094" s="53" t="n">
        <f aca="true">NORMINV(RAND(),0,G$7)</f>
        <v>-0.700908579885815</v>
      </c>
      <c r="H1094" s="53" t="n">
        <f aca="true">NORMINV(RAND(),0,H$7)</f>
        <v>-0.149314259777475</v>
      </c>
      <c r="I1094" s="53" t="n">
        <f aca="false">SUM(B1094:H1094)</f>
        <v>0.463098954614084</v>
      </c>
      <c r="J1094" s="53" t="n">
        <f aca="true">NORMINV(RAND(),0,J$7)</f>
        <v>-0.533856064494783</v>
      </c>
      <c r="K1094" s="53" t="n">
        <f aca="true">NORMINV(RAND(),0,K$7)</f>
        <v>-0.833551031967261</v>
      </c>
      <c r="L1094" s="53" t="n">
        <f aca="true">NORMINV(RAND(),0,L$7)</f>
        <v>0.953203328528547</v>
      </c>
      <c r="M1094" s="53" t="n">
        <f aca="true">NORMINV(RAND(),0,M$7)</f>
        <v>0.13456203031751</v>
      </c>
      <c r="N1094" s="53" t="n">
        <f aca="true">NORMINV(RAND(),0,N$7)</f>
        <v>0.109217078483935</v>
      </c>
      <c r="O1094" s="53" t="n">
        <f aca="false">SUM(J1094:N1094)</f>
        <v>-0.170424659132052</v>
      </c>
    </row>
    <row r="1095" customFormat="false" ht="15" hidden="false" customHeight="false" outlineLevel="0" collapsed="false">
      <c r="A1095" s="2" t="n">
        <v>1087</v>
      </c>
      <c r="B1095" s="53" t="n">
        <f aca="true">NORMINV(RAND(),0,B$7)</f>
        <v>0.383738847983388</v>
      </c>
      <c r="C1095" s="53" t="n">
        <f aca="true">NORMINV(RAND(),0,C$7)</f>
        <v>-1.08767601097176</v>
      </c>
      <c r="D1095" s="53" t="n">
        <f aca="true">NORMINV(RAND(),0,D$7)</f>
        <v>-0.53914019224045</v>
      </c>
      <c r="E1095" s="53" t="n">
        <f aca="true">NORMINV(RAND(),0,E$7)</f>
        <v>0.0137239488395518</v>
      </c>
      <c r="F1095" s="53" t="n">
        <f aca="true">NORMINV(RAND(),0,F$7)</f>
        <v>0.249358151283266</v>
      </c>
      <c r="G1095" s="53" t="n">
        <f aca="true">NORMINV(RAND(),0,G$7)</f>
        <v>-2.5776742358736</v>
      </c>
      <c r="H1095" s="53" t="n">
        <f aca="true">NORMINV(RAND(),0,H$7)</f>
        <v>0.143789637043723</v>
      </c>
      <c r="I1095" s="53" t="n">
        <f aca="false">SUM(B1095:H1095)</f>
        <v>-3.41387985393589</v>
      </c>
      <c r="J1095" s="53" t="n">
        <f aca="true">NORMINV(RAND(),0,J$7)</f>
        <v>-0.864356957365284</v>
      </c>
      <c r="K1095" s="53" t="n">
        <f aca="true">NORMINV(RAND(),0,K$7)</f>
        <v>-0.623166842005627</v>
      </c>
      <c r="L1095" s="53" t="n">
        <f aca="true">NORMINV(RAND(),0,L$7)</f>
        <v>0.482831759705291</v>
      </c>
      <c r="M1095" s="53" t="n">
        <f aca="true">NORMINV(RAND(),0,M$7)</f>
        <v>-0.0698547963463155</v>
      </c>
      <c r="N1095" s="53" t="n">
        <f aca="true">NORMINV(RAND(),0,N$7)</f>
        <v>-0.407066120777434</v>
      </c>
      <c r="O1095" s="53" t="n">
        <f aca="false">SUM(J1095:N1095)</f>
        <v>-1.48161295678937</v>
      </c>
    </row>
    <row r="1096" customFormat="false" ht="15" hidden="false" customHeight="false" outlineLevel="0" collapsed="false">
      <c r="A1096" s="2" t="n">
        <v>1088</v>
      </c>
      <c r="B1096" s="53" t="n">
        <f aca="true">NORMINV(RAND(),0,B$7)</f>
        <v>-0.872593735880509</v>
      </c>
      <c r="C1096" s="53" t="n">
        <f aca="true">NORMINV(RAND(),0,C$7)</f>
        <v>0.63138230535274</v>
      </c>
      <c r="D1096" s="53" t="n">
        <f aca="true">NORMINV(RAND(),0,D$7)</f>
        <v>0.687328184699577</v>
      </c>
      <c r="E1096" s="53" t="n">
        <f aca="true">NORMINV(RAND(),0,E$7)</f>
        <v>0.147054136455168</v>
      </c>
      <c r="F1096" s="53" t="n">
        <f aca="true">NORMINV(RAND(),0,F$7)</f>
        <v>-0.296637591228744</v>
      </c>
      <c r="G1096" s="53" t="n">
        <f aca="true">NORMINV(RAND(),0,G$7)</f>
        <v>-0.830687045873482</v>
      </c>
      <c r="H1096" s="53" t="n">
        <f aca="true">NORMINV(RAND(),0,H$7)</f>
        <v>-0.248079219948504</v>
      </c>
      <c r="I1096" s="53" t="n">
        <f aca="false">SUM(B1096:H1096)</f>
        <v>-0.782232966423754</v>
      </c>
      <c r="J1096" s="53" t="n">
        <f aca="true">NORMINV(RAND(),0,J$7)</f>
        <v>1.45904909340596</v>
      </c>
      <c r="K1096" s="53" t="n">
        <f aca="true">NORMINV(RAND(),0,K$7)</f>
        <v>0.515559524402547</v>
      </c>
      <c r="L1096" s="53" t="n">
        <f aca="true">NORMINV(RAND(),0,L$7)</f>
        <v>0.47795018639866</v>
      </c>
      <c r="M1096" s="53" t="n">
        <f aca="true">NORMINV(RAND(),0,M$7)</f>
        <v>0.0969039833989375</v>
      </c>
      <c r="N1096" s="53" t="n">
        <f aca="true">NORMINV(RAND(),0,N$7)</f>
        <v>-0.196172676958482</v>
      </c>
      <c r="O1096" s="53" t="n">
        <f aca="false">SUM(J1096:N1096)</f>
        <v>2.35329011064762</v>
      </c>
    </row>
    <row r="1097" customFormat="false" ht="15" hidden="false" customHeight="false" outlineLevel="0" collapsed="false">
      <c r="A1097" s="2" t="n">
        <v>1089</v>
      </c>
      <c r="B1097" s="53" t="n">
        <f aca="true">NORMINV(RAND(),0,B$7)</f>
        <v>-1.68376020063999</v>
      </c>
      <c r="C1097" s="53" t="n">
        <f aca="true">NORMINV(RAND(),0,C$7)</f>
        <v>0.296133978789209</v>
      </c>
      <c r="D1097" s="53" t="n">
        <f aca="true">NORMINV(RAND(),0,D$7)</f>
        <v>-4.65108644227043</v>
      </c>
      <c r="E1097" s="53" t="n">
        <f aca="true">NORMINV(RAND(),0,E$7)</f>
        <v>-0.431251540528025</v>
      </c>
      <c r="F1097" s="53" t="n">
        <f aca="true">NORMINV(RAND(),0,F$7)</f>
        <v>-0.582259971913183</v>
      </c>
      <c r="G1097" s="53" t="n">
        <f aca="true">NORMINV(RAND(),0,G$7)</f>
        <v>-1.89331950451996</v>
      </c>
      <c r="H1097" s="53" t="n">
        <f aca="true">NORMINV(RAND(),0,H$7)</f>
        <v>0.839512400200095</v>
      </c>
      <c r="I1097" s="53" t="n">
        <f aca="false">SUM(B1097:H1097)</f>
        <v>-8.10603128088228</v>
      </c>
      <c r="J1097" s="53" t="n">
        <f aca="true">NORMINV(RAND(),0,J$7)</f>
        <v>-4.12011711945026</v>
      </c>
      <c r="K1097" s="53" t="n">
        <f aca="true">NORMINV(RAND(),0,K$7)</f>
        <v>0.550441963066005</v>
      </c>
      <c r="L1097" s="53" t="n">
        <f aca="true">NORMINV(RAND(),0,L$7)</f>
        <v>0.615806492101725</v>
      </c>
      <c r="M1097" s="53" t="n">
        <f aca="true">NORMINV(RAND(),0,M$7)</f>
        <v>0.0842335556630872</v>
      </c>
      <c r="N1097" s="53" t="n">
        <f aca="true">NORMINV(RAND(),0,N$7)</f>
        <v>0.121946919624023</v>
      </c>
      <c r="O1097" s="53" t="n">
        <f aca="false">SUM(J1097:N1097)</f>
        <v>-2.74768818899542</v>
      </c>
    </row>
    <row r="1098" customFormat="false" ht="15" hidden="false" customHeight="false" outlineLevel="0" collapsed="false">
      <c r="A1098" s="2" t="n">
        <v>1090</v>
      </c>
      <c r="B1098" s="53" t="n">
        <f aca="true">NORMINV(RAND(),0,B$7)</f>
        <v>-0.538961361623734</v>
      </c>
      <c r="C1098" s="53" t="n">
        <f aca="true">NORMINV(RAND(),0,C$7)</f>
        <v>1.26166307875212</v>
      </c>
      <c r="D1098" s="53" t="n">
        <f aca="true">NORMINV(RAND(),0,D$7)</f>
        <v>2.01301939818635</v>
      </c>
      <c r="E1098" s="53" t="n">
        <f aca="true">NORMINV(RAND(),0,E$7)</f>
        <v>-0.229972322812654</v>
      </c>
      <c r="F1098" s="53" t="n">
        <f aca="true">NORMINV(RAND(),0,F$7)</f>
        <v>0.238710100347213</v>
      </c>
      <c r="G1098" s="53" t="n">
        <f aca="true">NORMINV(RAND(),0,G$7)</f>
        <v>-1.60373357742272</v>
      </c>
      <c r="H1098" s="53" t="n">
        <f aca="true">NORMINV(RAND(),0,H$7)</f>
        <v>-0.17740203082618</v>
      </c>
      <c r="I1098" s="53" t="n">
        <f aca="false">SUM(B1098:H1098)</f>
        <v>0.963323284600391</v>
      </c>
      <c r="J1098" s="53" t="n">
        <f aca="true">NORMINV(RAND(),0,J$7)</f>
        <v>0.597225272520554</v>
      </c>
      <c r="K1098" s="53" t="n">
        <f aca="true">NORMINV(RAND(),0,K$7)</f>
        <v>0.364653118505541</v>
      </c>
      <c r="L1098" s="53" t="n">
        <f aca="true">NORMINV(RAND(),0,L$7)</f>
        <v>-0.246420733319682</v>
      </c>
      <c r="M1098" s="53" t="n">
        <f aca="true">NORMINV(RAND(),0,M$7)</f>
        <v>-0.0350381632827487</v>
      </c>
      <c r="N1098" s="53" t="n">
        <f aca="true">NORMINV(RAND(),0,N$7)</f>
        <v>-0.379198763218074</v>
      </c>
      <c r="O1098" s="53" t="n">
        <f aca="false">SUM(J1098:N1098)</f>
        <v>0.30122073120559</v>
      </c>
    </row>
    <row r="1099" customFormat="false" ht="15" hidden="false" customHeight="false" outlineLevel="0" collapsed="false">
      <c r="A1099" s="2" t="n">
        <v>1091</v>
      </c>
      <c r="B1099" s="53" t="n">
        <f aca="true">NORMINV(RAND(),0,B$7)</f>
        <v>2.39666883638543</v>
      </c>
      <c r="C1099" s="53" t="n">
        <f aca="true">NORMINV(RAND(),0,C$7)</f>
        <v>-0.0853197094823705</v>
      </c>
      <c r="D1099" s="53" t="n">
        <f aca="true">NORMINV(RAND(),0,D$7)</f>
        <v>-3.32464538998466</v>
      </c>
      <c r="E1099" s="53" t="n">
        <f aca="true">NORMINV(RAND(),0,E$7)</f>
        <v>0.773784220258176</v>
      </c>
      <c r="F1099" s="53" t="n">
        <f aca="true">NORMINV(RAND(),0,F$7)</f>
        <v>0.157342654835802</v>
      </c>
      <c r="G1099" s="53" t="n">
        <f aca="true">NORMINV(RAND(),0,G$7)</f>
        <v>-1.49469644804136</v>
      </c>
      <c r="H1099" s="53" t="n">
        <f aca="true">NORMINV(RAND(),0,H$7)</f>
        <v>0.285758130447904</v>
      </c>
      <c r="I1099" s="53" t="n">
        <f aca="false">SUM(B1099:H1099)</f>
        <v>-1.29110770558108</v>
      </c>
      <c r="J1099" s="53" t="n">
        <f aca="true">NORMINV(RAND(),0,J$7)</f>
        <v>-1.40606542750558</v>
      </c>
      <c r="K1099" s="53" t="n">
        <f aca="true">NORMINV(RAND(),0,K$7)</f>
        <v>-0.218849959458418</v>
      </c>
      <c r="L1099" s="53" t="n">
        <f aca="true">NORMINV(RAND(),0,L$7)</f>
        <v>-0.326542006160337</v>
      </c>
      <c r="M1099" s="53" t="n">
        <f aca="true">NORMINV(RAND(),0,M$7)</f>
        <v>-0.431748427686951</v>
      </c>
      <c r="N1099" s="53" t="n">
        <f aca="true">NORMINV(RAND(),0,N$7)</f>
        <v>0.870504083096834</v>
      </c>
      <c r="O1099" s="53" t="n">
        <f aca="false">SUM(J1099:N1099)</f>
        <v>-1.51270173771445</v>
      </c>
    </row>
    <row r="1100" customFormat="false" ht="15" hidden="false" customHeight="false" outlineLevel="0" collapsed="false">
      <c r="A1100" s="2" t="n">
        <v>1092</v>
      </c>
      <c r="B1100" s="53" t="n">
        <f aca="true">NORMINV(RAND(),0,B$7)</f>
        <v>-0.0264970966063637</v>
      </c>
      <c r="C1100" s="53" t="n">
        <f aca="true">NORMINV(RAND(),0,C$7)</f>
        <v>0.0318876127485334</v>
      </c>
      <c r="D1100" s="53" t="n">
        <f aca="true">NORMINV(RAND(),0,D$7)</f>
        <v>-1.44892727063061</v>
      </c>
      <c r="E1100" s="53" t="n">
        <f aca="true">NORMINV(RAND(),0,E$7)</f>
        <v>0.312716947227576</v>
      </c>
      <c r="F1100" s="53" t="n">
        <f aca="true">NORMINV(RAND(),0,F$7)</f>
        <v>-0.106782028483396</v>
      </c>
      <c r="G1100" s="53" t="n">
        <f aca="true">NORMINV(RAND(),0,G$7)</f>
        <v>-2.38698482223106</v>
      </c>
      <c r="H1100" s="53" t="n">
        <f aca="true">NORMINV(RAND(),0,H$7)</f>
        <v>0.237031910999998</v>
      </c>
      <c r="I1100" s="53" t="n">
        <f aca="false">SUM(B1100:H1100)</f>
        <v>-3.38755474697532</v>
      </c>
      <c r="J1100" s="53" t="n">
        <f aca="true">NORMINV(RAND(),0,J$7)</f>
        <v>4.32052120345426</v>
      </c>
      <c r="K1100" s="53" t="n">
        <f aca="true">NORMINV(RAND(),0,K$7)</f>
        <v>0.816473273390005</v>
      </c>
      <c r="L1100" s="53" t="n">
        <f aca="true">NORMINV(RAND(),0,L$7)</f>
        <v>0.266109092468804</v>
      </c>
      <c r="M1100" s="53" t="n">
        <f aca="true">NORMINV(RAND(),0,M$7)</f>
        <v>-0.115603851040857</v>
      </c>
      <c r="N1100" s="53" t="n">
        <f aca="true">NORMINV(RAND(),0,N$7)</f>
        <v>0.39872818388865</v>
      </c>
      <c r="O1100" s="53" t="n">
        <f aca="false">SUM(J1100:N1100)</f>
        <v>5.68622790216086</v>
      </c>
    </row>
    <row r="1101" customFormat="false" ht="15" hidden="false" customHeight="false" outlineLevel="0" collapsed="false">
      <c r="A1101" s="2" t="n">
        <v>1093</v>
      </c>
      <c r="B1101" s="53" t="n">
        <f aca="true">NORMINV(RAND(),0,B$7)</f>
        <v>0.159236360009773</v>
      </c>
      <c r="C1101" s="53" t="n">
        <f aca="true">NORMINV(RAND(),0,C$7)</f>
        <v>-0.740843193889622</v>
      </c>
      <c r="D1101" s="53" t="n">
        <f aca="true">NORMINV(RAND(),0,D$7)</f>
        <v>-0.286580268721877</v>
      </c>
      <c r="E1101" s="53" t="n">
        <f aca="true">NORMINV(RAND(),0,E$7)</f>
        <v>-0.125435567239084</v>
      </c>
      <c r="F1101" s="53" t="n">
        <f aca="true">NORMINV(RAND(),0,F$7)</f>
        <v>-0.0915043479767513</v>
      </c>
      <c r="G1101" s="53" t="n">
        <f aca="true">NORMINV(RAND(),0,G$7)</f>
        <v>-1.14083482173801</v>
      </c>
      <c r="H1101" s="53" t="n">
        <f aca="true">NORMINV(RAND(),0,H$7)</f>
        <v>0.749337736355667</v>
      </c>
      <c r="I1101" s="53" t="n">
        <f aca="false">SUM(B1101:H1101)</f>
        <v>-1.47662410319991</v>
      </c>
      <c r="J1101" s="53" t="n">
        <f aca="true">NORMINV(RAND(),0,J$7)</f>
        <v>3.47826867273322</v>
      </c>
      <c r="K1101" s="53" t="n">
        <f aca="true">NORMINV(RAND(),0,K$7)</f>
        <v>1.42099331816513</v>
      </c>
      <c r="L1101" s="53" t="n">
        <f aca="true">NORMINV(RAND(),0,L$7)</f>
        <v>0.296778308713864</v>
      </c>
      <c r="M1101" s="53" t="n">
        <f aca="true">NORMINV(RAND(),0,M$7)</f>
        <v>-0.0354680212436392</v>
      </c>
      <c r="N1101" s="53" t="n">
        <f aca="true">NORMINV(RAND(),0,N$7)</f>
        <v>0.166226785316125</v>
      </c>
      <c r="O1101" s="53" t="n">
        <f aca="false">SUM(J1101:N1101)</f>
        <v>5.3267990636847</v>
      </c>
    </row>
    <row r="1102" customFormat="false" ht="15" hidden="false" customHeight="false" outlineLevel="0" collapsed="false">
      <c r="A1102" s="2" t="n">
        <v>1094</v>
      </c>
      <c r="B1102" s="53" t="n">
        <f aca="true">NORMINV(RAND(),0,B$7)</f>
        <v>-3.06642818779887</v>
      </c>
      <c r="C1102" s="53" t="n">
        <f aca="true">NORMINV(RAND(),0,C$7)</f>
        <v>-0.873400638387586</v>
      </c>
      <c r="D1102" s="53" t="n">
        <f aca="true">NORMINV(RAND(),0,D$7)</f>
        <v>1.80933651390345</v>
      </c>
      <c r="E1102" s="53" t="n">
        <f aca="true">NORMINV(RAND(),0,E$7)</f>
        <v>0.0360502439562908</v>
      </c>
      <c r="F1102" s="53" t="n">
        <f aca="true">NORMINV(RAND(),0,F$7)</f>
        <v>-0.163152278542922</v>
      </c>
      <c r="G1102" s="53" t="n">
        <f aca="true">NORMINV(RAND(),0,G$7)</f>
        <v>0.692103377513821</v>
      </c>
      <c r="H1102" s="53" t="n">
        <f aca="true">NORMINV(RAND(),0,H$7)</f>
        <v>-0.608525211781622</v>
      </c>
      <c r="I1102" s="53" t="n">
        <f aca="false">SUM(B1102:H1102)</f>
        <v>-2.17401618113744</v>
      </c>
      <c r="J1102" s="53" t="n">
        <f aca="true">NORMINV(RAND(),0,J$7)</f>
        <v>-1.50638010068935</v>
      </c>
      <c r="K1102" s="53" t="n">
        <f aca="true">NORMINV(RAND(),0,K$7)</f>
        <v>-1.0759796696784</v>
      </c>
      <c r="L1102" s="53" t="n">
        <f aca="true">NORMINV(RAND(),0,L$7)</f>
        <v>0.201359145712936</v>
      </c>
      <c r="M1102" s="53" t="n">
        <f aca="true">NORMINV(RAND(),0,M$7)</f>
        <v>0.113646031903529</v>
      </c>
      <c r="N1102" s="53" t="n">
        <f aca="true">NORMINV(RAND(),0,N$7)</f>
        <v>0.0589422569785823</v>
      </c>
      <c r="O1102" s="53" t="n">
        <f aca="false">SUM(J1102:N1102)</f>
        <v>-2.20841233577271</v>
      </c>
    </row>
    <row r="1103" customFormat="false" ht="15" hidden="false" customHeight="false" outlineLevel="0" collapsed="false">
      <c r="A1103" s="2" t="n">
        <v>1095</v>
      </c>
      <c r="B1103" s="53" t="n">
        <f aca="true">NORMINV(RAND(),0,B$7)</f>
        <v>2.65027871822017</v>
      </c>
      <c r="C1103" s="53" t="n">
        <f aca="true">NORMINV(RAND(),0,C$7)</f>
        <v>1.93005826391463</v>
      </c>
      <c r="D1103" s="53" t="n">
        <f aca="true">NORMINV(RAND(),0,D$7)</f>
        <v>-1.70725145989383</v>
      </c>
      <c r="E1103" s="53" t="n">
        <f aca="true">NORMINV(RAND(),0,E$7)</f>
        <v>0.576467685175882</v>
      </c>
      <c r="F1103" s="53" t="n">
        <f aca="true">NORMINV(RAND(),0,F$7)</f>
        <v>0.00884781612265653</v>
      </c>
      <c r="G1103" s="53" t="n">
        <f aca="true">NORMINV(RAND(),0,G$7)</f>
        <v>-1.27470861394984</v>
      </c>
      <c r="H1103" s="53" t="n">
        <f aca="true">NORMINV(RAND(),0,H$7)</f>
        <v>0.216565696308254</v>
      </c>
      <c r="I1103" s="53" t="n">
        <f aca="false">SUM(B1103:H1103)</f>
        <v>2.40025810589792</v>
      </c>
      <c r="J1103" s="53" t="n">
        <f aca="true">NORMINV(RAND(),0,J$7)</f>
        <v>-1.20943170955599</v>
      </c>
      <c r="K1103" s="53" t="n">
        <f aca="true">NORMINV(RAND(),0,K$7)</f>
        <v>-0.357304059469097</v>
      </c>
      <c r="L1103" s="53" t="n">
        <f aca="true">NORMINV(RAND(),0,L$7)</f>
        <v>0.165632015823781</v>
      </c>
      <c r="M1103" s="53" t="n">
        <f aca="true">NORMINV(RAND(),0,M$7)</f>
        <v>-0.0738051367772371</v>
      </c>
      <c r="N1103" s="53" t="n">
        <f aca="true">NORMINV(RAND(),0,N$7)</f>
        <v>-0.0419063828588547</v>
      </c>
      <c r="O1103" s="53" t="n">
        <f aca="false">SUM(J1103:N1103)</f>
        <v>-1.51681527283739</v>
      </c>
    </row>
    <row r="1104" customFormat="false" ht="15" hidden="false" customHeight="false" outlineLevel="0" collapsed="false">
      <c r="A1104" s="2" t="n">
        <v>1096</v>
      </c>
      <c r="B1104" s="53" t="n">
        <f aca="true">NORMINV(RAND(),0,B$7)</f>
        <v>-0.402431185894934</v>
      </c>
      <c r="C1104" s="53" t="n">
        <f aca="true">NORMINV(RAND(),0,C$7)</f>
        <v>-0.0672284189335146</v>
      </c>
      <c r="D1104" s="53" t="n">
        <f aca="true">NORMINV(RAND(),0,D$7)</f>
        <v>0.0599951492145684</v>
      </c>
      <c r="E1104" s="53" t="n">
        <f aca="true">NORMINV(RAND(),0,E$7)</f>
        <v>-0.0686799649287779</v>
      </c>
      <c r="F1104" s="53" t="n">
        <f aca="true">NORMINV(RAND(),0,F$7)</f>
        <v>0.198468300454156</v>
      </c>
      <c r="G1104" s="53" t="n">
        <f aca="true">NORMINV(RAND(),0,G$7)</f>
        <v>1.54555899196029</v>
      </c>
      <c r="H1104" s="53" t="n">
        <f aca="true">NORMINV(RAND(),0,H$7)</f>
        <v>0.0162621896298346</v>
      </c>
      <c r="I1104" s="53" t="n">
        <f aca="false">SUM(B1104:H1104)</f>
        <v>1.28194506150162</v>
      </c>
      <c r="J1104" s="53" t="n">
        <f aca="true">NORMINV(RAND(),0,J$7)</f>
        <v>-0.578078527389538</v>
      </c>
      <c r="K1104" s="53" t="n">
        <f aca="true">NORMINV(RAND(),0,K$7)</f>
        <v>0.702338525937168</v>
      </c>
      <c r="L1104" s="53" t="n">
        <f aca="true">NORMINV(RAND(),0,L$7)</f>
        <v>-0.0726820903604429</v>
      </c>
      <c r="M1104" s="53" t="n">
        <f aca="true">NORMINV(RAND(),0,M$7)</f>
        <v>0.1553290315869</v>
      </c>
      <c r="N1104" s="53" t="n">
        <f aca="true">NORMINV(RAND(),0,N$7)</f>
        <v>0.238088775025124</v>
      </c>
      <c r="O1104" s="53" t="n">
        <f aca="false">SUM(J1104:N1104)</f>
        <v>0.444995714799211</v>
      </c>
    </row>
    <row r="1105" customFormat="false" ht="15" hidden="false" customHeight="false" outlineLevel="0" collapsed="false">
      <c r="A1105" s="2" t="n">
        <v>1097</v>
      </c>
      <c r="B1105" s="53" t="n">
        <f aca="true">NORMINV(RAND(),0,B$7)</f>
        <v>0.951005272739212</v>
      </c>
      <c r="C1105" s="53" t="n">
        <f aca="true">NORMINV(RAND(),0,C$7)</f>
        <v>3.47621362273682</v>
      </c>
      <c r="D1105" s="53" t="n">
        <f aca="true">NORMINV(RAND(),0,D$7)</f>
        <v>-2.46205876638593</v>
      </c>
      <c r="E1105" s="53" t="n">
        <f aca="true">NORMINV(RAND(),0,E$7)</f>
        <v>-0.109616576623156</v>
      </c>
      <c r="F1105" s="53" t="n">
        <f aca="true">NORMINV(RAND(),0,F$7)</f>
        <v>0.0203909469159241</v>
      </c>
      <c r="G1105" s="53" t="n">
        <f aca="true">NORMINV(RAND(),0,G$7)</f>
        <v>0.433096634777472</v>
      </c>
      <c r="H1105" s="53" t="n">
        <f aca="true">NORMINV(RAND(),0,H$7)</f>
        <v>0.116996770685095</v>
      </c>
      <c r="I1105" s="53" t="n">
        <f aca="false">SUM(B1105:H1105)</f>
        <v>2.42602790484544</v>
      </c>
      <c r="J1105" s="53" t="n">
        <f aca="true">NORMINV(RAND(),0,J$7)</f>
        <v>0.776766825627405</v>
      </c>
      <c r="K1105" s="53" t="n">
        <f aca="true">NORMINV(RAND(),0,K$7)</f>
        <v>-0.740794752859916</v>
      </c>
      <c r="L1105" s="53" t="n">
        <f aca="true">NORMINV(RAND(),0,L$7)</f>
        <v>-0.254524432073838</v>
      </c>
      <c r="M1105" s="53" t="n">
        <f aca="true">NORMINV(RAND(),0,M$7)</f>
        <v>-0.0983053536865123</v>
      </c>
      <c r="N1105" s="53" t="n">
        <f aca="true">NORMINV(RAND(),0,N$7)</f>
        <v>-0.179488149032058</v>
      </c>
      <c r="O1105" s="53" t="n">
        <f aca="false">SUM(J1105:N1105)</f>
        <v>-0.49634586202492</v>
      </c>
    </row>
    <row r="1106" customFormat="false" ht="15" hidden="false" customHeight="false" outlineLevel="0" collapsed="false">
      <c r="A1106" s="2" t="n">
        <v>1098</v>
      </c>
      <c r="B1106" s="53" t="n">
        <f aca="true">NORMINV(RAND(),0,B$7)</f>
        <v>1.82068697711381</v>
      </c>
      <c r="C1106" s="53" t="n">
        <f aca="true">NORMINV(RAND(),0,C$7)</f>
        <v>0.0288210088097213</v>
      </c>
      <c r="D1106" s="53" t="n">
        <f aca="true">NORMINV(RAND(),0,D$7)</f>
        <v>-0.76082722411136</v>
      </c>
      <c r="E1106" s="53" t="n">
        <f aca="true">NORMINV(RAND(),0,E$7)</f>
        <v>0.0723160408942686</v>
      </c>
      <c r="F1106" s="53" t="n">
        <f aca="true">NORMINV(RAND(),0,F$7)</f>
        <v>-0.170070474564865</v>
      </c>
      <c r="G1106" s="53" t="n">
        <f aca="true">NORMINV(RAND(),0,G$7)</f>
        <v>1.09135965626146</v>
      </c>
      <c r="H1106" s="53" t="n">
        <f aca="true">NORMINV(RAND(),0,H$7)</f>
        <v>0.498973882023839</v>
      </c>
      <c r="I1106" s="53" t="n">
        <f aca="false">SUM(B1106:H1106)</f>
        <v>2.58125986642688</v>
      </c>
      <c r="J1106" s="53" t="n">
        <f aca="true">NORMINV(RAND(),0,J$7)</f>
        <v>1.4918427695686</v>
      </c>
      <c r="K1106" s="53" t="n">
        <f aca="true">NORMINV(RAND(),0,K$7)</f>
        <v>0.0404595303192205</v>
      </c>
      <c r="L1106" s="53" t="n">
        <f aca="true">NORMINV(RAND(),0,L$7)</f>
        <v>0.225758758777908</v>
      </c>
      <c r="M1106" s="53" t="n">
        <f aca="true">NORMINV(RAND(),0,M$7)</f>
        <v>-0.075707320015401</v>
      </c>
      <c r="N1106" s="53" t="n">
        <f aca="true">NORMINV(RAND(),0,N$7)</f>
        <v>0.0567563068476914</v>
      </c>
      <c r="O1106" s="53" t="n">
        <f aca="false">SUM(J1106:N1106)</f>
        <v>1.73911004549802</v>
      </c>
    </row>
    <row r="1107" customFormat="false" ht="15" hidden="false" customHeight="false" outlineLevel="0" collapsed="false">
      <c r="A1107" s="2" t="n">
        <v>1099</v>
      </c>
      <c r="B1107" s="53" t="n">
        <f aca="true">NORMINV(RAND(),0,B$7)</f>
        <v>-0.966068329942404</v>
      </c>
      <c r="C1107" s="53" t="n">
        <f aca="true">NORMINV(RAND(),0,C$7)</f>
        <v>-1.77968019919817</v>
      </c>
      <c r="D1107" s="53" t="n">
        <f aca="true">NORMINV(RAND(),0,D$7)</f>
        <v>-0.127338124912881</v>
      </c>
      <c r="E1107" s="53" t="n">
        <f aca="true">NORMINV(RAND(),0,E$7)</f>
        <v>-0.631791961673936</v>
      </c>
      <c r="F1107" s="53" t="n">
        <f aca="true">NORMINV(RAND(),0,F$7)</f>
        <v>0.0160171105625245</v>
      </c>
      <c r="G1107" s="53" t="n">
        <f aca="true">NORMINV(RAND(),0,G$7)</f>
        <v>0.208727493488096</v>
      </c>
      <c r="H1107" s="53" t="n">
        <f aca="true">NORMINV(RAND(),0,H$7)</f>
        <v>0.541687706257526</v>
      </c>
      <c r="I1107" s="53" t="n">
        <f aca="false">SUM(B1107:H1107)</f>
        <v>-2.73844630541925</v>
      </c>
      <c r="J1107" s="53" t="n">
        <f aca="true">NORMINV(RAND(),0,J$7)</f>
        <v>0.472646991144511</v>
      </c>
      <c r="K1107" s="53" t="n">
        <f aca="true">NORMINV(RAND(),0,K$7)</f>
        <v>1.5927479286757</v>
      </c>
      <c r="L1107" s="53" t="n">
        <f aca="true">NORMINV(RAND(),0,L$7)</f>
        <v>0.275849933083111</v>
      </c>
      <c r="M1107" s="53" t="n">
        <f aca="true">NORMINV(RAND(),0,M$7)</f>
        <v>-0.120905418448355</v>
      </c>
      <c r="N1107" s="53" t="n">
        <f aca="true">NORMINV(RAND(),0,N$7)</f>
        <v>-0.321962986066256</v>
      </c>
      <c r="O1107" s="53" t="n">
        <f aca="false">SUM(J1107:N1107)</f>
        <v>1.89837644838871</v>
      </c>
    </row>
    <row r="1108" customFormat="false" ht="15" hidden="false" customHeight="false" outlineLevel="0" collapsed="false">
      <c r="A1108" s="2" t="n">
        <v>1100</v>
      </c>
      <c r="B1108" s="53" t="n">
        <f aca="true">NORMINV(RAND(),0,B$7)</f>
        <v>0.294116719946317</v>
      </c>
      <c r="C1108" s="53" t="n">
        <f aca="true">NORMINV(RAND(),0,C$7)</f>
        <v>0.121349655455647</v>
      </c>
      <c r="D1108" s="53" t="n">
        <f aca="true">NORMINV(RAND(),0,D$7)</f>
        <v>-2.25052820711474</v>
      </c>
      <c r="E1108" s="53" t="n">
        <f aca="true">NORMINV(RAND(),0,E$7)</f>
        <v>0.101144990693662</v>
      </c>
      <c r="F1108" s="53" t="n">
        <f aca="true">NORMINV(RAND(),0,F$7)</f>
        <v>-0.179859143114366</v>
      </c>
      <c r="G1108" s="53" t="n">
        <f aca="true">NORMINV(RAND(),0,G$7)</f>
        <v>0.449101018674567</v>
      </c>
      <c r="H1108" s="53" t="n">
        <f aca="true">NORMINV(RAND(),0,H$7)</f>
        <v>0.254412240799549</v>
      </c>
      <c r="I1108" s="53" t="n">
        <f aca="false">SUM(B1108:H1108)</f>
        <v>-1.21026272465936</v>
      </c>
      <c r="J1108" s="53" t="n">
        <f aca="true">NORMINV(RAND(),0,J$7)</f>
        <v>1.58120035333925</v>
      </c>
      <c r="K1108" s="53" t="n">
        <f aca="true">NORMINV(RAND(),0,K$7)</f>
        <v>-0.476916818207924</v>
      </c>
      <c r="L1108" s="53" t="n">
        <f aca="true">NORMINV(RAND(),0,L$7)</f>
        <v>-0.135047838995858</v>
      </c>
      <c r="M1108" s="53" t="n">
        <f aca="true">NORMINV(RAND(),0,M$7)</f>
        <v>0.0507449114360423</v>
      </c>
      <c r="N1108" s="53" t="n">
        <f aca="true">NORMINV(RAND(),0,N$7)</f>
        <v>0.464327438909918</v>
      </c>
      <c r="O1108" s="53" t="n">
        <f aca="false">SUM(J1108:N1108)</f>
        <v>1.48430804648143</v>
      </c>
    </row>
    <row r="1109" customFormat="false" ht="15" hidden="false" customHeight="false" outlineLevel="0" collapsed="false">
      <c r="A1109" s="2" t="n">
        <v>1101</v>
      </c>
      <c r="B1109" s="53" t="n">
        <f aca="true">NORMINV(RAND(),0,B$7)</f>
        <v>3.04589858085298</v>
      </c>
      <c r="C1109" s="53" t="n">
        <f aca="true">NORMINV(RAND(),0,C$7)</f>
        <v>3.32436222182945</v>
      </c>
      <c r="D1109" s="53" t="n">
        <f aca="true">NORMINV(RAND(),0,D$7)</f>
        <v>-0.123815964126554</v>
      </c>
      <c r="E1109" s="53" t="n">
        <f aca="true">NORMINV(RAND(),0,E$7)</f>
        <v>-0.0463907564383042</v>
      </c>
      <c r="F1109" s="53" t="n">
        <f aca="true">NORMINV(RAND(),0,F$7)</f>
        <v>-0.185515491462305</v>
      </c>
      <c r="G1109" s="53" t="n">
        <f aca="true">NORMINV(RAND(),0,G$7)</f>
        <v>-0.332922987580582</v>
      </c>
      <c r="H1109" s="53" t="n">
        <f aca="true">NORMINV(RAND(),0,H$7)</f>
        <v>-0.331228497948882</v>
      </c>
      <c r="I1109" s="53" t="n">
        <f aca="false">SUM(B1109:H1109)</f>
        <v>5.35038710512581</v>
      </c>
      <c r="J1109" s="53" t="n">
        <f aca="true">NORMINV(RAND(),0,J$7)</f>
        <v>-3.17378578701438</v>
      </c>
      <c r="K1109" s="53" t="n">
        <f aca="true">NORMINV(RAND(),0,K$7)</f>
        <v>0.345869715288315</v>
      </c>
      <c r="L1109" s="53" t="n">
        <f aca="true">NORMINV(RAND(),0,L$7)</f>
        <v>-0.17261510703591</v>
      </c>
      <c r="M1109" s="53" t="n">
        <f aca="true">NORMINV(RAND(),0,M$7)</f>
        <v>0.4111799240127</v>
      </c>
      <c r="N1109" s="53" t="n">
        <f aca="true">NORMINV(RAND(),0,N$7)</f>
        <v>0.190241864618677</v>
      </c>
      <c r="O1109" s="53" t="n">
        <f aca="false">SUM(J1109:N1109)</f>
        <v>-2.3991093901306</v>
      </c>
    </row>
    <row r="1110" customFormat="false" ht="15" hidden="false" customHeight="false" outlineLevel="0" collapsed="false">
      <c r="A1110" s="2" t="n">
        <v>1102</v>
      </c>
      <c r="B1110" s="53" t="n">
        <f aca="true">NORMINV(RAND(),0,B$7)</f>
        <v>2.13921801136394</v>
      </c>
      <c r="C1110" s="53" t="n">
        <f aca="true">NORMINV(RAND(),0,C$7)</f>
        <v>0.107444370839593</v>
      </c>
      <c r="D1110" s="53" t="n">
        <f aca="true">NORMINV(RAND(),0,D$7)</f>
        <v>-4.17254764344553</v>
      </c>
      <c r="E1110" s="53" t="n">
        <f aca="true">NORMINV(RAND(),0,E$7)</f>
        <v>-0.0557278132343094</v>
      </c>
      <c r="F1110" s="53" t="n">
        <f aca="true">NORMINV(RAND(),0,F$7)</f>
        <v>0.0924862582859735</v>
      </c>
      <c r="G1110" s="53" t="n">
        <f aca="true">NORMINV(RAND(),0,G$7)</f>
        <v>-2.44101322583813</v>
      </c>
      <c r="H1110" s="53" t="n">
        <f aca="true">NORMINV(RAND(),0,H$7)</f>
        <v>-0.551454532586887</v>
      </c>
      <c r="I1110" s="53" t="n">
        <f aca="false">SUM(B1110:H1110)</f>
        <v>-4.88159457461534</v>
      </c>
      <c r="J1110" s="53" t="n">
        <f aca="true">NORMINV(RAND(),0,J$7)</f>
        <v>0.0288725127295022</v>
      </c>
      <c r="K1110" s="53" t="n">
        <f aca="true">NORMINV(RAND(),0,K$7)</f>
        <v>-0.908161931130676</v>
      </c>
      <c r="L1110" s="53" t="n">
        <f aca="true">NORMINV(RAND(),0,L$7)</f>
        <v>-0.406326887738091</v>
      </c>
      <c r="M1110" s="53" t="n">
        <f aca="true">NORMINV(RAND(),0,M$7)</f>
        <v>-0.306608289980024</v>
      </c>
      <c r="N1110" s="53" t="n">
        <f aca="true">NORMINV(RAND(),0,N$7)</f>
        <v>0.140722535291594</v>
      </c>
      <c r="O1110" s="53" t="n">
        <f aca="false">SUM(J1110:N1110)</f>
        <v>-1.45150206082769</v>
      </c>
    </row>
    <row r="1111" customFormat="false" ht="15" hidden="false" customHeight="false" outlineLevel="0" collapsed="false">
      <c r="A1111" s="2" t="n">
        <v>1103</v>
      </c>
      <c r="B1111" s="53" t="n">
        <f aca="true">NORMINV(RAND(),0,B$7)</f>
        <v>-2.53032856046579</v>
      </c>
      <c r="C1111" s="53" t="n">
        <f aca="true">NORMINV(RAND(),0,C$7)</f>
        <v>-0.364748025415896</v>
      </c>
      <c r="D1111" s="53" t="n">
        <f aca="true">NORMINV(RAND(),0,D$7)</f>
        <v>-1.64087737885814</v>
      </c>
      <c r="E1111" s="53" t="n">
        <f aca="true">NORMINV(RAND(),0,E$7)</f>
        <v>-0.244760618693296</v>
      </c>
      <c r="F1111" s="53" t="n">
        <f aca="true">NORMINV(RAND(),0,F$7)</f>
        <v>-0.280573669868553</v>
      </c>
      <c r="G1111" s="53" t="n">
        <f aca="true">NORMINV(RAND(),0,G$7)</f>
        <v>-0.641875014874315</v>
      </c>
      <c r="H1111" s="53" t="n">
        <f aca="true">NORMINV(RAND(),0,H$7)</f>
        <v>-0.0244057427989359</v>
      </c>
      <c r="I1111" s="53" t="n">
        <f aca="false">SUM(B1111:H1111)</f>
        <v>-5.72756901097493</v>
      </c>
      <c r="J1111" s="53" t="n">
        <f aca="true">NORMINV(RAND(),0,J$7)</f>
        <v>-0.668545127827844</v>
      </c>
      <c r="K1111" s="53" t="n">
        <f aca="true">NORMINV(RAND(),0,K$7)</f>
        <v>0.1340734069348</v>
      </c>
      <c r="L1111" s="53" t="n">
        <f aca="true">NORMINV(RAND(),0,L$7)</f>
        <v>0.371200496805205</v>
      </c>
      <c r="M1111" s="53" t="n">
        <f aca="true">NORMINV(RAND(),0,M$7)</f>
        <v>-0.0980822926616153</v>
      </c>
      <c r="N1111" s="53" t="n">
        <f aca="true">NORMINV(RAND(),0,N$7)</f>
        <v>-0.536916922635122</v>
      </c>
      <c r="O1111" s="53" t="n">
        <f aca="false">SUM(J1111:N1111)</f>
        <v>-0.798270439384576</v>
      </c>
    </row>
    <row r="1112" customFormat="false" ht="15" hidden="false" customHeight="false" outlineLevel="0" collapsed="false">
      <c r="A1112" s="2" t="n">
        <v>1104</v>
      </c>
      <c r="B1112" s="53" t="n">
        <f aca="true">NORMINV(RAND(),0,B$7)</f>
        <v>-0.848210512488907</v>
      </c>
      <c r="C1112" s="53" t="n">
        <f aca="true">NORMINV(RAND(),0,C$7)</f>
        <v>-0.00118959549379385</v>
      </c>
      <c r="D1112" s="53" t="n">
        <f aca="true">NORMINV(RAND(),0,D$7)</f>
        <v>-0.820029331302907</v>
      </c>
      <c r="E1112" s="53" t="n">
        <f aca="true">NORMINV(RAND(),0,E$7)</f>
        <v>-0.770916797876949</v>
      </c>
      <c r="F1112" s="53" t="n">
        <f aca="true">NORMINV(RAND(),0,F$7)</f>
        <v>0.123192399394811</v>
      </c>
      <c r="G1112" s="53" t="n">
        <f aca="true">NORMINV(RAND(),0,G$7)</f>
        <v>2.50576173149012</v>
      </c>
      <c r="H1112" s="53" t="n">
        <f aca="true">NORMINV(RAND(),0,H$7)</f>
        <v>0.659136560895545</v>
      </c>
      <c r="I1112" s="53" t="n">
        <f aca="false">SUM(B1112:H1112)</f>
        <v>0.847744454617923</v>
      </c>
      <c r="J1112" s="53" t="n">
        <f aca="true">NORMINV(RAND(),0,J$7)</f>
        <v>-1.42699141561852</v>
      </c>
      <c r="K1112" s="53" t="n">
        <f aca="true">NORMINV(RAND(),0,K$7)</f>
        <v>-0.287491911187361</v>
      </c>
      <c r="L1112" s="53" t="n">
        <f aca="true">NORMINV(RAND(),0,L$7)</f>
        <v>-0.352391087483777</v>
      </c>
      <c r="M1112" s="53" t="n">
        <f aca="true">NORMINV(RAND(),0,M$7)</f>
        <v>0.26424115068744</v>
      </c>
      <c r="N1112" s="53" t="n">
        <f aca="true">NORMINV(RAND(),0,N$7)</f>
        <v>-0.215285594046983</v>
      </c>
      <c r="O1112" s="53" t="n">
        <f aca="false">SUM(J1112:N1112)</f>
        <v>-2.0179188576492</v>
      </c>
    </row>
    <row r="1113" customFormat="false" ht="15" hidden="false" customHeight="false" outlineLevel="0" collapsed="false">
      <c r="A1113" s="2" t="n">
        <v>1105</v>
      </c>
      <c r="B1113" s="53" t="n">
        <f aca="true">NORMINV(RAND(),0,B$7)</f>
        <v>0.163665123239703</v>
      </c>
      <c r="C1113" s="53" t="n">
        <f aca="true">NORMINV(RAND(),0,C$7)</f>
        <v>1.69178051193905</v>
      </c>
      <c r="D1113" s="53" t="n">
        <f aca="true">NORMINV(RAND(),0,D$7)</f>
        <v>0.814693476568434</v>
      </c>
      <c r="E1113" s="53" t="n">
        <f aca="true">NORMINV(RAND(),0,E$7)</f>
        <v>0.803088504142993</v>
      </c>
      <c r="F1113" s="53" t="n">
        <f aca="true">NORMINV(RAND(),0,F$7)</f>
        <v>0.180675615983276</v>
      </c>
      <c r="G1113" s="53" t="n">
        <f aca="true">NORMINV(RAND(),0,G$7)</f>
        <v>1.34827126407884</v>
      </c>
      <c r="H1113" s="53" t="n">
        <f aca="true">NORMINV(RAND(),0,H$7)</f>
        <v>-0.0585814585505908</v>
      </c>
      <c r="I1113" s="53" t="n">
        <f aca="false">SUM(B1113:H1113)</f>
        <v>4.94359303740171</v>
      </c>
      <c r="J1113" s="53" t="n">
        <f aca="true">NORMINV(RAND(),0,J$7)</f>
        <v>-4.6609855433275</v>
      </c>
      <c r="K1113" s="53" t="n">
        <f aca="true">NORMINV(RAND(),0,K$7)</f>
        <v>-0.57788026404005</v>
      </c>
      <c r="L1113" s="53" t="n">
        <f aca="true">NORMINV(RAND(),0,L$7)</f>
        <v>0.0305392846498548</v>
      </c>
      <c r="M1113" s="53" t="n">
        <f aca="true">NORMINV(RAND(),0,M$7)</f>
        <v>-0.0185139146899795</v>
      </c>
      <c r="N1113" s="53" t="n">
        <f aca="true">NORMINV(RAND(),0,N$7)</f>
        <v>0.344009341201053</v>
      </c>
      <c r="O1113" s="53" t="n">
        <f aca="false">SUM(J1113:N1113)</f>
        <v>-4.88283109620662</v>
      </c>
    </row>
    <row r="1114" customFormat="false" ht="15" hidden="false" customHeight="false" outlineLevel="0" collapsed="false">
      <c r="A1114" s="2" t="n">
        <v>1106</v>
      </c>
      <c r="B1114" s="53" t="n">
        <f aca="true">NORMINV(RAND(),0,B$7)</f>
        <v>-2.02532863596014</v>
      </c>
      <c r="C1114" s="53" t="n">
        <f aca="true">NORMINV(RAND(),0,C$7)</f>
        <v>-0.475029793664958</v>
      </c>
      <c r="D1114" s="53" t="n">
        <f aca="true">NORMINV(RAND(),0,D$7)</f>
        <v>0.83660137054368</v>
      </c>
      <c r="E1114" s="53" t="n">
        <f aca="true">NORMINV(RAND(),0,E$7)</f>
        <v>-0.171583638137666</v>
      </c>
      <c r="F1114" s="53" t="n">
        <f aca="true">NORMINV(RAND(),0,F$7)</f>
        <v>-0.218879519767654</v>
      </c>
      <c r="G1114" s="53" t="n">
        <f aca="true">NORMINV(RAND(),0,G$7)</f>
        <v>-0.627536522547084</v>
      </c>
      <c r="H1114" s="53" t="n">
        <f aca="true">NORMINV(RAND(),0,H$7)</f>
        <v>0.196428504577655</v>
      </c>
      <c r="I1114" s="53" t="n">
        <f aca="false">SUM(B1114:H1114)</f>
        <v>-2.48532823495616</v>
      </c>
      <c r="J1114" s="53" t="n">
        <f aca="true">NORMINV(RAND(),0,J$7)</f>
        <v>0.793169953888777</v>
      </c>
      <c r="K1114" s="53" t="n">
        <f aca="true">NORMINV(RAND(),0,K$7)</f>
        <v>-0.558032611635038</v>
      </c>
      <c r="L1114" s="53" t="n">
        <f aca="true">NORMINV(RAND(),0,L$7)</f>
        <v>-0.293471416717761</v>
      </c>
      <c r="M1114" s="53" t="n">
        <f aca="true">NORMINV(RAND(),0,M$7)</f>
        <v>0.19641332622438</v>
      </c>
      <c r="N1114" s="53" t="n">
        <f aca="true">NORMINV(RAND(),0,N$7)</f>
        <v>-0.179868470094949</v>
      </c>
      <c r="O1114" s="53" t="n">
        <f aca="false">SUM(J1114:N1114)</f>
        <v>-0.0417892183345902</v>
      </c>
    </row>
    <row r="1115" customFormat="false" ht="15" hidden="false" customHeight="false" outlineLevel="0" collapsed="false">
      <c r="A1115" s="2" t="n">
        <v>1107</v>
      </c>
      <c r="B1115" s="53" t="n">
        <f aca="true">NORMINV(RAND(),0,B$7)</f>
        <v>2.00806806365822</v>
      </c>
      <c r="C1115" s="53" t="n">
        <f aca="true">NORMINV(RAND(),0,C$7)</f>
        <v>-0.455360536268567</v>
      </c>
      <c r="D1115" s="53" t="n">
        <f aca="true">NORMINV(RAND(),0,D$7)</f>
        <v>-2.31761476065049</v>
      </c>
      <c r="E1115" s="53" t="n">
        <f aca="true">NORMINV(RAND(),0,E$7)</f>
        <v>0.133339104885935</v>
      </c>
      <c r="F1115" s="53" t="n">
        <f aca="true">NORMINV(RAND(),0,F$7)</f>
        <v>0.362384173632594</v>
      </c>
      <c r="G1115" s="53" t="n">
        <f aca="true">NORMINV(RAND(),0,G$7)</f>
        <v>0.535075662139863</v>
      </c>
      <c r="H1115" s="53" t="n">
        <f aca="true">NORMINV(RAND(),0,H$7)</f>
        <v>-0.235502710008443</v>
      </c>
      <c r="I1115" s="53" t="n">
        <f aca="false">SUM(B1115:H1115)</f>
        <v>0.0303889973891107</v>
      </c>
      <c r="J1115" s="53" t="n">
        <f aca="true">NORMINV(RAND(),0,J$7)</f>
        <v>0.654247357106174</v>
      </c>
      <c r="K1115" s="53" t="n">
        <f aca="true">NORMINV(RAND(),0,K$7)</f>
        <v>-0.326750970769991</v>
      </c>
      <c r="L1115" s="53" t="n">
        <f aca="true">NORMINV(RAND(),0,L$7)</f>
        <v>0.115421065898581</v>
      </c>
      <c r="M1115" s="53" t="n">
        <f aca="true">NORMINV(RAND(),0,M$7)</f>
        <v>-0.002984676244268</v>
      </c>
      <c r="N1115" s="53" t="n">
        <f aca="true">NORMINV(RAND(),0,N$7)</f>
        <v>0.0921245949598569</v>
      </c>
      <c r="O1115" s="53" t="n">
        <f aca="false">SUM(J1115:N1115)</f>
        <v>0.532057370950352</v>
      </c>
    </row>
    <row r="1116" customFormat="false" ht="15" hidden="false" customHeight="false" outlineLevel="0" collapsed="false">
      <c r="A1116" s="2" t="n">
        <v>1108</v>
      </c>
      <c r="B1116" s="53" t="n">
        <f aca="true">NORMINV(RAND(),0,B$7)</f>
        <v>-0.710818465289283</v>
      </c>
      <c r="C1116" s="53" t="n">
        <f aca="true">NORMINV(RAND(),0,C$7)</f>
        <v>-1.63764492238154</v>
      </c>
      <c r="D1116" s="53" t="n">
        <f aca="true">NORMINV(RAND(),0,D$7)</f>
        <v>0.626126177207044</v>
      </c>
      <c r="E1116" s="53" t="n">
        <f aca="true">NORMINV(RAND(),0,E$7)</f>
        <v>0.237176869030193</v>
      </c>
      <c r="F1116" s="53" t="n">
        <f aca="true">NORMINV(RAND(),0,F$7)</f>
        <v>-0.531267485996678</v>
      </c>
      <c r="G1116" s="53" t="n">
        <f aca="true">NORMINV(RAND(),0,G$7)</f>
        <v>-2.27384032087446</v>
      </c>
      <c r="H1116" s="53" t="n">
        <f aca="true">NORMINV(RAND(),0,H$7)</f>
        <v>-0.412696276217188</v>
      </c>
      <c r="I1116" s="53" t="n">
        <f aca="false">SUM(B1116:H1116)</f>
        <v>-4.70296442452191</v>
      </c>
      <c r="J1116" s="53" t="n">
        <f aca="true">NORMINV(RAND(),0,J$7)</f>
        <v>-4.72994294700325</v>
      </c>
      <c r="K1116" s="53" t="n">
        <f aca="true">NORMINV(RAND(),0,K$7)</f>
        <v>0.350405900863538</v>
      </c>
      <c r="L1116" s="53" t="n">
        <f aca="true">NORMINV(RAND(),0,L$7)</f>
        <v>0.0338154916531846</v>
      </c>
      <c r="M1116" s="53" t="n">
        <f aca="true">NORMINV(RAND(),0,M$7)</f>
        <v>-0.296219830206436</v>
      </c>
      <c r="N1116" s="53" t="n">
        <f aca="true">NORMINV(RAND(),0,N$7)</f>
        <v>-0.17448400872429</v>
      </c>
      <c r="O1116" s="53" t="n">
        <f aca="false">SUM(J1116:N1116)</f>
        <v>-4.81642539341725</v>
      </c>
    </row>
    <row r="1117" customFormat="false" ht="15" hidden="false" customHeight="false" outlineLevel="0" collapsed="false">
      <c r="A1117" s="2" t="n">
        <v>1109</v>
      </c>
      <c r="B1117" s="53" t="n">
        <f aca="true">NORMINV(RAND(),0,B$7)</f>
        <v>-1.26329524456696</v>
      </c>
      <c r="C1117" s="53" t="n">
        <f aca="true">NORMINV(RAND(),0,C$7)</f>
        <v>1.65452012134691</v>
      </c>
      <c r="D1117" s="53" t="n">
        <f aca="true">NORMINV(RAND(),0,D$7)</f>
        <v>0.534982720380001</v>
      </c>
      <c r="E1117" s="53" t="n">
        <f aca="true">NORMINV(RAND(),0,E$7)</f>
        <v>-0.202882823440822</v>
      </c>
      <c r="F1117" s="53" t="n">
        <f aca="true">NORMINV(RAND(),0,F$7)</f>
        <v>0.253937242995523</v>
      </c>
      <c r="G1117" s="53" t="n">
        <f aca="true">NORMINV(RAND(),0,G$7)</f>
        <v>1.25526968421619</v>
      </c>
      <c r="H1117" s="53" t="n">
        <f aca="true">NORMINV(RAND(),0,H$7)</f>
        <v>0.272006825530083</v>
      </c>
      <c r="I1117" s="53" t="n">
        <f aca="false">SUM(B1117:H1117)</f>
        <v>2.50453852646093</v>
      </c>
      <c r="J1117" s="53" t="n">
        <f aca="true">NORMINV(RAND(),0,J$7)</f>
        <v>-0.378895970678478</v>
      </c>
      <c r="K1117" s="53" t="n">
        <f aca="true">NORMINV(RAND(),0,K$7)</f>
        <v>0.178916836240313</v>
      </c>
      <c r="L1117" s="53" t="n">
        <f aca="true">NORMINV(RAND(),0,L$7)</f>
        <v>-0.635186891909704</v>
      </c>
      <c r="M1117" s="53" t="n">
        <f aca="true">NORMINV(RAND(),0,M$7)</f>
        <v>0.400379724720931</v>
      </c>
      <c r="N1117" s="53" t="n">
        <f aca="true">NORMINV(RAND(),0,N$7)</f>
        <v>-0.232437622534988</v>
      </c>
      <c r="O1117" s="53" t="n">
        <f aca="false">SUM(J1117:N1117)</f>
        <v>-0.667223924161925</v>
      </c>
    </row>
    <row r="1118" customFormat="false" ht="15" hidden="false" customHeight="false" outlineLevel="0" collapsed="false">
      <c r="A1118" s="2" t="n">
        <v>1110</v>
      </c>
      <c r="B1118" s="53" t="n">
        <f aca="true">NORMINV(RAND(),0,B$7)</f>
        <v>-0.956946672981262</v>
      </c>
      <c r="C1118" s="53" t="n">
        <f aca="true">NORMINV(RAND(),0,C$7)</f>
        <v>-0.289286470328351</v>
      </c>
      <c r="D1118" s="53" t="n">
        <f aca="true">NORMINV(RAND(),0,D$7)</f>
        <v>3.513921595866</v>
      </c>
      <c r="E1118" s="53" t="n">
        <f aca="true">NORMINV(RAND(),0,E$7)</f>
        <v>0.0492982963662334</v>
      </c>
      <c r="F1118" s="53" t="n">
        <f aca="true">NORMINV(RAND(),0,F$7)</f>
        <v>0.118253951616201</v>
      </c>
      <c r="G1118" s="53" t="n">
        <f aca="true">NORMINV(RAND(),0,G$7)</f>
        <v>2.23828357790124</v>
      </c>
      <c r="H1118" s="53" t="n">
        <f aca="true">NORMINV(RAND(),0,H$7)</f>
        <v>-0.536593413950336</v>
      </c>
      <c r="I1118" s="53" t="n">
        <f aca="false">SUM(B1118:H1118)</f>
        <v>4.13693086448972</v>
      </c>
      <c r="J1118" s="53" t="n">
        <f aca="true">NORMINV(RAND(),0,J$7)</f>
        <v>-0.77849828217137</v>
      </c>
      <c r="K1118" s="53" t="n">
        <f aca="true">NORMINV(RAND(),0,K$7)</f>
        <v>1.22326820125633</v>
      </c>
      <c r="L1118" s="53" t="n">
        <f aca="true">NORMINV(RAND(),0,L$7)</f>
        <v>-0.507168218279781</v>
      </c>
      <c r="M1118" s="53" t="n">
        <f aca="true">NORMINV(RAND(),0,M$7)</f>
        <v>0.154425027064492</v>
      </c>
      <c r="N1118" s="53" t="n">
        <f aca="true">NORMINV(RAND(),0,N$7)</f>
        <v>0.202914401489462</v>
      </c>
      <c r="O1118" s="53" t="n">
        <f aca="false">SUM(J1118:N1118)</f>
        <v>0.294941129359135</v>
      </c>
    </row>
    <row r="1119" customFormat="false" ht="15" hidden="false" customHeight="false" outlineLevel="0" collapsed="false">
      <c r="A1119" s="2" t="n">
        <v>1111</v>
      </c>
      <c r="B1119" s="53" t="n">
        <f aca="true">NORMINV(RAND(),0,B$7)</f>
        <v>0.15249194212129</v>
      </c>
      <c r="C1119" s="53" t="n">
        <f aca="true">NORMINV(RAND(),0,C$7)</f>
        <v>3.25740638951798</v>
      </c>
      <c r="D1119" s="53" t="n">
        <f aca="true">NORMINV(RAND(),0,D$7)</f>
        <v>-1.64053045040595</v>
      </c>
      <c r="E1119" s="53" t="n">
        <f aca="true">NORMINV(RAND(),0,E$7)</f>
        <v>-0.113789712429587</v>
      </c>
      <c r="F1119" s="53" t="n">
        <f aca="true">NORMINV(RAND(),0,F$7)</f>
        <v>-0.365659300994051</v>
      </c>
      <c r="G1119" s="53" t="n">
        <f aca="true">NORMINV(RAND(),0,G$7)</f>
        <v>-0.31880162512202</v>
      </c>
      <c r="H1119" s="53" t="n">
        <f aca="true">NORMINV(RAND(),0,H$7)</f>
        <v>0.195715067624626</v>
      </c>
      <c r="I1119" s="53" t="n">
        <f aca="false">SUM(B1119:H1119)</f>
        <v>1.16683231031229</v>
      </c>
      <c r="J1119" s="53" t="n">
        <f aca="true">NORMINV(RAND(),0,J$7)</f>
        <v>2.39920454549069</v>
      </c>
      <c r="K1119" s="53" t="n">
        <f aca="true">NORMINV(RAND(),0,K$7)</f>
        <v>-0.535540002266201</v>
      </c>
      <c r="L1119" s="53" t="n">
        <f aca="true">NORMINV(RAND(),0,L$7)</f>
        <v>0.387104304717359</v>
      </c>
      <c r="M1119" s="53" t="n">
        <f aca="true">NORMINV(RAND(),0,M$7)</f>
        <v>-0.442957228000033</v>
      </c>
      <c r="N1119" s="53" t="n">
        <f aca="true">NORMINV(RAND(),0,N$7)</f>
        <v>0.249241379927205</v>
      </c>
      <c r="O1119" s="53" t="n">
        <f aca="false">SUM(J1119:N1119)</f>
        <v>2.05705299986902</v>
      </c>
    </row>
    <row r="1120" customFormat="false" ht="15" hidden="false" customHeight="false" outlineLevel="0" collapsed="false">
      <c r="A1120" s="2" t="n">
        <v>1112</v>
      </c>
      <c r="B1120" s="53" t="n">
        <f aca="true">NORMINV(RAND(),0,B$7)</f>
        <v>-0.183768061280235</v>
      </c>
      <c r="C1120" s="53" t="n">
        <f aca="true">NORMINV(RAND(),0,C$7)</f>
        <v>1.49837331077383</v>
      </c>
      <c r="D1120" s="53" t="n">
        <f aca="true">NORMINV(RAND(),0,D$7)</f>
        <v>-2.04016610327107</v>
      </c>
      <c r="E1120" s="53" t="n">
        <f aca="true">NORMINV(RAND(),0,E$7)</f>
        <v>-0.13533005449856</v>
      </c>
      <c r="F1120" s="53" t="n">
        <f aca="true">NORMINV(RAND(),0,F$7)</f>
        <v>-0.196632284985798</v>
      </c>
      <c r="G1120" s="53" t="n">
        <f aca="true">NORMINV(RAND(),0,G$7)</f>
        <v>-0.696895098190251</v>
      </c>
      <c r="H1120" s="53" t="n">
        <f aca="true">NORMINV(RAND(),0,H$7)</f>
        <v>0.118982333750172</v>
      </c>
      <c r="I1120" s="53" t="n">
        <f aca="false">SUM(B1120:H1120)</f>
        <v>-1.63543595770192</v>
      </c>
      <c r="J1120" s="53" t="n">
        <f aca="true">NORMINV(RAND(),0,J$7)</f>
        <v>1.92719309193988</v>
      </c>
      <c r="K1120" s="53" t="n">
        <f aca="true">NORMINV(RAND(),0,K$7)</f>
        <v>0.21367319938245</v>
      </c>
      <c r="L1120" s="53" t="n">
        <f aca="true">NORMINV(RAND(),0,L$7)</f>
        <v>-0.515228071363799</v>
      </c>
      <c r="M1120" s="53" t="n">
        <f aca="true">NORMINV(RAND(),0,M$7)</f>
        <v>0.12371648235835</v>
      </c>
      <c r="N1120" s="53" t="n">
        <f aca="true">NORMINV(RAND(),0,N$7)</f>
        <v>-0.325015039772773</v>
      </c>
      <c r="O1120" s="53" t="n">
        <f aca="false">SUM(J1120:N1120)</f>
        <v>1.42433966254411</v>
      </c>
    </row>
    <row r="1121" customFormat="false" ht="15" hidden="false" customHeight="false" outlineLevel="0" collapsed="false">
      <c r="A1121" s="2" t="n">
        <v>1113</v>
      </c>
      <c r="B1121" s="53" t="n">
        <f aca="true">NORMINV(RAND(),0,B$7)</f>
        <v>0.0259368396552362</v>
      </c>
      <c r="C1121" s="53" t="n">
        <f aca="true">NORMINV(RAND(),0,C$7)</f>
        <v>-0.304274565949322</v>
      </c>
      <c r="D1121" s="53" t="n">
        <f aca="true">NORMINV(RAND(),0,D$7)</f>
        <v>-0.252256973979964</v>
      </c>
      <c r="E1121" s="53" t="n">
        <f aca="true">NORMINV(RAND(),0,E$7)</f>
        <v>0.205128822257369</v>
      </c>
      <c r="F1121" s="53" t="n">
        <f aca="true">NORMINV(RAND(),0,F$7)</f>
        <v>0.0447208428744942</v>
      </c>
      <c r="G1121" s="53" t="n">
        <f aca="true">NORMINV(RAND(),0,G$7)</f>
        <v>0.782982654503471</v>
      </c>
      <c r="H1121" s="53" t="n">
        <f aca="true">NORMINV(RAND(),0,H$7)</f>
        <v>0.259651586190159</v>
      </c>
      <c r="I1121" s="53" t="n">
        <f aca="false">SUM(B1121:H1121)</f>
        <v>0.761889205551442</v>
      </c>
      <c r="J1121" s="53" t="n">
        <f aca="true">NORMINV(RAND(),0,J$7)</f>
        <v>0.411674347432398</v>
      </c>
      <c r="K1121" s="53" t="n">
        <f aca="true">NORMINV(RAND(),0,K$7)</f>
        <v>-0.149729410984184</v>
      </c>
      <c r="L1121" s="53" t="n">
        <f aca="true">NORMINV(RAND(),0,L$7)</f>
        <v>0.654987982386809</v>
      </c>
      <c r="M1121" s="53" t="n">
        <f aca="true">NORMINV(RAND(),0,M$7)</f>
        <v>-0.157025947185862</v>
      </c>
      <c r="N1121" s="53" t="n">
        <f aca="true">NORMINV(RAND(),0,N$7)</f>
        <v>-0.0291703289800748</v>
      </c>
      <c r="O1121" s="53" t="n">
        <f aca="false">SUM(J1121:N1121)</f>
        <v>0.730736642669086</v>
      </c>
    </row>
    <row r="1122" customFormat="false" ht="15" hidden="false" customHeight="false" outlineLevel="0" collapsed="false">
      <c r="A1122" s="2" t="n">
        <v>1114</v>
      </c>
      <c r="B1122" s="53" t="n">
        <f aca="true">NORMINV(RAND(),0,B$7)</f>
        <v>0.595900245494328</v>
      </c>
      <c r="C1122" s="53" t="n">
        <f aca="true">NORMINV(RAND(),0,C$7)</f>
        <v>0.628484741571752</v>
      </c>
      <c r="D1122" s="53" t="n">
        <f aca="true">NORMINV(RAND(),0,D$7)</f>
        <v>-0.600441421815248</v>
      </c>
      <c r="E1122" s="53" t="n">
        <f aca="true">NORMINV(RAND(),0,E$7)</f>
        <v>0.21719948015926</v>
      </c>
      <c r="F1122" s="53" t="n">
        <f aca="true">NORMINV(RAND(),0,F$7)</f>
        <v>-0.0489690001627946</v>
      </c>
      <c r="G1122" s="53" t="n">
        <f aca="true">NORMINV(RAND(),0,G$7)</f>
        <v>0.761966311422403</v>
      </c>
      <c r="H1122" s="53" t="n">
        <f aca="true">NORMINV(RAND(),0,H$7)</f>
        <v>0.160275557260971</v>
      </c>
      <c r="I1122" s="53" t="n">
        <f aca="false">SUM(B1122:H1122)</f>
        <v>1.71441591393067</v>
      </c>
      <c r="J1122" s="53" t="n">
        <f aca="true">NORMINV(RAND(),0,J$7)</f>
        <v>1.05487836526858</v>
      </c>
      <c r="K1122" s="53" t="n">
        <f aca="true">NORMINV(RAND(),0,K$7)</f>
        <v>-0.203387786308786</v>
      </c>
      <c r="L1122" s="53" t="n">
        <f aca="true">NORMINV(RAND(),0,L$7)</f>
        <v>0.536291040096716</v>
      </c>
      <c r="M1122" s="53" t="n">
        <f aca="true">NORMINV(RAND(),0,M$7)</f>
        <v>-0.247936670136814</v>
      </c>
      <c r="N1122" s="53" t="n">
        <f aca="true">NORMINV(RAND(),0,N$7)</f>
        <v>0.102900716185577</v>
      </c>
      <c r="O1122" s="53" t="n">
        <f aca="false">SUM(J1122:N1122)</f>
        <v>1.24274566510527</v>
      </c>
    </row>
    <row r="1123" customFormat="false" ht="15" hidden="false" customHeight="false" outlineLevel="0" collapsed="false">
      <c r="A1123" s="2" t="n">
        <v>1115</v>
      </c>
      <c r="B1123" s="53" t="n">
        <f aca="true">NORMINV(RAND(),0,B$7)</f>
        <v>0.303661658796277</v>
      </c>
      <c r="C1123" s="53" t="n">
        <f aca="true">NORMINV(RAND(),0,C$7)</f>
        <v>0.736085917300405</v>
      </c>
      <c r="D1123" s="53" t="n">
        <f aca="true">NORMINV(RAND(),0,D$7)</f>
        <v>0.846724108358576</v>
      </c>
      <c r="E1123" s="53" t="n">
        <f aca="true">NORMINV(RAND(),0,E$7)</f>
        <v>0.401163291061369</v>
      </c>
      <c r="F1123" s="53" t="n">
        <f aca="true">NORMINV(RAND(),0,F$7)</f>
        <v>-0.23149871738154</v>
      </c>
      <c r="G1123" s="53" t="n">
        <f aca="true">NORMINV(RAND(),0,G$7)</f>
        <v>-3.09973591953623</v>
      </c>
      <c r="H1123" s="53" t="n">
        <f aca="true">NORMINV(RAND(),0,H$7)</f>
        <v>-0.529243961970076</v>
      </c>
      <c r="I1123" s="53" t="n">
        <f aca="false">SUM(B1123:H1123)</f>
        <v>-1.57284362337121</v>
      </c>
      <c r="J1123" s="53" t="n">
        <f aca="true">NORMINV(RAND(),0,J$7)</f>
        <v>0.789724888702529</v>
      </c>
      <c r="K1123" s="53" t="n">
        <f aca="true">NORMINV(RAND(),0,K$7)</f>
        <v>-0.311164114116127</v>
      </c>
      <c r="L1123" s="53" t="n">
        <f aca="true">NORMINV(RAND(),0,L$7)</f>
        <v>0.442117435218277</v>
      </c>
      <c r="M1123" s="53" t="n">
        <f aca="true">NORMINV(RAND(),0,M$7)</f>
        <v>-0.0321971401428973</v>
      </c>
      <c r="N1123" s="53" t="n">
        <f aca="true">NORMINV(RAND(),0,N$7)</f>
        <v>-0.506750930879047</v>
      </c>
      <c r="O1123" s="53" t="n">
        <f aca="false">SUM(J1123:N1123)</f>
        <v>0.381730138782734</v>
      </c>
    </row>
    <row r="1124" customFormat="false" ht="15" hidden="false" customHeight="false" outlineLevel="0" collapsed="false">
      <c r="A1124" s="2" t="n">
        <v>1116</v>
      </c>
      <c r="B1124" s="53" t="n">
        <f aca="true">NORMINV(RAND(),0,B$7)</f>
        <v>1.52066460048619</v>
      </c>
      <c r="C1124" s="53" t="n">
        <f aca="true">NORMINV(RAND(),0,C$7)</f>
        <v>1.00435872050853</v>
      </c>
      <c r="D1124" s="53" t="n">
        <f aca="true">NORMINV(RAND(),0,D$7)</f>
        <v>-0.769453807823072</v>
      </c>
      <c r="E1124" s="53" t="n">
        <f aca="true">NORMINV(RAND(),0,E$7)</f>
        <v>0.0403820020491712</v>
      </c>
      <c r="F1124" s="53" t="n">
        <f aca="true">NORMINV(RAND(),0,F$7)</f>
        <v>-0.371559693657866</v>
      </c>
      <c r="G1124" s="53" t="n">
        <f aca="true">NORMINV(RAND(),0,G$7)</f>
        <v>-1.46358009490381</v>
      </c>
      <c r="H1124" s="53" t="n">
        <f aca="true">NORMINV(RAND(),0,H$7)</f>
        <v>0.120687046563571</v>
      </c>
      <c r="I1124" s="53" t="n">
        <f aca="false">SUM(B1124:H1124)</f>
        <v>0.0814987732227212</v>
      </c>
      <c r="J1124" s="53" t="n">
        <f aca="true">NORMINV(RAND(),0,J$7)</f>
        <v>-0.397916135487332</v>
      </c>
      <c r="K1124" s="53" t="n">
        <f aca="true">NORMINV(RAND(),0,K$7)</f>
        <v>-1.12449836205754</v>
      </c>
      <c r="L1124" s="53" t="n">
        <f aca="true">NORMINV(RAND(),0,L$7)</f>
        <v>0.719840451718609</v>
      </c>
      <c r="M1124" s="53" t="n">
        <f aca="true">NORMINV(RAND(),0,M$7)</f>
        <v>0.103660521687104</v>
      </c>
      <c r="N1124" s="53" t="n">
        <f aca="true">NORMINV(RAND(),0,N$7)</f>
        <v>-0.193874537659783</v>
      </c>
      <c r="O1124" s="53" t="n">
        <f aca="false">SUM(J1124:N1124)</f>
        <v>-0.892788061798939</v>
      </c>
    </row>
    <row r="1125" customFormat="false" ht="15" hidden="false" customHeight="false" outlineLevel="0" collapsed="false">
      <c r="A1125" s="2" t="n">
        <v>1117</v>
      </c>
      <c r="B1125" s="53" t="n">
        <f aca="true">NORMINV(RAND(),0,B$7)</f>
        <v>0.820050679955922</v>
      </c>
      <c r="C1125" s="53" t="n">
        <f aca="true">NORMINV(RAND(),0,C$7)</f>
        <v>-0.0359367131061696</v>
      </c>
      <c r="D1125" s="53" t="n">
        <f aca="true">NORMINV(RAND(),0,D$7)</f>
        <v>-0.736798996407273</v>
      </c>
      <c r="E1125" s="53" t="n">
        <f aca="true">NORMINV(RAND(),0,E$7)</f>
        <v>0.0593991391247713</v>
      </c>
      <c r="F1125" s="53" t="n">
        <f aca="true">NORMINV(RAND(),0,F$7)</f>
        <v>-0.273333801975342</v>
      </c>
      <c r="G1125" s="53" t="n">
        <f aca="true">NORMINV(RAND(),0,G$7)</f>
        <v>-0.235404008462539</v>
      </c>
      <c r="H1125" s="53" t="n">
        <f aca="true">NORMINV(RAND(),0,H$7)</f>
        <v>-0.0141982385708629</v>
      </c>
      <c r="I1125" s="53" t="n">
        <f aca="false">SUM(B1125:H1125)</f>
        <v>-0.416221939441493</v>
      </c>
      <c r="J1125" s="53" t="n">
        <f aca="true">NORMINV(RAND(),0,J$7)</f>
        <v>0.892059745542946</v>
      </c>
      <c r="K1125" s="53" t="n">
        <f aca="true">NORMINV(RAND(),0,K$7)</f>
        <v>0.867542291512768</v>
      </c>
      <c r="L1125" s="53" t="n">
        <f aca="true">NORMINV(RAND(),0,L$7)</f>
        <v>-0.138949558237632</v>
      </c>
      <c r="M1125" s="53" t="n">
        <f aca="true">NORMINV(RAND(),0,M$7)</f>
        <v>-0.060936823788948</v>
      </c>
      <c r="N1125" s="53" t="n">
        <f aca="true">NORMINV(RAND(),0,N$7)</f>
        <v>-0.362759204644925</v>
      </c>
      <c r="O1125" s="53" t="n">
        <f aca="false">SUM(J1125:N1125)</f>
        <v>1.19695645038421</v>
      </c>
    </row>
    <row r="1126" customFormat="false" ht="15" hidden="false" customHeight="false" outlineLevel="0" collapsed="false">
      <c r="A1126" s="2" t="n">
        <v>1118</v>
      </c>
      <c r="B1126" s="53" t="n">
        <f aca="true">NORMINV(RAND(),0,B$7)</f>
        <v>1.10423104984762</v>
      </c>
      <c r="C1126" s="53" t="n">
        <f aca="true">NORMINV(RAND(),0,C$7)</f>
        <v>-2.64787550144338</v>
      </c>
      <c r="D1126" s="53" t="n">
        <f aca="true">NORMINV(RAND(),0,D$7)</f>
        <v>-3.32075567054363</v>
      </c>
      <c r="E1126" s="53" t="n">
        <f aca="true">NORMINV(RAND(),0,E$7)</f>
        <v>-0.0650249690791173</v>
      </c>
      <c r="F1126" s="53" t="n">
        <f aca="true">NORMINV(RAND(),0,F$7)</f>
        <v>0.0725891157308819</v>
      </c>
      <c r="G1126" s="53" t="n">
        <f aca="true">NORMINV(RAND(),0,G$7)</f>
        <v>3.22294785378462</v>
      </c>
      <c r="H1126" s="53" t="n">
        <f aca="true">NORMINV(RAND(),0,H$7)</f>
        <v>0.91481182848902</v>
      </c>
      <c r="I1126" s="53" t="n">
        <f aca="false">SUM(B1126:H1126)</f>
        <v>-0.719076293213983</v>
      </c>
      <c r="J1126" s="53" t="n">
        <f aca="true">NORMINV(RAND(),0,J$7)</f>
        <v>5.76693862040253</v>
      </c>
      <c r="K1126" s="53" t="n">
        <f aca="true">NORMINV(RAND(),0,K$7)</f>
        <v>-0.0937033762452718</v>
      </c>
      <c r="L1126" s="53" t="n">
        <f aca="true">NORMINV(RAND(),0,L$7)</f>
        <v>-0.0249449723699263</v>
      </c>
      <c r="M1126" s="53" t="n">
        <f aca="true">NORMINV(RAND(),0,M$7)</f>
        <v>-0.260424851647057</v>
      </c>
      <c r="N1126" s="53" t="n">
        <f aca="true">NORMINV(RAND(),0,N$7)</f>
        <v>0.0679475394482878</v>
      </c>
      <c r="O1126" s="53" t="n">
        <f aca="false">SUM(J1126:N1126)</f>
        <v>5.45581295958857</v>
      </c>
    </row>
    <row r="1127" customFormat="false" ht="15" hidden="false" customHeight="false" outlineLevel="0" collapsed="false">
      <c r="A1127" s="2" t="n">
        <v>1119</v>
      </c>
      <c r="B1127" s="53" t="n">
        <f aca="true">NORMINV(RAND(),0,B$7)</f>
        <v>-1.8680116548043</v>
      </c>
      <c r="C1127" s="53" t="n">
        <f aca="true">NORMINV(RAND(),0,C$7)</f>
        <v>2.58377152958682</v>
      </c>
      <c r="D1127" s="53" t="n">
        <f aca="true">NORMINV(RAND(),0,D$7)</f>
        <v>0.797569295926402</v>
      </c>
      <c r="E1127" s="53" t="n">
        <f aca="true">NORMINV(RAND(),0,E$7)</f>
        <v>0.348418504938041</v>
      </c>
      <c r="F1127" s="53" t="n">
        <f aca="true">NORMINV(RAND(),0,F$7)</f>
        <v>-0.212271929077026</v>
      </c>
      <c r="G1127" s="53" t="n">
        <f aca="true">NORMINV(RAND(),0,G$7)</f>
        <v>-1.11228796445171</v>
      </c>
      <c r="H1127" s="53" t="n">
        <f aca="true">NORMINV(RAND(),0,H$7)</f>
        <v>-0.00442916995099015</v>
      </c>
      <c r="I1127" s="53" t="n">
        <f aca="false">SUM(B1127:H1127)</f>
        <v>0.532758612167231</v>
      </c>
      <c r="J1127" s="53" t="n">
        <f aca="true">NORMINV(RAND(),0,J$7)</f>
        <v>-0.200485833099921</v>
      </c>
      <c r="K1127" s="53" t="n">
        <f aca="true">NORMINV(RAND(),0,K$7)</f>
        <v>0.122682077342634</v>
      </c>
      <c r="L1127" s="53" t="n">
        <f aca="true">NORMINV(RAND(),0,L$7)</f>
        <v>0.335842194425767</v>
      </c>
      <c r="M1127" s="53" t="n">
        <f aca="true">NORMINV(RAND(),0,M$7)</f>
        <v>-0.14525653402877</v>
      </c>
      <c r="N1127" s="53" t="n">
        <f aca="true">NORMINV(RAND(),0,N$7)</f>
        <v>-0.72205131836288</v>
      </c>
      <c r="O1127" s="53" t="n">
        <f aca="false">SUM(J1127:N1127)</f>
        <v>-0.60926941372317</v>
      </c>
    </row>
    <row r="1128" customFormat="false" ht="15" hidden="false" customHeight="false" outlineLevel="0" collapsed="false">
      <c r="A1128" s="2" t="n">
        <v>1120</v>
      </c>
      <c r="B1128" s="53" t="n">
        <f aca="true">NORMINV(RAND(),0,B$7)</f>
        <v>-1.31702856450481</v>
      </c>
      <c r="C1128" s="53" t="n">
        <f aca="true">NORMINV(RAND(),0,C$7)</f>
        <v>-2.04917345506102</v>
      </c>
      <c r="D1128" s="53" t="n">
        <f aca="true">NORMINV(RAND(),0,D$7)</f>
        <v>-3.77365298622775</v>
      </c>
      <c r="E1128" s="53" t="n">
        <f aca="true">NORMINV(RAND(),0,E$7)</f>
        <v>0.0591371730920882</v>
      </c>
      <c r="F1128" s="53" t="n">
        <f aca="true">NORMINV(RAND(),0,F$7)</f>
        <v>0.17935338851363</v>
      </c>
      <c r="G1128" s="53" t="n">
        <f aca="true">NORMINV(RAND(),0,G$7)</f>
        <v>1.06616146345527</v>
      </c>
      <c r="H1128" s="53" t="n">
        <f aca="true">NORMINV(RAND(),0,H$7)</f>
        <v>-0.550171525439084</v>
      </c>
      <c r="I1128" s="53" t="n">
        <f aca="false">SUM(B1128:H1128)</f>
        <v>-6.38537450617168</v>
      </c>
      <c r="J1128" s="53" t="n">
        <f aca="true">NORMINV(RAND(),0,J$7)</f>
        <v>0.717684785914973</v>
      </c>
      <c r="K1128" s="53" t="n">
        <f aca="true">NORMINV(RAND(),0,K$7)</f>
        <v>0.550383136065626</v>
      </c>
      <c r="L1128" s="53" t="n">
        <f aca="true">NORMINV(RAND(),0,L$7)</f>
        <v>-0.173727117305813</v>
      </c>
      <c r="M1128" s="53" t="n">
        <f aca="true">NORMINV(RAND(),0,M$7)</f>
        <v>-0.212789010950727</v>
      </c>
      <c r="N1128" s="53" t="n">
        <f aca="true">NORMINV(RAND(),0,N$7)</f>
        <v>0.408356087385811</v>
      </c>
      <c r="O1128" s="53" t="n">
        <f aca="false">SUM(J1128:N1128)</f>
        <v>1.28990788110987</v>
      </c>
    </row>
    <row r="1129" customFormat="false" ht="15" hidden="false" customHeight="false" outlineLevel="0" collapsed="false">
      <c r="A1129" s="2" t="n">
        <v>1121</v>
      </c>
      <c r="B1129" s="53" t="n">
        <f aca="true">NORMINV(RAND(),0,B$7)</f>
        <v>2.02555937593126</v>
      </c>
      <c r="C1129" s="53" t="n">
        <f aca="true">NORMINV(RAND(),0,C$7)</f>
        <v>0.566138187307249</v>
      </c>
      <c r="D1129" s="53" t="n">
        <f aca="true">NORMINV(RAND(),0,D$7)</f>
        <v>-2.71984016594501</v>
      </c>
      <c r="E1129" s="53" t="n">
        <f aca="true">NORMINV(RAND(),0,E$7)</f>
        <v>-0.0770938288582302</v>
      </c>
      <c r="F1129" s="53" t="n">
        <f aca="true">NORMINV(RAND(),0,F$7)</f>
        <v>0.0926726797432716</v>
      </c>
      <c r="G1129" s="53" t="n">
        <f aca="true">NORMINV(RAND(),0,G$7)</f>
        <v>2.326954093639</v>
      </c>
      <c r="H1129" s="53" t="n">
        <f aca="true">NORMINV(RAND(),0,H$7)</f>
        <v>0.538938159516902</v>
      </c>
      <c r="I1129" s="53" t="n">
        <f aca="false">SUM(B1129:H1129)</f>
        <v>2.75332850133444</v>
      </c>
      <c r="J1129" s="53" t="n">
        <f aca="true">NORMINV(RAND(),0,J$7)</f>
        <v>1.16762850258877</v>
      </c>
      <c r="K1129" s="53" t="n">
        <f aca="true">NORMINV(RAND(),0,K$7)</f>
        <v>-0.3107712198355</v>
      </c>
      <c r="L1129" s="53" t="n">
        <f aca="true">NORMINV(RAND(),0,L$7)</f>
        <v>-0.256958360119521</v>
      </c>
      <c r="M1129" s="53" t="n">
        <f aca="true">NORMINV(RAND(),0,M$7)</f>
        <v>0.131743352132666</v>
      </c>
      <c r="N1129" s="53" t="n">
        <f aca="true">NORMINV(RAND(),0,N$7)</f>
        <v>-0.307786919692008</v>
      </c>
      <c r="O1129" s="53" t="n">
        <f aca="false">SUM(J1129:N1129)</f>
        <v>0.423855355074408</v>
      </c>
    </row>
    <row r="1130" customFormat="false" ht="15" hidden="false" customHeight="false" outlineLevel="0" collapsed="false">
      <c r="A1130" s="2" t="n">
        <v>1122</v>
      </c>
      <c r="B1130" s="53" t="n">
        <f aca="true">NORMINV(RAND(),0,B$7)</f>
        <v>0.141820721133099</v>
      </c>
      <c r="C1130" s="53" t="n">
        <f aca="true">NORMINV(RAND(),0,C$7)</f>
        <v>-1.38138010379922</v>
      </c>
      <c r="D1130" s="53" t="n">
        <f aca="true">NORMINV(RAND(),0,D$7)</f>
        <v>-0.415075081764121</v>
      </c>
      <c r="E1130" s="53" t="n">
        <f aca="true">NORMINV(RAND(),0,E$7)</f>
        <v>0.0985243831447343</v>
      </c>
      <c r="F1130" s="53" t="n">
        <f aca="true">NORMINV(RAND(),0,F$7)</f>
        <v>0.393872898656611</v>
      </c>
      <c r="G1130" s="53" t="n">
        <f aca="true">NORMINV(RAND(),0,G$7)</f>
        <v>-1.22963429738994</v>
      </c>
      <c r="H1130" s="53" t="n">
        <f aca="true">NORMINV(RAND(),0,H$7)</f>
        <v>0.0768691764606007</v>
      </c>
      <c r="I1130" s="53" t="n">
        <f aca="false">SUM(B1130:H1130)</f>
        <v>-2.31500230355824</v>
      </c>
      <c r="J1130" s="53" t="n">
        <f aca="true">NORMINV(RAND(),0,J$7)</f>
        <v>-0.919523693436462</v>
      </c>
      <c r="K1130" s="53" t="n">
        <f aca="true">NORMINV(RAND(),0,K$7)</f>
        <v>1.13396297177354</v>
      </c>
      <c r="L1130" s="53" t="n">
        <f aca="true">NORMINV(RAND(),0,L$7)</f>
        <v>0.214524609521859</v>
      </c>
      <c r="M1130" s="53" t="n">
        <f aca="true">NORMINV(RAND(),0,M$7)</f>
        <v>0.263250340392987</v>
      </c>
      <c r="N1130" s="53" t="n">
        <f aca="true">NORMINV(RAND(),0,N$7)</f>
        <v>0.473273546914771</v>
      </c>
      <c r="O1130" s="53" t="n">
        <f aca="false">SUM(J1130:N1130)</f>
        <v>1.16548777516669</v>
      </c>
    </row>
    <row r="1131" customFormat="false" ht="15" hidden="false" customHeight="false" outlineLevel="0" collapsed="false">
      <c r="A1131" s="2" t="n">
        <v>1123</v>
      </c>
      <c r="B1131" s="53" t="n">
        <f aca="true">NORMINV(RAND(),0,B$7)</f>
        <v>-0.0191480703745555</v>
      </c>
      <c r="C1131" s="53" t="n">
        <f aca="true">NORMINV(RAND(),0,C$7)</f>
        <v>-0.0304399100640694</v>
      </c>
      <c r="D1131" s="53" t="n">
        <f aca="true">NORMINV(RAND(),0,D$7)</f>
        <v>2.80506187427934</v>
      </c>
      <c r="E1131" s="53" t="n">
        <f aca="true">NORMINV(RAND(),0,E$7)</f>
        <v>0.0319066966861266</v>
      </c>
      <c r="F1131" s="53" t="n">
        <f aca="true">NORMINV(RAND(),0,F$7)</f>
        <v>0.381446566881986</v>
      </c>
      <c r="G1131" s="53" t="n">
        <f aca="true">NORMINV(RAND(),0,G$7)</f>
        <v>-1.81493843250742</v>
      </c>
      <c r="H1131" s="53" t="n">
        <f aca="true">NORMINV(RAND(),0,H$7)</f>
        <v>-0.0435749477834199</v>
      </c>
      <c r="I1131" s="53" t="n">
        <f aca="false">SUM(B1131:H1131)</f>
        <v>1.31031377711799</v>
      </c>
      <c r="J1131" s="53" t="n">
        <f aca="true">NORMINV(RAND(),0,J$7)</f>
        <v>1.21798843478724</v>
      </c>
      <c r="K1131" s="53" t="n">
        <f aca="true">NORMINV(RAND(),0,K$7)</f>
        <v>-1.02387979956163</v>
      </c>
      <c r="L1131" s="53" t="n">
        <f aca="true">NORMINV(RAND(),0,L$7)</f>
        <v>-0.0976769114124597</v>
      </c>
      <c r="M1131" s="53" t="n">
        <f aca="true">NORMINV(RAND(),0,M$7)</f>
        <v>0.434152665854286</v>
      </c>
      <c r="N1131" s="53" t="n">
        <f aca="true">NORMINV(RAND(),0,N$7)</f>
        <v>-0.0853928341016837</v>
      </c>
      <c r="O1131" s="53" t="n">
        <f aca="false">SUM(J1131:N1131)</f>
        <v>0.445191555565757</v>
      </c>
    </row>
    <row r="1132" customFormat="false" ht="15" hidden="false" customHeight="false" outlineLevel="0" collapsed="false">
      <c r="A1132" s="2" t="n">
        <v>1124</v>
      </c>
      <c r="B1132" s="53" t="n">
        <f aca="true">NORMINV(RAND(),0,B$7)</f>
        <v>-1.96036290247921</v>
      </c>
      <c r="C1132" s="53" t="n">
        <f aca="true">NORMINV(RAND(),0,C$7)</f>
        <v>-2.3885207785054</v>
      </c>
      <c r="D1132" s="53" t="n">
        <f aca="true">NORMINV(RAND(),0,D$7)</f>
        <v>-0.345123000549273</v>
      </c>
      <c r="E1132" s="53" t="n">
        <f aca="true">NORMINV(RAND(),0,E$7)</f>
        <v>0.118753264332985</v>
      </c>
      <c r="F1132" s="53" t="n">
        <f aca="true">NORMINV(RAND(),0,F$7)</f>
        <v>0.393347831729616</v>
      </c>
      <c r="G1132" s="53" t="n">
        <f aca="true">NORMINV(RAND(),0,G$7)</f>
        <v>1.7067809496426</v>
      </c>
      <c r="H1132" s="53" t="n">
        <f aca="true">NORMINV(RAND(),0,H$7)</f>
        <v>-0.317781701329894</v>
      </c>
      <c r="I1132" s="53" t="n">
        <f aca="false">SUM(B1132:H1132)</f>
        <v>-2.79290633715857</v>
      </c>
      <c r="J1132" s="53" t="n">
        <f aca="true">NORMINV(RAND(),0,J$7)</f>
        <v>-0.168015124625284</v>
      </c>
      <c r="K1132" s="53" t="n">
        <f aca="true">NORMINV(RAND(),0,K$7)</f>
        <v>-0.21079860816451</v>
      </c>
      <c r="L1132" s="53" t="n">
        <f aca="true">NORMINV(RAND(),0,L$7)</f>
        <v>-0.140779528725794</v>
      </c>
      <c r="M1132" s="53" t="n">
        <f aca="true">NORMINV(RAND(),0,M$7)</f>
        <v>-0.22128886589596</v>
      </c>
      <c r="N1132" s="53" t="n">
        <f aca="true">NORMINV(RAND(),0,N$7)</f>
        <v>0.0257896224903984</v>
      </c>
      <c r="O1132" s="53" t="n">
        <f aca="false">SUM(J1132:N1132)</f>
        <v>-0.715092504921151</v>
      </c>
    </row>
    <row r="1133" customFormat="false" ht="15" hidden="false" customHeight="false" outlineLevel="0" collapsed="false">
      <c r="A1133" s="2" t="n">
        <v>1125</v>
      </c>
      <c r="B1133" s="53" t="n">
        <f aca="true">NORMINV(RAND(),0,B$7)</f>
        <v>0.124770316947432</v>
      </c>
      <c r="C1133" s="53" t="n">
        <f aca="true">NORMINV(RAND(),0,C$7)</f>
        <v>3.70370814594015</v>
      </c>
      <c r="D1133" s="53" t="n">
        <f aca="true">NORMINV(RAND(),0,D$7)</f>
        <v>-1.9502737948521</v>
      </c>
      <c r="E1133" s="53" t="n">
        <f aca="true">NORMINV(RAND(),0,E$7)</f>
        <v>0.391030735822884</v>
      </c>
      <c r="F1133" s="53" t="n">
        <f aca="true">NORMINV(RAND(),0,F$7)</f>
        <v>0.400648923645865</v>
      </c>
      <c r="G1133" s="53" t="n">
        <f aca="true">NORMINV(RAND(),0,G$7)</f>
        <v>1.21274056706794</v>
      </c>
      <c r="H1133" s="53" t="n">
        <f aca="true">NORMINV(RAND(),0,H$7)</f>
        <v>0.176947891207752</v>
      </c>
      <c r="I1133" s="53" t="n">
        <f aca="false">SUM(B1133:H1133)</f>
        <v>4.05957278577991</v>
      </c>
      <c r="J1133" s="53" t="n">
        <f aca="true">NORMINV(RAND(),0,J$7)</f>
        <v>3.09803625630115</v>
      </c>
      <c r="K1133" s="53" t="n">
        <f aca="true">NORMINV(RAND(),0,K$7)</f>
        <v>-0.243544383985036</v>
      </c>
      <c r="L1133" s="53" t="n">
        <f aca="true">NORMINV(RAND(),0,L$7)</f>
        <v>0.196371012621869</v>
      </c>
      <c r="M1133" s="53" t="n">
        <f aca="true">NORMINV(RAND(),0,M$7)</f>
        <v>0.210294980689868</v>
      </c>
      <c r="N1133" s="53" t="n">
        <f aca="true">NORMINV(RAND(),0,N$7)</f>
        <v>0.116603445216828</v>
      </c>
      <c r="O1133" s="53" t="n">
        <f aca="false">SUM(J1133:N1133)</f>
        <v>3.37776131084468</v>
      </c>
    </row>
    <row r="1134" customFormat="false" ht="15" hidden="false" customHeight="false" outlineLevel="0" collapsed="false">
      <c r="A1134" s="2" t="n">
        <v>1126</v>
      </c>
      <c r="B1134" s="53" t="n">
        <f aca="true">NORMINV(RAND(),0,B$7)</f>
        <v>-0.964403450062548</v>
      </c>
      <c r="C1134" s="53" t="n">
        <f aca="true">NORMINV(RAND(),0,C$7)</f>
        <v>2.56256749458413</v>
      </c>
      <c r="D1134" s="53" t="n">
        <f aca="true">NORMINV(RAND(),0,D$7)</f>
        <v>-2.69949668240068</v>
      </c>
      <c r="E1134" s="53" t="n">
        <f aca="true">NORMINV(RAND(),0,E$7)</f>
        <v>-0.39087527212412</v>
      </c>
      <c r="F1134" s="53" t="n">
        <f aca="true">NORMINV(RAND(),0,F$7)</f>
        <v>0.147911637756266</v>
      </c>
      <c r="G1134" s="53" t="n">
        <f aca="true">NORMINV(RAND(),0,G$7)</f>
        <v>-0.892522982602807</v>
      </c>
      <c r="H1134" s="53" t="n">
        <f aca="true">NORMINV(RAND(),0,H$7)</f>
        <v>0.551959399507492</v>
      </c>
      <c r="I1134" s="53" t="n">
        <f aca="false">SUM(B1134:H1134)</f>
        <v>-1.68485985534226</v>
      </c>
      <c r="J1134" s="53" t="n">
        <f aca="true">NORMINV(RAND(),0,J$7)</f>
        <v>-2.6881651071582</v>
      </c>
      <c r="K1134" s="53" t="n">
        <f aca="true">NORMINV(RAND(),0,K$7)</f>
        <v>0.400542694296385</v>
      </c>
      <c r="L1134" s="53" t="n">
        <f aca="true">NORMINV(RAND(),0,L$7)</f>
        <v>0.535809979913609</v>
      </c>
      <c r="M1134" s="53" t="n">
        <f aca="true">NORMINV(RAND(),0,M$7)</f>
        <v>0.165763266740227</v>
      </c>
      <c r="N1134" s="53" t="n">
        <f aca="true">NORMINV(RAND(),0,N$7)</f>
        <v>-0.306984485618677</v>
      </c>
      <c r="O1134" s="53" t="n">
        <f aca="false">SUM(J1134:N1134)</f>
        <v>-1.89303365182665</v>
      </c>
    </row>
    <row r="1135" customFormat="false" ht="15" hidden="false" customHeight="false" outlineLevel="0" collapsed="false">
      <c r="A1135" s="2" t="n">
        <v>1127</v>
      </c>
      <c r="B1135" s="53" t="n">
        <f aca="true">NORMINV(RAND(),0,B$7)</f>
        <v>1.72419232944141</v>
      </c>
      <c r="C1135" s="53" t="n">
        <f aca="true">NORMINV(RAND(),0,C$7)</f>
        <v>0.111088961298286</v>
      </c>
      <c r="D1135" s="53" t="n">
        <f aca="true">NORMINV(RAND(),0,D$7)</f>
        <v>0.803336509942037</v>
      </c>
      <c r="E1135" s="53" t="n">
        <f aca="true">NORMINV(RAND(),0,E$7)</f>
        <v>-0.143361049995434</v>
      </c>
      <c r="F1135" s="53" t="n">
        <f aca="true">NORMINV(RAND(),0,F$7)</f>
        <v>-0.193655881683862</v>
      </c>
      <c r="G1135" s="53" t="n">
        <f aca="true">NORMINV(RAND(),0,G$7)</f>
        <v>-1.5083314143123</v>
      </c>
      <c r="H1135" s="53" t="n">
        <f aca="true">NORMINV(RAND(),0,H$7)</f>
        <v>-0.274133807679453</v>
      </c>
      <c r="I1135" s="53" t="n">
        <f aca="false">SUM(B1135:H1135)</f>
        <v>0.519135647010682</v>
      </c>
      <c r="J1135" s="53" t="n">
        <f aca="true">NORMINV(RAND(),0,J$7)</f>
        <v>-1.60720654326757</v>
      </c>
      <c r="K1135" s="53" t="n">
        <f aca="true">NORMINV(RAND(),0,K$7)</f>
        <v>-0.330338086276773</v>
      </c>
      <c r="L1135" s="53" t="n">
        <f aca="true">NORMINV(RAND(),0,L$7)</f>
        <v>-0.137621117337447</v>
      </c>
      <c r="M1135" s="53" t="n">
        <f aca="true">NORMINV(RAND(),0,M$7)</f>
        <v>-0.156307733329325</v>
      </c>
      <c r="N1135" s="53" t="n">
        <f aca="true">NORMINV(RAND(),0,N$7)</f>
        <v>-0.109339232862338</v>
      </c>
      <c r="O1135" s="53" t="n">
        <f aca="false">SUM(J1135:N1135)</f>
        <v>-2.34081271307345</v>
      </c>
    </row>
    <row r="1136" customFormat="false" ht="15" hidden="false" customHeight="false" outlineLevel="0" collapsed="false">
      <c r="A1136" s="2" t="n">
        <v>1128</v>
      </c>
      <c r="B1136" s="53" t="n">
        <f aca="true">NORMINV(RAND(),0,B$7)</f>
        <v>-2.44853965443299</v>
      </c>
      <c r="C1136" s="53" t="n">
        <f aca="true">NORMINV(RAND(),0,C$7)</f>
        <v>-2.92204738462291</v>
      </c>
      <c r="D1136" s="53" t="n">
        <f aca="true">NORMINV(RAND(),0,D$7)</f>
        <v>-0.464372835914076</v>
      </c>
      <c r="E1136" s="53" t="n">
        <f aca="true">NORMINV(RAND(),0,E$7)</f>
        <v>-0.109887699585592</v>
      </c>
      <c r="F1136" s="53" t="n">
        <f aca="true">NORMINV(RAND(),0,F$7)</f>
        <v>0.163981527488097</v>
      </c>
      <c r="G1136" s="53" t="n">
        <f aca="true">NORMINV(RAND(),0,G$7)</f>
        <v>-0.944333458200409</v>
      </c>
      <c r="H1136" s="53" t="n">
        <f aca="true">NORMINV(RAND(),0,H$7)</f>
        <v>0.24243299126779</v>
      </c>
      <c r="I1136" s="53" t="n">
        <f aca="false">SUM(B1136:H1136)</f>
        <v>-6.48276651400009</v>
      </c>
      <c r="J1136" s="53" t="n">
        <f aca="true">NORMINV(RAND(),0,J$7)</f>
        <v>-0.148142581631537</v>
      </c>
      <c r="K1136" s="53" t="n">
        <f aca="true">NORMINV(RAND(),0,K$7)</f>
        <v>0.43831223715872</v>
      </c>
      <c r="L1136" s="53" t="n">
        <f aca="true">NORMINV(RAND(),0,L$7)</f>
        <v>-0.347182699774257</v>
      </c>
      <c r="M1136" s="53" t="n">
        <f aca="true">NORMINV(RAND(),0,M$7)</f>
        <v>-0.229564850584339</v>
      </c>
      <c r="N1136" s="53" t="n">
        <f aca="true">NORMINV(RAND(),0,N$7)</f>
        <v>0.0119033426152343</v>
      </c>
      <c r="O1136" s="53" t="n">
        <f aca="false">SUM(J1136:N1136)</f>
        <v>-0.274674552216179</v>
      </c>
    </row>
    <row r="1137" customFormat="false" ht="15" hidden="false" customHeight="false" outlineLevel="0" collapsed="false">
      <c r="A1137" s="2" t="n">
        <v>1129</v>
      </c>
      <c r="B1137" s="53" t="n">
        <f aca="true">NORMINV(RAND(),0,B$7)</f>
        <v>1.78762562919336</v>
      </c>
      <c r="C1137" s="53" t="n">
        <f aca="true">NORMINV(RAND(),0,C$7)</f>
        <v>-1.34868284212649</v>
      </c>
      <c r="D1137" s="53" t="n">
        <f aca="true">NORMINV(RAND(),0,D$7)</f>
        <v>0.268675050266239</v>
      </c>
      <c r="E1137" s="53" t="n">
        <f aca="true">NORMINV(RAND(),0,E$7)</f>
        <v>-0.362039925472814</v>
      </c>
      <c r="F1137" s="53" t="n">
        <f aca="true">NORMINV(RAND(),0,F$7)</f>
        <v>0.224433505871704</v>
      </c>
      <c r="G1137" s="53" t="n">
        <f aca="true">NORMINV(RAND(),0,G$7)</f>
        <v>1.90217082651678</v>
      </c>
      <c r="H1137" s="53" t="n">
        <f aca="true">NORMINV(RAND(),0,H$7)</f>
        <v>-0.155872236194658</v>
      </c>
      <c r="I1137" s="53" t="n">
        <f aca="false">SUM(B1137:H1137)</f>
        <v>2.31631000805413</v>
      </c>
      <c r="J1137" s="53" t="n">
        <f aca="true">NORMINV(RAND(),0,J$7)</f>
        <v>1.29466868074692</v>
      </c>
      <c r="K1137" s="53" t="n">
        <f aca="true">NORMINV(RAND(),0,K$7)</f>
        <v>-0.869328292795962</v>
      </c>
      <c r="L1137" s="53" t="n">
        <f aca="true">NORMINV(RAND(),0,L$7)</f>
        <v>0.0152711629177388</v>
      </c>
      <c r="M1137" s="53" t="n">
        <f aca="true">NORMINV(RAND(),0,M$7)</f>
        <v>0.21190074138129</v>
      </c>
      <c r="N1137" s="53" t="n">
        <f aca="true">NORMINV(RAND(),0,N$7)</f>
        <v>0.242000517045854</v>
      </c>
      <c r="O1137" s="53" t="n">
        <f aca="false">SUM(J1137:N1137)</f>
        <v>0.894512809295836</v>
      </c>
    </row>
    <row r="1138" customFormat="false" ht="15" hidden="false" customHeight="false" outlineLevel="0" collapsed="false">
      <c r="A1138" s="2" t="n">
        <v>1130</v>
      </c>
      <c r="B1138" s="53" t="n">
        <f aca="true">NORMINV(RAND(),0,B$7)</f>
        <v>0.698002668999863</v>
      </c>
      <c r="C1138" s="53" t="n">
        <f aca="true">NORMINV(RAND(),0,C$7)</f>
        <v>0.687826944572301</v>
      </c>
      <c r="D1138" s="53" t="n">
        <f aca="true">NORMINV(RAND(),0,D$7)</f>
        <v>0.651502704223961</v>
      </c>
      <c r="E1138" s="53" t="n">
        <f aca="true">NORMINV(RAND(),0,E$7)</f>
        <v>0.0456577453777863</v>
      </c>
      <c r="F1138" s="53" t="n">
        <f aca="true">NORMINV(RAND(),0,F$7)</f>
        <v>-0.0724028043003697</v>
      </c>
      <c r="G1138" s="53" t="n">
        <f aca="true">NORMINV(RAND(),0,G$7)</f>
        <v>-1.00805329798063</v>
      </c>
      <c r="H1138" s="53" t="n">
        <f aca="true">NORMINV(RAND(),0,H$7)</f>
        <v>-0.564021720344875</v>
      </c>
      <c r="I1138" s="53" t="n">
        <f aca="false">SUM(B1138:H1138)</f>
        <v>0.438512240548035</v>
      </c>
      <c r="J1138" s="53" t="n">
        <f aca="true">NORMINV(RAND(),0,J$7)</f>
        <v>1.01405756721004</v>
      </c>
      <c r="K1138" s="53" t="n">
        <f aca="true">NORMINV(RAND(),0,K$7)</f>
        <v>-0.852474909513344</v>
      </c>
      <c r="L1138" s="53" t="n">
        <f aca="true">NORMINV(RAND(),0,L$7)</f>
        <v>-0.0665618164789553</v>
      </c>
      <c r="M1138" s="53" t="n">
        <f aca="true">NORMINV(RAND(),0,M$7)</f>
        <v>-0.0124803592230477</v>
      </c>
      <c r="N1138" s="53" t="n">
        <f aca="true">NORMINV(RAND(),0,N$7)</f>
        <v>-0.125779636531547</v>
      </c>
      <c r="O1138" s="53" t="n">
        <f aca="false">SUM(J1138:N1138)</f>
        <v>-0.0432391545368565</v>
      </c>
    </row>
    <row r="1139" customFormat="false" ht="15" hidden="false" customHeight="false" outlineLevel="0" collapsed="false">
      <c r="A1139" s="2" t="n">
        <v>1131</v>
      </c>
      <c r="B1139" s="53" t="n">
        <f aca="true">NORMINV(RAND(),0,B$7)</f>
        <v>-0.942310632720208</v>
      </c>
      <c r="C1139" s="53" t="n">
        <f aca="true">NORMINV(RAND(),0,C$7)</f>
        <v>3.33094502145543</v>
      </c>
      <c r="D1139" s="53" t="n">
        <f aca="true">NORMINV(RAND(),0,D$7)</f>
        <v>0.308389284090677</v>
      </c>
      <c r="E1139" s="53" t="n">
        <f aca="true">NORMINV(RAND(),0,E$7)</f>
        <v>-0.104177343157614</v>
      </c>
      <c r="F1139" s="53" t="n">
        <f aca="true">NORMINV(RAND(),0,F$7)</f>
        <v>0.102117678181514</v>
      </c>
      <c r="G1139" s="53" t="n">
        <f aca="true">NORMINV(RAND(),0,G$7)</f>
        <v>1.70800289641834</v>
      </c>
      <c r="H1139" s="53" t="n">
        <f aca="true">NORMINV(RAND(),0,H$7)</f>
        <v>0.0130387503641006</v>
      </c>
      <c r="I1139" s="53" t="n">
        <f aca="false">SUM(B1139:H1139)</f>
        <v>4.41600565463224</v>
      </c>
      <c r="J1139" s="53" t="n">
        <f aca="true">NORMINV(RAND(),0,J$7)</f>
        <v>0.207398660138698</v>
      </c>
      <c r="K1139" s="53" t="n">
        <f aca="true">NORMINV(RAND(),0,K$7)</f>
        <v>-0.665120865414491</v>
      </c>
      <c r="L1139" s="53" t="n">
        <f aca="true">NORMINV(RAND(),0,L$7)</f>
        <v>-0.0774326866039124</v>
      </c>
      <c r="M1139" s="53" t="n">
        <f aca="true">NORMINV(RAND(),0,M$7)</f>
        <v>-0.12637330156672</v>
      </c>
      <c r="N1139" s="53" t="n">
        <f aca="true">NORMINV(RAND(),0,N$7)</f>
        <v>-0.549496630274941</v>
      </c>
      <c r="O1139" s="53" t="n">
        <f aca="false">SUM(J1139:N1139)</f>
        <v>-1.21102482372137</v>
      </c>
    </row>
    <row r="1140" customFormat="false" ht="15" hidden="false" customHeight="false" outlineLevel="0" collapsed="false">
      <c r="A1140" s="2" t="n">
        <v>1132</v>
      </c>
      <c r="B1140" s="53" t="n">
        <f aca="true">NORMINV(RAND(),0,B$7)</f>
        <v>-0.0407360146367056</v>
      </c>
      <c r="C1140" s="53" t="n">
        <f aca="true">NORMINV(RAND(),0,C$7)</f>
        <v>-0.759025101922877</v>
      </c>
      <c r="D1140" s="53" t="n">
        <f aca="true">NORMINV(RAND(),0,D$7)</f>
        <v>1.65692436329918</v>
      </c>
      <c r="E1140" s="53" t="n">
        <f aca="true">NORMINV(RAND(),0,E$7)</f>
        <v>0.233068980943699</v>
      </c>
      <c r="F1140" s="53" t="n">
        <f aca="true">NORMINV(RAND(),0,F$7)</f>
        <v>0.241064832872279</v>
      </c>
      <c r="G1140" s="53" t="n">
        <f aca="true">NORMINV(RAND(),0,G$7)</f>
        <v>-0.0326887952341951</v>
      </c>
      <c r="H1140" s="53" t="n">
        <f aca="true">NORMINV(RAND(),0,H$7)</f>
        <v>-0.126923715860995</v>
      </c>
      <c r="I1140" s="53" t="n">
        <f aca="false">SUM(B1140:H1140)</f>
        <v>1.17168454946038</v>
      </c>
      <c r="J1140" s="53" t="n">
        <f aca="true">NORMINV(RAND(),0,J$7)</f>
        <v>1.8586208947886</v>
      </c>
      <c r="K1140" s="53" t="n">
        <f aca="true">NORMINV(RAND(),0,K$7)</f>
        <v>0.100199474259711</v>
      </c>
      <c r="L1140" s="53" t="n">
        <f aca="true">NORMINV(RAND(),0,L$7)</f>
        <v>0.374800445246583</v>
      </c>
      <c r="M1140" s="53" t="n">
        <f aca="true">NORMINV(RAND(),0,M$7)</f>
        <v>0.283880914639841</v>
      </c>
      <c r="N1140" s="53" t="n">
        <f aca="true">NORMINV(RAND(),0,N$7)</f>
        <v>0.359241603375396</v>
      </c>
      <c r="O1140" s="53" t="n">
        <f aca="false">SUM(J1140:N1140)</f>
        <v>2.97674333231013</v>
      </c>
    </row>
    <row r="1141" customFormat="false" ht="15" hidden="false" customHeight="false" outlineLevel="0" collapsed="false">
      <c r="A1141" s="2" t="n">
        <v>1133</v>
      </c>
      <c r="B1141" s="53" t="n">
        <f aca="true">NORMINV(RAND(),0,B$7)</f>
        <v>0.798100842465484</v>
      </c>
      <c r="C1141" s="53" t="n">
        <f aca="true">NORMINV(RAND(),0,C$7)</f>
        <v>-1.08993157851207</v>
      </c>
      <c r="D1141" s="53" t="n">
        <f aca="true">NORMINV(RAND(),0,D$7)</f>
        <v>1.93302400178841</v>
      </c>
      <c r="E1141" s="53" t="n">
        <f aca="true">NORMINV(RAND(),0,E$7)</f>
        <v>-0.0831219337611904</v>
      </c>
      <c r="F1141" s="53" t="n">
        <f aca="true">NORMINV(RAND(),0,F$7)</f>
        <v>0.328473572784818</v>
      </c>
      <c r="G1141" s="53" t="n">
        <f aca="true">NORMINV(RAND(),0,G$7)</f>
        <v>-2.13513297149756</v>
      </c>
      <c r="H1141" s="53" t="n">
        <f aca="true">NORMINV(RAND(),0,H$7)</f>
        <v>0.00778358737616586</v>
      </c>
      <c r="I1141" s="53" t="n">
        <f aca="false">SUM(B1141:H1141)</f>
        <v>-0.240804479355943</v>
      </c>
      <c r="J1141" s="53" t="n">
        <f aca="true">NORMINV(RAND(),0,J$7)</f>
        <v>0.208900950299298</v>
      </c>
      <c r="K1141" s="53" t="n">
        <f aca="true">NORMINV(RAND(),0,K$7)</f>
        <v>-0.411701982442693</v>
      </c>
      <c r="L1141" s="53" t="n">
        <f aca="true">NORMINV(RAND(),0,L$7)</f>
        <v>0.178303570488019</v>
      </c>
      <c r="M1141" s="53" t="n">
        <f aca="true">NORMINV(RAND(),0,M$7)</f>
        <v>0.495302657342138</v>
      </c>
      <c r="N1141" s="53" t="n">
        <f aca="true">NORMINV(RAND(),0,N$7)</f>
        <v>-0.0579209315884754</v>
      </c>
      <c r="O1141" s="53" t="n">
        <f aca="false">SUM(J1141:N1141)</f>
        <v>0.412884264098287</v>
      </c>
    </row>
    <row r="1142" customFormat="false" ht="15" hidden="false" customHeight="false" outlineLevel="0" collapsed="false">
      <c r="A1142" s="2" t="n">
        <v>1134</v>
      </c>
      <c r="B1142" s="53" t="n">
        <f aca="true">NORMINV(RAND(),0,B$7)</f>
        <v>-2.59722508241987</v>
      </c>
      <c r="C1142" s="53" t="n">
        <f aca="true">NORMINV(RAND(),0,C$7)</f>
        <v>0.729716910353119</v>
      </c>
      <c r="D1142" s="53" t="n">
        <f aca="true">NORMINV(RAND(),0,D$7)</f>
        <v>2.31292398684648</v>
      </c>
      <c r="E1142" s="53" t="n">
        <f aca="true">NORMINV(RAND(),0,E$7)</f>
        <v>0.791279787597936</v>
      </c>
      <c r="F1142" s="53" t="n">
        <f aca="true">NORMINV(RAND(),0,F$7)</f>
        <v>0.446669106224008</v>
      </c>
      <c r="G1142" s="53" t="n">
        <f aca="true">NORMINV(RAND(),0,G$7)</f>
        <v>-1.50897209373785</v>
      </c>
      <c r="H1142" s="53" t="n">
        <f aca="true">NORMINV(RAND(),0,H$7)</f>
        <v>0.0658348657959429</v>
      </c>
      <c r="I1142" s="53" t="n">
        <f aca="false">SUM(B1142:H1142)</f>
        <v>0.24022748065976</v>
      </c>
      <c r="J1142" s="53" t="n">
        <f aca="true">NORMINV(RAND(),0,J$7)</f>
        <v>-2.94741484252523</v>
      </c>
      <c r="K1142" s="53" t="n">
        <f aca="true">NORMINV(RAND(),0,K$7)</f>
        <v>0.220841965318755</v>
      </c>
      <c r="L1142" s="53" t="n">
        <f aca="true">NORMINV(RAND(),0,L$7)</f>
        <v>0.302667947436855</v>
      </c>
      <c r="M1142" s="53" t="n">
        <f aca="true">NORMINV(RAND(),0,M$7)</f>
        <v>0.259918376818757</v>
      </c>
      <c r="N1142" s="53" t="n">
        <f aca="true">NORMINV(RAND(),0,N$7)</f>
        <v>-0.0281261419339822</v>
      </c>
      <c r="O1142" s="53" t="n">
        <f aca="false">SUM(J1142:N1142)</f>
        <v>-2.19211269488484</v>
      </c>
    </row>
    <row r="1143" customFormat="false" ht="15" hidden="false" customHeight="false" outlineLevel="0" collapsed="false">
      <c r="A1143" s="2" t="n">
        <v>1135</v>
      </c>
      <c r="B1143" s="53" t="n">
        <f aca="true">NORMINV(RAND(),0,B$7)</f>
        <v>0.276052704521156</v>
      </c>
      <c r="C1143" s="53" t="n">
        <f aca="true">NORMINV(RAND(),0,C$7)</f>
        <v>-2.74223639534263</v>
      </c>
      <c r="D1143" s="53" t="n">
        <f aca="true">NORMINV(RAND(),0,D$7)</f>
        <v>1.32140965078164</v>
      </c>
      <c r="E1143" s="53" t="n">
        <f aca="true">NORMINV(RAND(),0,E$7)</f>
        <v>-0.301544937615071</v>
      </c>
      <c r="F1143" s="53" t="n">
        <f aca="true">NORMINV(RAND(),0,F$7)</f>
        <v>0.428499042772888</v>
      </c>
      <c r="G1143" s="53" t="n">
        <f aca="true">NORMINV(RAND(),0,G$7)</f>
        <v>-0.139146152946722</v>
      </c>
      <c r="H1143" s="53" t="n">
        <f aca="true">NORMINV(RAND(),0,H$7)</f>
        <v>-0.170932271828178</v>
      </c>
      <c r="I1143" s="53" t="n">
        <f aca="false">SUM(B1143:H1143)</f>
        <v>-1.32789835965693</v>
      </c>
      <c r="J1143" s="53" t="n">
        <f aca="true">NORMINV(RAND(),0,J$7)</f>
        <v>0.476454644756977</v>
      </c>
      <c r="K1143" s="53" t="n">
        <f aca="true">NORMINV(RAND(),0,K$7)</f>
        <v>0.0790031343072462</v>
      </c>
      <c r="L1143" s="53" t="n">
        <f aca="true">NORMINV(RAND(),0,L$7)</f>
        <v>0.256484827083056</v>
      </c>
      <c r="M1143" s="53" t="n">
        <f aca="true">NORMINV(RAND(),0,M$7)</f>
        <v>-0.383223309121138</v>
      </c>
      <c r="N1143" s="53" t="n">
        <f aca="true">NORMINV(RAND(),0,N$7)</f>
        <v>-0.0621349908542911</v>
      </c>
      <c r="O1143" s="53" t="n">
        <f aca="false">SUM(J1143:N1143)</f>
        <v>0.36658430617185</v>
      </c>
    </row>
    <row r="1144" customFormat="false" ht="15" hidden="false" customHeight="false" outlineLevel="0" collapsed="false">
      <c r="A1144" s="2" t="n">
        <v>1136</v>
      </c>
      <c r="B1144" s="53" t="n">
        <f aca="true">NORMINV(RAND(),0,B$7)</f>
        <v>-2.95750668823632</v>
      </c>
      <c r="C1144" s="53" t="n">
        <f aca="true">NORMINV(RAND(),0,C$7)</f>
        <v>0.96282430318995</v>
      </c>
      <c r="D1144" s="53" t="n">
        <f aca="true">NORMINV(RAND(),0,D$7)</f>
        <v>-0.383275142460839</v>
      </c>
      <c r="E1144" s="53" t="n">
        <f aca="true">NORMINV(RAND(),0,E$7)</f>
        <v>0.295006468676996</v>
      </c>
      <c r="F1144" s="53" t="n">
        <f aca="true">NORMINV(RAND(),0,F$7)</f>
        <v>0.481558700231057</v>
      </c>
      <c r="G1144" s="53" t="n">
        <f aca="true">NORMINV(RAND(),0,G$7)</f>
        <v>-0.570386929084621</v>
      </c>
      <c r="H1144" s="53" t="n">
        <f aca="true">NORMINV(RAND(),0,H$7)</f>
        <v>0.179476313425352</v>
      </c>
      <c r="I1144" s="53" t="n">
        <f aca="false">SUM(B1144:H1144)</f>
        <v>-1.99230297425843</v>
      </c>
      <c r="J1144" s="53" t="n">
        <f aca="true">NORMINV(RAND(),0,J$7)</f>
        <v>-3.79098186939567</v>
      </c>
      <c r="K1144" s="53" t="n">
        <f aca="true">NORMINV(RAND(),0,K$7)</f>
        <v>-1.17384833550149</v>
      </c>
      <c r="L1144" s="53" t="n">
        <f aca="true">NORMINV(RAND(),0,L$7)</f>
        <v>0.45304569588202</v>
      </c>
      <c r="M1144" s="53" t="n">
        <f aca="true">NORMINV(RAND(),0,M$7)</f>
        <v>0.237003665476234</v>
      </c>
      <c r="N1144" s="53" t="n">
        <f aca="true">NORMINV(RAND(),0,N$7)</f>
        <v>-0.35701425704266</v>
      </c>
      <c r="O1144" s="53" t="n">
        <f aca="false">SUM(J1144:N1144)</f>
        <v>-4.63179510058157</v>
      </c>
    </row>
    <row r="1145" customFormat="false" ht="15" hidden="false" customHeight="false" outlineLevel="0" collapsed="false">
      <c r="A1145" s="2" t="n">
        <v>1137</v>
      </c>
      <c r="B1145" s="53" t="n">
        <f aca="true">NORMINV(RAND(),0,B$7)</f>
        <v>-3.90633572769211</v>
      </c>
      <c r="C1145" s="53" t="n">
        <f aca="true">NORMINV(RAND(),0,C$7)</f>
        <v>-3.34296830895426</v>
      </c>
      <c r="D1145" s="53" t="n">
        <f aca="true">NORMINV(RAND(),0,D$7)</f>
        <v>-3.47018067718975</v>
      </c>
      <c r="E1145" s="53" t="n">
        <f aca="true">NORMINV(RAND(),0,E$7)</f>
        <v>0.246857326819006</v>
      </c>
      <c r="F1145" s="53" t="n">
        <f aca="true">NORMINV(RAND(),0,F$7)</f>
        <v>-0.449642676189353</v>
      </c>
      <c r="G1145" s="53" t="n">
        <f aca="true">NORMINV(RAND(),0,G$7)</f>
        <v>0.0727792454517597</v>
      </c>
      <c r="H1145" s="53" t="n">
        <f aca="true">NORMINV(RAND(),0,H$7)</f>
        <v>-0.0949307687972208</v>
      </c>
      <c r="I1145" s="53" t="n">
        <f aca="false">SUM(B1145:H1145)</f>
        <v>-10.9444215865519</v>
      </c>
      <c r="J1145" s="53" t="n">
        <f aca="true">NORMINV(RAND(),0,J$7)</f>
        <v>-0.922020883176483</v>
      </c>
      <c r="K1145" s="53" t="n">
        <f aca="true">NORMINV(RAND(),0,K$7)</f>
        <v>-0.852470672086867</v>
      </c>
      <c r="L1145" s="53" t="n">
        <f aca="true">NORMINV(RAND(),0,L$7)</f>
        <v>0.420055217201992</v>
      </c>
      <c r="M1145" s="53" t="n">
        <f aca="true">NORMINV(RAND(),0,M$7)</f>
        <v>-0.308038598650303</v>
      </c>
      <c r="N1145" s="53" t="n">
        <f aca="true">NORMINV(RAND(),0,N$7)</f>
        <v>0.336649698499577</v>
      </c>
      <c r="O1145" s="53" t="n">
        <f aca="false">SUM(J1145:N1145)</f>
        <v>-1.32582523821208</v>
      </c>
    </row>
    <row r="1146" customFormat="false" ht="15" hidden="false" customHeight="false" outlineLevel="0" collapsed="false">
      <c r="A1146" s="2" t="n">
        <v>1138</v>
      </c>
      <c r="B1146" s="53" t="n">
        <f aca="true">NORMINV(RAND(),0,B$7)</f>
        <v>1.55934845192007</v>
      </c>
      <c r="C1146" s="53" t="n">
        <f aca="true">NORMINV(RAND(),0,C$7)</f>
        <v>-0.660307582256316</v>
      </c>
      <c r="D1146" s="53" t="n">
        <f aca="true">NORMINV(RAND(),0,D$7)</f>
        <v>0.338836542307862</v>
      </c>
      <c r="E1146" s="53" t="n">
        <f aca="true">NORMINV(RAND(),0,E$7)</f>
        <v>0.747882786273678</v>
      </c>
      <c r="F1146" s="53" t="n">
        <f aca="true">NORMINV(RAND(),0,F$7)</f>
        <v>-0.316477664557779</v>
      </c>
      <c r="G1146" s="53" t="n">
        <f aca="true">NORMINV(RAND(),0,G$7)</f>
        <v>1.75676266752079</v>
      </c>
      <c r="H1146" s="53" t="n">
        <f aca="true">NORMINV(RAND(),0,H$7)</f>
        <v>-0.320581229081718</v>
      </c>
      <c r="I1146" s="53" t="n">
        <f aca="false">SUM(B1146:H1146)</f>
        <v>3.10546397212659</v>
      </c>
      <c r="J1146" s="53" t="n">
        <f aca="true">NORMINV(RAND(),0,J$7)</f>
        <v>-2.77807240253168</v>
      </c>
      <c r="K1146" s="53" t="n">
        <f aca="true">NORMINV(RAND(),0,K$7)</f>
        <v>-1.33284354815874</v>
      </c>
      <c r="L1146" s="53" t="n">
        <f aca="true">NORMINV(RAND(),0,L$7)</f>
        <v>-0.433549301464339</v>
      </c>
      <c r="M1146" s="53" t="n">
        <f aca="true">NORMINV(RAND(),0,M$7)</f>
        <v>0.264093512353077</v>
      </c>
      <c r="N1146" s="53" t="n">
        <f aca="true">NORMINV(RAND(),0,N$7)</f>
        <v>-0.197730695201669</v>
      </c>
      <c r="O1146" s="53" t="n">
        <f aca="false">SUM(J1146:N1146)</f>
        <v>-4.47810243500336</v>
      </c>
    </row>
    <row r="1147" customFormat="false" ht="15" hidden="false" customHeight="false" outlineLevel="0" collapsed="false">
      <c r="A1147" s="2" t="n">
        <v>1139</v>
      </c>
      <c r="B1147" s="53" t="n">
        <f aca="true">NORMINV(RAND(),0,B$7)</f>
        <v>1.31263460582219</v>
      </c>
      <c r="C1147" s="53" t="n">
        <f aca="true">NORMINV(RAND(),0,C$7)</f>
        <v>-1.43886754374</v>
      </c>
      <c r="D1147" s="53" t="n">
        <f aca="true">NORMINV(RAND(),0,D$7)</f>
        <v>-4.53331188224473</v>
      </c>
      <c r="E1147" s="53" t="n">
        <f aca="true">NORMINV(RAND(),0,E$7)</f>
        <v>-0.181216060938915</v>
      </c>
      <c r="F1147" s="53" t="n">
        <f aca="true">NORMINV(RAND(),0,F$7)</f>
        <v>0.168156093736513</v>
      </c>
      <c r="G1147" s="53" t="n">
        <f aca="true">NORMINV(RAND(),0,G$7)</f>
        <v>0.919594913778957</v>
      </c>
      <c r="H1147" s="53" t="n">
        <f aca="true">NORMINV(RAND(),0,H$7)</f>
        <v>0.543412274320225</v>
      </c>
      <c r="I1147" s="53" t="n">
        <f aca="false">SUM(B1147:H1147)</f>
        <v>-3.20959759926576</v>
      </c>
      <c r="J1147" s="53" t="n">
        <f aca="true">NORMINV(RAND(),0,J$7)</f>
        <v>-0.938427217826058</v>
      </c>
      <c r="K1147" s="53" t="n">
        <f aca="true">NORMINV(RAND(),0,K$7)</f>
        <v>-0.228443997144712</v>
      </c>
      <c r="L1147" s="53" t="n">
        <f aca="true">NORMINV(RAND(),0,L$7)</f>
        <v>-0.270398900729676</v>
      </c>
      <c r="M1147" s="53" t="n">
        <f aca="true">NORMINV(RAND(),0,M$7)</f>
        <v>-0.144258850232606</v>
      </c>
      <c r="N1147" s="53" t="n">
        <f aca="true">NORMINV(RAND(),0,N$7)</f>
        <v>0.191678887206494</v>
      </c>
      <c r="O1147" s="53" t="n">
        <f aca="false">SUM(J1147:N1147)</f>
        <v>-1.38985007872656</v>
      </c>
    </row>
    <row r="1148" customFormat="false" ht="15" hidden="false" customHeight="false" outlineLevel="0" collapsed="false">
      <c r="A1148" s="2" t="n">
        <v>1140</v>
      </c>
      <c r="B1148" s="53" t="n">
        <f aca="true">NORMINV(RAND(),0,B$7)</f>
        <v>1.12100155454162</v>
      </c>
      <c r="C1148" s="53" t="n">
        <f aca="true">NORMINV(RAND(),0,C$7)</f>
        <v>-1.13018878162093</v>
      </c>
      <c r="D1148" s="53" t="n">
        <f aca="true">NORMINV(RAND(),0,D$7)</f>
        <v>-2.51757405137021</v>
      </c>
      <c r="E1148" s="53" t="n">
        <f aca="true">NORMINV(RAND(),0,E$7)</f>
        <v>-0.0320120300247572</v>
      </c>
      <c r="F1148" s="53" t="n">
        <f aca="true">NORMINV(RAND(),0,F$7)</f>
        <v>0.415987151451484</v>
      </c>
      <c r="G1148" s="53" t="n">
        <f aca="true">NORMINV(RAND(),0,G$7)</f>
        <v>1.62586177468337</v>
      </c>
      <c r="H1148" s="53" t="n">
        <f aca="true">NORMINV(RAND(),0,H$7)</f>
        <v>-0.406560907672366</v>
      </c>
      <c r="I1148" s="53" t="n">
        <f aca="false">SUM(B1148:H1148)</f>
        <v>-0.923485290011796</v>
      </c>
      <c r="J1148" s="53" t="n">
        <f aca="true">NORMINV(RAND(),0,J$7)</f>
        <v>3.48162460632122</v>
      </c>
      <c r="K1148" s="53" t="n">
        <f aca="true">NORMINV(RAND(),0,K$7)</f>
        <v>-0.0927652187329278</v>
      </c>
      <c r="L1148" s="53" t="n">
        <f aca="true">NORMINV(RAND(),0,L$7)</f>
        <v>0.574292241932448</v>
      </c>
      <c r="M1148" s="53" t="n">
        <f aca="true">NORMINV(RAND(),0,M$7)</f>
        <v>-0.0156528502515596</v>
      </c>
      <c r="N1148" s="53" t="n">
        <f aca="true">NORMINV(RAND(),0,N$7)</f>
        <v>-0.0218716317565064</v>
      </c>
      <c r="O1148" s="53" t="n">
        <f aca="false">SUM(J1148:N1148)</f>
        <v>3.92562714751268</v>
      </c>
    </row>
    <row r="1149" customFormat="false" ht="15" hidden="false" customHeight="false" outlineLevel="0" collapsed="false">
      <c r="A1149" s="2" t="n">
        <v>1141</v>
      </c>
      <c r="B1149" s="53" t="n">
        <f aca="true">NORMINV(RAND(),0,B$7)</f>
        <v>-1.07402117115104</v>
      </c>
      <c r="C1149" s="53" t="n">
        <f aca="true">NORMINV(RAND(),0,C$7)</f>
        <v>-2.57711876322569</v>
      </c>
      <c r="D1149" s="53" t="n">
        <f aca="true">NORMINV(RAND(),0,D$7)</f>
        <v>-0.684693550690313</v>
      </c>
      <c r="E1149" s="53" t="n">
        <f aca="true">NORMINV(RAND(),0,E$7)</f>
        <v>0.82812468646742</v>
      </c>
      <c r="F1149" s="53" t="n">
        <f aca="true">NORMINV(RAND(),0,F$7)</f>
        <v>0.159582795571502</v>
      </c>
      <c r="G1149" s="53" t="n">
        <f aca="true">NORMINV(RAND(),0,G$7)</f>
        <v>-1.60400492153879</v>
      </c>
      <c r="H1149" s="53" t="n">
        <f aca="true">NORMINV(RAND(),0,H$7)</f>
        <v>0.387124009460506</v>
      </c>
      <c r="I1149" s="53" t="n">
        <f aca="false">SUM(B1149:H1149)</f>
        <v>-4.56500691510642</v>
      </c>
      <c r="J1149" s="53" t="n">
        <f aca="true">NORMINV(RAND(),0,J$7)</f>
        <v>0.540858184139687</v>
      </c>
      <c r="K1149" s="53" t="n">
        <f aca="true">NORMINV(RAND(),0,K$7)</f>
        <v>0.120270534155759</v>
      </c>
      <c r="L1149" s="53" t="n">
        <f aca="true">NORMINV(RAND(),0,L$7)</f>
        <v>0.0168245781787418</v>
      </c>
      <c r="M1149" s="53" t="n">
        <f aca="true">NORMINV(RAND(),0,M$7)</f>
        <v>0.179257432793079</v>
      </c>
      <c r="N1149" s="53" t="n">
        <f aca="true">NORMINV(RAND(),0,N$7)</f>
        <v>0.687525878716158</v>
      </c>
      <c r="O1149" s="53" t="n">
        <f aca="false">SUM(J1149:N1149)</f>
        <v>1.54473660798343</v>
      </c>
    </row>
    <row r="1150" customFormat="false" ht="15" hidden="false" customHeight="false" outlineLevel="0" collapsed="false">
      <c r="A1150" s="2" t="n">
        <v>1142</v>
      </c>
      <c r="B1150" s="53" t="n">
        <f aca="true">NORMINV(RAND(),0,B$7)</f>
        <v>2.6880079183913</v>
      </c>
      <c r="C1150" s="53" t="n">
        <f aca="true">NORMINV(RAND(),0,C$7)</f>
        <v>-1.90499230292815</v>
      </c>
      <c r="D1150" s="53" t="n">
        <f aca="true">NORMINV(RAND(),0,D$7)</f>
        <v>0.519785042852384</v>
      </c>
      <c r="E1150" s="53" t="n">
        <f aca="true">NORMINV(RAND(),0,E$7)</f>
        <v>-0.160972974559899</v>
      </c>
      <c r="F1150" s="53" t="n">
        <f aca="true">NORMINV(RAND(),0,F$7)</f>
        <v>0.0471792602181942</v>
      </c>
      <c r="G1150" s="53" t="n">
        <f aca="true">NORMINV(RAND(),0,G$7)</f>
        <v>0.710610752178357</v>
      </c>
      <c r="H1150" s="53" t="n">
        <f aca="true">NORMINV(RAND(),0,H$7)</f>
        <v>-0.0414905689519899</v>
      </c>
      <c r="I1150" s="53" t="n">
        <f aca="false">SUM(B1150:H1150)</f>
        <v>1.8581271272002</v>
      </c>
      <c r="J1150" s="53" t="n">
        <f aca="true">NORMINV(RAND(),0,J$7)</f>
        <v>3.72857050355434</v>
      </c>
      <c r="K1150" s="53" t="n">
        <f aca="true">NORMINV(RAND(),0,K$7)</f>
        <v>0.685935580820014</v>
      </c>
      <c r="L1150" s="53" t="n">
        <f aca="true">NORMINV(RAND(),0,L$7)</f>
        <v>0.258629310599741</v>
      </c>
      <c r="M1150" s="53" t="n">
        <f aca="true">NORMINV(RAND(),0,M$7)</f>
        <v>-0.188567892168012</v>
      </c>
      <c r="N1150" s="53" t="n">
        <f aca="true">NORMINV(RAND(),0,N$7)</f>
        <v>0.705633183810289</v>
      </c>
      <c r="O1150" s="53" t="n">
        <f aca="false">SUM(J1150:N1150)</f>
        <v>5.19020068661637</v>
      </c>
    </row>
    <row r="1151" customFormat="false" ht="15" hidden="false" customHeight="false" outlineLevel="0" collapsed="false">
      <c r="A1151" s="2" t="n">
        <v>1143</v>
      </c>
      <c r="B1151" s="53" t="n">
        <f aca="true">NORMINV(RAND(),0,B$7)</f>
        <v>0.843137343955502</v>
      </c>
      <c r="C1151" s="53" t="n">
        <f aca="true">NORMINV(RAND(),0,C$7)</f>
        <v>-1.68562039172137</v>
      </c>
      <c r="D1151" s="53" t="n">
        <f aca="true">NORMINV(RAND(),0,D$7)</f>
        <v>2.67308047326457</v>
      </c>
      <c r="E1151" s="53" t="n">
        <f aca="true">NORMINV(RAND(),0,E$7)</f>
        <v>0.344755818044452</v>
      </c>
      <c r="F1151" s="53" t="n">
        <f aca="true">NORMINV(RAND(),0,F$7)</f>
        <v>-0.130489148796157</v>
      </c>
      <c r="G1151" s="53" t="n">
        <f aca="true">NORMINV(RAND(),0,G$7)</f>
        <v>1.92290978963416</v>
      </c>
      <c r="H1151" s="53" t="n">
        <f aca="true">NORMINV(RAND(),0,H$7)</f>
        <v>-0.261472083436522</v>
      </c>
      <c r="I1151" s="53" t="n">
        <f aca="false">SUM(B1151:H1151)</f>
        <v>3.70630180094464</v>
      </c>
      <c r="J1151" s="53" t="n">
        <f aca="true">NORMINV(RAND(),0,J$7)</f>
        <v>0.780566303957884</v>
      </c>
      <c r="K1151" s="53" t="n">
        <f aca="true">NORMINV(RAND(),0,K$7)</f>
        <v>0.480424489197019</v>
      </c>
      <c r="L1151" s="53" t="n">
        <f aca="true">NORMINV(RAND(),0,L$7)</f>
        <v>0.57685525787554</v>
      </c>
      <c r="M1151" s="53" t="n">
        <f aca="true">NORMINV(RAND(),0,M$7)</f>
        <v>-0.264427803175865</v>
      </c>
      <c r="N1151" s="53" t="n">
        <f aca="true">NORMINV(RAND(),0,N$7)</f>
        <v>-0.332141368119153</v>
      </c>
      <c r="O1151" s="53" t="n">
        <f aca="false">SUM(J1151:N1151)</f>
        <v>1.24127687973543</v>
      </c>
    </row>
    <row r="1152" customFormat="false" ht="15" hidden="false" customHeight="false" outlineLevel="0" collapsed="false">
      <c r="A1152" s="2" t="n">
        <v>1144</v>
      </c>
      <c r="B1152" s="53" t="n">
        <f aca="true">NORMINV(RAND(),0,B$7)</f>
        <v>-0.886504483488528</v>
      </c>
      <c r="C1152" s="53" t="n">
        <f aca="true">NORMINV(RAND(),0,C$7)</f>
        <v>-1.51101010558881</v>
      </c>
      <c r="D1152" s="53" t="n">
        <f aca="true">NORMINV(RAND(),0,D$7)</f>
        <v>0.881319941726742</v>
      </c>
      <c r="E1152" s="53" t="n">
        <f aca="true">NORMINV(RAND(),0,E$7)</f>
        <v>0.411260802843542</v>
      </c>
      <c r="F1152" s="53" t="n">
        <f aca="true">NORMINV(RAND(),0,F$7)</f>
        <v>0.331838680223852</v>
      </c>
      <c r="G1152" s="53" t="n">
        <f aca="true">NORMINV(RAND(),0,G$7)</f>
        <v>0.219773792569276</v>
      </c>
      <c r="H1152" s="53" t="n">
        <f aca="true">NORMINV(RAND(),0,H$7)</f>
        <v>-0.842767536767784</v>
      </c>
      <c r="I1152" s="53" t="n">
        <f aca="false">SUM(B1152:H1152)</f>
        <v>-1.39608890848171</v>
      </c>
      <c r="J1152" s="53" t="n">
        <f aca="true">NORMINV(RAND(),0,J$7)</f>
        <v>1.05126407688749</v>
      </c>
      <c r="K1152" s="53" t="n">
        <f aca="true">NORMINV(RAND(),0,K$7)</f>
        <v>-0.0539823727898634</v>
      </c>
      <c r="L1152" s="53" t="n">
        <f aca="true">NORMINV(RAND(),0,L$7)</f>
        <v>-0.0914838609939436</v>
      </c>
      <c r="M1152" s="53" t="n">
        <f aca="true">NORMINV(RAND(),0,M$7)</f>
        <v>-0.00791781051872325</v>
      </c>
      <c r="N1152" s="53" t="n">
        <f aca="true">NORMINV(RAND(),0,N$7)</f>
        <v>-0.337659647729017</v>
      </c>
      <c r="O1152" s="53" t="n">
        <f aca="false">SUM(J1152:N1152)</f>
        <v>0.560220384855938</v>
      </c>
    </row>
    <row r="1153" customFormat="false" ht="15" hidden="false" customHeight="false" outlineLevel="0" collapsed="false">
      <c r="A1153" s="2" t="n">
        <v>1145</v>
      </c>
      <c r="B1153" s="53" t="n">
        <f aca="true">NORMINV(RAND(),0,B$7)</f>
        <v>0.868753208990248</v>
      </c>
      <c r="C1153" s="53" t="n">
        <f aca="true">NORMINV(RAND(),0,C$7)</f>
        <v>2.19556790393194</v>
      </c>
      <c r="D1153" s="53" t="n">
        <f aca="true">NORMINV(RAND(),0,D$7)</f>
        <v>1.79493995271966</v>
      </c>
      <c r="E1153" s="53" t="n">
        <f aca="true">NORMINV(RAND(),0,E$7)</f>
        <v>-0.267955552999039</v>
      </c>
      <c r="F1153" s="53" t="n">
        <f aca="true">NORMINV(RAND(),0,F$7)</f>
        <v>-0.116623863640247</v>
      </c>
      <c r="G1153" s="53" t="n">
        <f aca="true">NORMINV(RAND(),0,G$7)</f>
        <v>-1.87769627931234</v>
      </c>
      <c r="H1153" s="53" t="n">
        <f aca="true">NORMINV(RAND(),0,H$7)</f>
        <v>0.0651929540584531</v>
      </c>
      <c r="I1153" s="53" t="n">
        <f aca="false">SUM(B1153:H1153)</f>
        <v>2.66217832374867</v>
      </c>
      <c r="J1153" s="53" t="n">
        <f aca="true">NORMINV(RAND(),0,J$7)</f>
        <v>-2.27220185223412</v>
      </c>
      <c r="K1153" s="53" t="n">
        <f aca="true">NORMINV(RAND(),0,K$7)</f>
        <v>0.12855451994046</v>
      </c>
      <c r="L1153" s="53" t="n">
        <f aca="true">NORMINV(RAND(),0,L$7)</f>
        <v>0.159536627536503</v>
      </c>
      <c r="M1153" s="53" t="n">
        <f aca="true">NORMINV(RAND(),0,M$7)</f>
        <v>0.273714028660974</v>
      </c>
      <c r="N1153" s="53" t="n">
        <f aca="true">NORMINV(RAND(),0,N$7)</f>
        <v>0.452377406641308</v>
      </c>
      <c r="O1153" s="53" t="n">
        <f aca="false">SUM(J1153:N1153)</f>
        <v>-1.25801926945487</v>
      </c>
    </row>
    <row r="1154" customFormat="false" ht="15" hidden="false" customHeight="false" outlineLevel="0" collapsed="false">
      <c r="A1154" s="2" t="n">
        <v>1146</v>
      </c>
      <c r="B1154" s="53" t="n">
        <f aca="true">NORMINV(RAND(),0,B$7)</f>
        <v>2.8302076220569</v>
      </c>
      <c r="C1154" s="53" t="n">
        <f aca="true">NORMINV(RAND(),0,C$7)</f>
        <v>0.670840826108128</v>
      </c>
      <c r="D1154" s="53" t="n">
        <f aca="true">NORMINV(RAND(),0,D$7)</f>
        <v>-0.819058756004409</v>
      </c>
      <c r="E1154" s="53" t="n">
        <f aca="true">NORMINV(RAND(),0,E$7)</f>
        <v>-0.343891892614627</v>
      </c>
      <c r="F1154" s="53" t="n">
        <f aca="true">NORMINV(RAND(),0,F$7)</f>
        <v>-0.326624482079014</v>
      </c>
      <c r="G1154" s="53" t="n">
        <f aca="true">NORMINV(RAND(),0,G$7)</f>
        <v>-0.208979899019913</v>
      </c>
      <c r="H1154" s="53" t="n">
        <f aca="true">NORMINV(RAND(),0,H$7)</f>
        <v>-0.724310463496273</v>
      </c>
      <c r="I1154" s="53" t="n">
        <f aca="false">SUM(B1154:H1154)</f>
        <v>1.07818295495079</v>
      </c>
      <c r="J1154" s="53" t="n">
        <f aca="true">NORMINV(RAND(),0,J$7)</f>
        <v>1.41847660625358</v>
      </c>
      <c r="K1154" s="53" t="n">
        <f aca="true">NORMINV(RAND(),0,K$7)</f>
        <v>0.64947810375008</v>
      </c>
      <c r="L1154" s="53" t="n">
        <f aca="true">NORMINV(RAND(),0,L$7)</f>
        <v>-0.218312486949207</v>
      </c>
      <c r="M1154" s="53" t="n">
        <f aca="true">NORMINV(RAND(),0,M$7)</f>
        <v>0.0167101292964435</v>
      </c>
      <c r="N1154" s="53" t="n">
        <f aca="true">NORMINV(RAND(),0,N$7)</f>
        <v>-0.157721251698749</v>
      </c>
      <c r="O1154" s="53" t="n">
        <f aca="false">SUM(J1154:N1154)</f>
        <v>1.70863110065215</v>
      </c>
    </row>
    <row r="1155" customFormat="false" ht="15" hidden="false" customHeight="false" outlineLevel="0" collapsed="false">
      <c r="A1155" s="2" t="n">
        <v>1147</v>
      </c>
      <c r="B1155" s="53" t="n">
        <f aca="true">NORMINV(RAND(),0,B$7)</f>
        <v>-0.162288168302821</v>
      </c>
      <c r="C1155" s="53" t="n">
        <f aca="true">NORMINV(RAND(),0,C$7)</f>
        <v>-1.51978208593292</v>
      </c>
      <c r="D1155" s="53" t="n">
        <f aca="true">NORMINV(RAND(),0,D$7)</f>
        <v>1.96990466896353</v>
      </c>
      <c r="E1155" s="53" t="n">
        <f aca="true">NORMINV(RAND(),0,E$7)</f>
        <v>-0.217382551510214</v>
      </c>
      <c r="F1155" s="53" t="n">
        <f aca="true">NORMINV(RAND(),0,F$7)</f>
        <v>-0.19791891306174</v>
      </c>
      <c r="G1155" s="53" t="n">
        <f aca="true">NORMINV(RAND(),0,G$7)</f>
        <v>-0.436408425744078</v>
      </c>
      <c r="H1155" s="53" t="n">
        <f aca="true">NORMINV(RAND(),0,H$7)</f>
        <v>-0.331516057974045</v>
      </c>
      <c r="I1155" s="53" t="n">
        <f aca="false">SUM(B1155:H1155)</f>
        <v>-0.895391533562288</v>
      </c>
      <c r="J1155" s="53" t="n">
        <f aca="true">NORMINV(RAND(),0,J$7)</f>
        <v>3.00117485859613</v>
      </c>
      <c r="K1155" s="53" t="n">
        <f aca="true">NORMINV(RAND(),0,K$7)</f>
        <v>-0.384974793810109</v>
      </c>
      <c r="L1155" s="53" t="n">
        <f aca="true">NORMINV(RAND(),0,L$7)</f>
        <v>0.0746461625727736</v>
      </c>
      <c r="M1155" s="53" t="n">
        <f aca="true">NORMINV(RAND(),0,M$7)</f>
        <v>-0.195022789712461</v>
      </c>
      <c r="N1155" s="53" t="n">
        <f aca="true">NORMINV(RAND(),0,N$7)</f>
        <v>1.01476245249983</v>
      </c>
      <c r="O1155" s="53" t="n">
        <f aca="false">SUM(J1155:N1155)</f>
        <v>3.51058589014616</v>
      </c>
    </row>
    <row r="1156" customFormat="false" ht="15" hidden="false" customHeight="false" outlineLevel="0" collapsed="false">
      <c r="A1156" s="2" t="n">
        <v>1148</v>
      </c>
      <c r="B1156" s="53" t="n">
        <f aca="true">NORMINV(RAND(),0,B$7)</f>
        <v>-1.39456309349563</v>
      </c>
      <c r="C1156" s="53" t="n">
        <f aca="true">NORMINV(RAND(),0,C$7)</f>
        <v>-1.35891960883272</v>
      </c>
      <c r="D1156" s="53" t="n">
        <f aca="true">NORMINV(RAND(),0,D$7)</f>
        <v>-2.15481611266969</v>
      </c>
      <c r="E1156" s="53" t="n">
        <f aca="true">NORMINV(RAND(),0,E$7)</f>
        <v>-0.177729085950893</v>
      </c>
      <c r="F1156" s="53" t="n">
        <f aca="true">NORMINV(RAND(),0,F$7)</f>
        <v>0.140076720748584</v>
      </c>
      <c r="G1156" s="53" t="n">
        <f aca="true">NORMINV(RAND(),0,G$7)</f>
        <v>0.14695034986073</v>
      </c>
      <c r="H1156" s="53" t="n">
        <f aca="true">NORMINV(RAND(),0,H$7)</f>
        <v>-0.22381106959967</v>
      </c>
      <c r="I1156" s="53" t="n">
        <f aca="false">SUM(B1156:H1156)</f>
        <v>-5.02281189993928</v>
      </c>
      <c r="J1156" s="53" t="n">
        <f aca="true">NORMINV(RAND(),0,J$7)</f>
        <v>4.10364039928999</v>
      </c>
      <c r="K1156" s="53" t="n">
        <f aca="true">NORMINV(RAND(),0,K$7)</f>
        <v>0.464794870930886</v>
      </c>
      <c r="L1156" s="53" t="n">
        <f aca="true">NORMINV(RAND(),0,L$7)</f>
        <v>0.627921464532116</v>
      </c>
      <c r="M1156" s="53" t="n">
        <f aca="true">NORMINV(RAND(),0,M$7)</f>
        <v>-0.0448229896751215</v>
      </c>
      <c r="N1156" s="53" t="n">
        <f aca="true">NORMINV(RAND(),0,N$7)</f>
        <v>0.120715314387106</v>
      </c>
      <c r="O1156" s="53" t="n">
        <f aca="false">SUM(J1156:N1156)</f>
        <v>5.27224905946497</v>
      </c>
    </row>
    <row r="1157" customFormat="false" ht="15" hidden="false" customHeight="false" outlineLevel="0" collapsed="false">
      <c r="A1157" s="2" t="n">
        <v>1149</v>
      </c>
      <c r="B1157" s="53" t="n">
        <f aca="true">NORMINV(RAND(),0,B$7)</f>
        <v>-0.0426013758674067</v>
      </c>
      <c r="C1157" s="53" t="n">
        <f aca="true">NORMINV(RAND(),0,C$7)</f>
        <v>-0.196423203759742</v>
      </c>
      <c r="D1157" s="53" t="n">
        <f aca="true">NORMINV(RAND(),0,D$7)</f>
        <v>-0.468774307960857</v>
      </c>
      <c r="E1157" s="53" t="n">
        <f aca="true">NORMINV(RAND(),0,E$7)</f>
        <v>0.263705755586611</v>
      </c>
      <c r="F1157" s="53" t="n">
        <f aca="true">NORMINV(RAND(),0,F$7)</f>
        <v>-0.47516428519843</v>
      </c>
      <c r="G1157" s="53" t="n">
        <f aca="true">NORMINV(RAND(),0,G$7)</f>
        <v>1.39659199391887</v>
      </c>
      <c r="H1157" s="53" t="n">
        <f aca="true">NORMINV(RAND(),0,H$7)</f>
        <v>-0.182129527448244</v>
      </c>
      <c r="I1157" s="53" t="n">
        <f aca="false">SUM(B1157:H1157)</f>
        <v>0.295205049270798</v>
      </c>
      <c r="J1157" s="53" t="n">
        <f aca="true">NORMINV(RAND(),0,J$7)</f>
        <v>1.21135657376996</v>
      </c>
      <c r="K1157" s="53" t="n">
        <f aca="true">NORMINV(RAND(),0,K$7)</f>
        <v>-0.784557166098688</v>
      </c>
      <c r="L1157" s="53" t="n">
        <f aca="true">NORMINV(RAND(),0,L$7)</f>
        <v>0.153912078532027</v>
      </c>
      <c r="M1157" s="53" t="n">
        <f aca="true">NORMINV(RAND(),0,M$7)</f>
        <v>0.0503956657981185</v>
      </c>
      <c r="N1157" s="53" t="n">
        <f aca="true">NORMINV(RAND(),0,N$7)</f>
        <v>0.695465371693237</v>
      </c>
      <c r="O1157" s="53" t="n">
        <f aca="false">SUM(J1157:N1157)</f>
        <v>1.32657252369465</v>
      </c>
    </row>
    <row r="1158" customFormat="false" ht="15" hidden="false" customHeight="false" outlineLevel="0" collapsed="false">
      <c r="A1158" s="2" t="n">
        <v>1150</v>
      </c>
      <c r="B1158" s="53" t="n">
        <f aca="true">NORMINV(RAND(),0,B$7)</f>
        <v>-0.781274410029149</v>
      </c>
      <c r="C1158" s="53" t="n">
        <f aca="true">NORMINV(RAND(),0,C$7)</f>
        <v>-0.768649479638294</v>
      </c>
      <c r="D1158" s="53" t="n">
        <f aca="true">NORMINV(RAND(),0,D$7)</f>
        <v>0.116997474203859</v>
      </c>
      <c r="E1158" s="53" t="n">
        <f aca="true">NORMINV(RAND(),0,E$7)</f>
        <v>-0.155969907593432</v>
      </c>
      <c r="F1158" s="53" t="n">
        <f aca="true">NORMINV(RAND(),0,F$7)</f>
        <v>-0.0367029420072505</v>
      </c>
      <c r="G1158" s="53" t="n">
        <f aca="true">NORMINV(RAND(),0,G$7)</f>
        <v>0.52594765219476</v>
      </c>
      <c r="H1158" s="53" t="n">
        <f aca="true">NORMINV(RAND(),0,H$7)</f>
        <v>0.116582488145322</v>
      </c>
      <c r="I1158" s="53" t="n">
        <f aca="false">SUM(B1158:H1158)</f>
        <v>-0.983069124724185</v>
      </c>
      <c r="J1158" s="53" t="n">
        <f aca="true">NORMINV(RAND(),0,J$7)</f>
        <v>-1.29879506030331</v>
      </c>
      <c r="K1158" s="53" t="n">
        <f aca="true">NORMINV(RAND(),0,K$7)</f>
        <v>0.527362938962617</v>
      </c>
      <c r="L1158" s="53" t="n">
        <f aca="true">NORMINV(RAND(),0,L$7)</f>
        <v>-0.232635741764652</v>
      </c>
      <c r="M1158" s="53" t="n">
        <f aca="true">NORMINV(RAND(),0,M$7)</f>
        <v>0.133956500349112</v>
      </c>
      <c r="N1158" s="53" t="n">
        <f aca="true">NORMINV(RAND(),0,N$7)</f>
        <v>-0.466832227679628</v>
      </c>
      <c r="O1158" s="53" t="n">
        <f aca="false">SUM(J1158:N1158)</f>
        <v>-1.33694359043586</v>
      </c>
    </row>
    <row r="1159" customFormat="false" ht="15" hidden="false" customHeight="false" outlineLevel="0" collapsed="false">
      <c r="A1159" s="2" t="n">
        <v>1151</v>
      </c>
      <c r="B1159" s="53" t="n">
        <f aca="true">NORMINV(RAND(),0,B$7)</f>
        <v>-2.29074619152448</v>
      </c>
      <c r="C1159" s="53" t="n">
        <f aca="true">NORMINV(RAND(),0,C$7)</f>
        <v>-1.92050956582467</v>
      </c>
      <c r="D1159" s="53" t="n">
        <f aca="true">NORMINV(RAND(),0,D$7)</f>
        <v>1.3985191637755</v>
      </c>
      <c r="E1159" s="53" t="n">
        <f aca="true">NORMINV(RAND(),0,E$7)</f>
        <v>0.0486377408449362</v>
      </c>
      <c r="F1159" s="53" t="n">
        <f aca="true">NORMINV(RAND(),0,F$7)</f>
        <v>0.388929094972898</v>
      </c>
      <c r="G1159" s="53" t="n">
        <f aca="true">NORMINV(RAND(),0,G$7)</f>
        <v>0.182559337756966</v>
      </c>
      <c r="H1159" s="53" t="n">
        <f aca="true">NORMINV(RAND(),0,H$7)</f>
        <v>1.01129875411385</v>
      </c>
      <c r="I1159" s="53" t="n">
        <f aca="false">SUM(B1159:H1159)</f>
        <v>-1.181311665885</v>
      </c>
      <c r="J1159" s="53" t="n">
        <f aca="true">NORMINV(RAND(),0,J$7)</f>
        <v>-0.115178000488792</v>
      </c>
      <c r="K1159" s="53" t="n">
        <f aca="true">NORMINV(RAND(),0,K$7)</f>
        <v>0.243225147328436</v>
      </c>
      <c r="L1159" s="53" t="n">
        <f aca="true">NORMINV(RAND(),0,L$7)</f>
        <v>0.0164810438682044</v>
      </c>
      <c r="M1159" s="53" t="n">
        <f aca="true">NORMINV(RAND(),0,M$7)</f>
        <v>0.103053462199377</v>
      </c>
      <c r="N1159" s="53" t="n">
        <f aca="true">NORMINV(RAND(),0,N$7)</f>
        <v>-0.553599792851451</v>
      </c>
      <c r="O1159" s="53" t="n">
        <f aca="false">SUM(J1159:N1159)</f>
        <v>-0.306018139944226</v>
      </c>
    </row>
    <row r="1160" customFormat="false" ht="15" hidden="false" customHeight="false" outlineLevel="0" collapsed="false">
      <c r="A1160" s="2" t="n">
        <v>1152</v>
      </c>
      <c r="B1160" s="53" t="n">
        <f aca="true">NORMINV(RAND(),0,B$7)</f>
        <v>0.158630118703025</v>
      </c>
      <c r="C1160" s="53" t="n">
        <f aca="true">NORMINV(RAND(),0,C$7)</f>
        <v>2.17268881263212</v>
      </c>
      <c r="D1160" s="53" t="n">
        <f aca="true">NORMINV(RAND(),0,D$7)</f>
        <v>-0.859142647297966</v>
      </c>
      <c r="E1160" s="53" t="n">
        <f aca="true">NORMINV(RAND(),0,E$7)</f>
        <v>0.689021558830646</v>
      </c>
      <c r="F1160" s="53" t="n">
        <f aca="true">NORMINV(RAND(),0,F$7)</f>
        <v>-0.279808661564646</v>
      </c>
      <c r="G1160" s="53" t="n">
        <f aca="true">NORMINV(RAND(),0,G$7)</f>
        <v>-1.5613459171021</v>
      </c>
      <c r="H1160" s="53" t="n">
        <f aca="true">NORMINV(RAND(),0,H$7)</f>
        <v>0.131641826284222</v>
      </c>
      <c r="I1160" s="53" t="n">
        <f aca="false">SUM(B1160:H1160)</f>
        <v>0.451685090485306</v>
      </c>
      <c r="J1160" s="53" t="n">
        <f aca="true">NORMINV(RAND(),0,J$7)</f>
        <v>-3.06175732567092</v>
      </c>
      <c r="K1160" s="53" t="n">
        <f aca="true">NORMINV(RAND(),0,K$7)</f>
        <v>-0.00707352995610781</v>
      </c>
      <c r="L1160" s="53" t="n">
        <f aca="true">NORMINV(RAND(),0,L$7)</f>
        <v>0.146111129605113</v>
      </c>
      <c r="M1160" s="53" t="n">
        <f aca="true">NORMINV(RAND(),0,M$7)</f>
        <v>0.186183408252046</v>
      </c>
      <c r="N1160" s="53" t="n">
        <f aca="true">NORMINV(RAND(),0,N$7)</f>
        <v>-0.625549209563529</v>
      </c>
      <c r="O1160" s="53" t="n">
        <f aca="false">SUM(J1160:N1160)</f>
        <v>-3.3620855273334</v>
      </c>
    </row>
    <row r="1161" customFormat="false" ht="15" hidden="false" customHeight="false" outlineLevel="0" collapsed="false">
      <c r="A1161" s="2" t="n">
        <v>1153</v>
      </c>
      <c r="B1161" s="53" t="n">
        <f aca="true">NORMINV(RAND(),0,B$7)</f>
        <v>-1.6731983931469</v>
      </c>
      <c r="C1161" s="53" t="n">
        <f aca="true">NORMINV(RAND(),0,C$7)</f>
        <v>-2.38427372436778</v>
      </c>
      <c r="D1161" s="53" t="n">
        <f aca="true">NORMINV(RAND(),0,D$7)</f>
        <v>1.27908833154795</v>
      </c>
      <c r="E1161" s="53" t="n">
        <f aca="true">NORMINV(RAND(),0,E$7)</f>
        <v>0.178499736978932</v>
      </c>
      <c r="F1161" s="53" t="n">
        <f aca="true">NORMINV(RAND(),0,F$7)</f>
        <v>-0.127255216383448</v>
      </c>
      <c r="G1161" s="53" t="n">
        <f aca="true">NORMINV(RAND(),0,G$7)</f>
        <v>-0.246941477655187</v>
      </c>
      <c r="H1161" s="53" t="n">
        <f aca="true">NORMINV(RAND(),0,H$7)</f>
        <v>-0.330078233402256</v>
      </c>
      <c r="I1161" s="53" t="n">
        <f aca="false">SUM(B1161:H1161)</f>
        <v>-3.30415897642869</v>
      </c>
      <c r="J1161" s="53" t="n">
        <f aca="true">NORMINV(RAND(),0,J$7)</f>
        <v>-2.48314680610617</v>
      </c>
      <c r="K1161" s="53" t="n">
        <f aca="true">NORMINV(RAND(),0,K$7)</f>
        <v>-0.59019372145566</v>
      </c>
      <c r="L1161" s="53" t="n">
        <f aca="true">NORMINV(RAND(),0,L$7)</f>
        <v>-0.800971318789305</v>
      </c>
      <c r="M1161" s="53" t="n">
        <f aca="true">NORMINV(RAND(),0,M$7)</f>
        <v>0.0756416234927867</v>
      </c>
      <c r="N1161" s="53" t="n">
        <f aca="true">NORMINV(RAND(),0,N$7)</f>
        <v>0.117838424074558</v>
      </c>
      <c r="O1161" s="53" t="n">
        <f aca="false">SUM(J1161:N1161)</f>
        <v>-3.68083179878379</v>
      </c>
    </row>
    <row r="1162" customFormat="false" ht="15" hidden="false" customHeight="false" outlineLevel="0" collapsed="false">
      <c r="A1162" s="2" t="n">
        <v>1154</v>
      </c>
      <c r="B1162" s="53" t="n">
        <f aca="true">NORMINV(RAND(),0,B$7)</f>
        <v>0.510607454817457</v>
      </c>
      <c r="C1162" s="53" t="n">
        <f aca="true">NORMINV(RAND(),0,C$7)</f>
        <v>-1.7763906045475</v>
      </c>
      <c r="D1162" s="53" t="n">
        <f aca="true">NORMINV(RAND(),0,D$7)</f>
        <v>0.232394429530589</v>
      </c>
      <c r="E1162" s="53" t="n">
        <f aca="true">NORMINV(RAND(),0,E$7)</f>
        <v>-0.482850377328079</v>
      </c>
      <c r="F1162" s="53" t="n">
        <f aca="true">NORMINV(RAND(),0,F$7)</f>
        <v>0.0583253947209913</v>
      </c>
      <c r="G1162" s="53" t="n">
        <f aca="true">NORMINV(RAND(),0,G$7)</f>
        <v>-1.16203270936671</v>
      </c>
      <c r="H1162" s="53" t="n">
        <f aca="true">NORMINV(RAND(),0,H$7)</f>
        <v>0.426940122444287</v>
      </c>
      <c r="I1162" s="53" t="n">
        <f aca="false">SUM(B1162:H1162)</f>
        <v>-2.19300628972896</v>
      </c>
      <c r="J1162" s="53" t="n">
        <f aca="true">NORMINV(RAND(),0,J$7)</f>
        <v>-0.342542393471651</v>
      </c>
      <c r="K1162" s="53" t="n">
        <f aca="true">NORMINV(RAND(),0,K$7)</f>
        <v>0.770060364573146</v>
      </c>
      <c r="L1162" s="53" t="n">
        <f aca="true">NORMINV(RAND(),0,L$7)</f>
        <v>0.155997800635405</v>
      </c>
      <c r="M1162" s="53" t="n">
        <f aca="true">NORMINV(RAND(),0,M$7)</f>
        <v>0.118498366700407</v>
      </c>
      <c r="N1162" s="53" t="n">
        <f aca="true">NORMINV(RAND(),0,N$7)</f>
        <v>-0.149289824162593</v>
      </c>
      <c r="O1162" s="53" t="n">
        <f aca="false">SUM(J1162:N1162)</f>
        <v>0.552724314274713</v>
      </c>
    </row>
    <row r="1163" customFormat="false" ht="15" hidden="false" customHeight="false" outlineLevel="0" collapsed="false">
      <c r="A1163" s="2" t="n">
        <v>1155</v>
      </c>
      <c r="B1163" s="53" t="n">
        <f aca="true">NORMINV(RAND(),0,B$7)</f>
        <v>0.321840476263282</v>
      </c>
      <c r="C1163" s="53" t="n">
        <f aca="true">NORMINV(RAND(),0,C$7)</f>
        <v>0.93087556565211</v>
      </c>
      <c r="D1163" s="53" t="n">
        <f aca="true">NORMINV(RAND(),0,D$7)</f>
        <v>1.24358620058663</v>
      </c>
      <c r="E1163" s="53" t="n">
        <f aca="true">NORMINV(RAND(),0,E$7)</f>
        <v>0.0848292653404609</v>
      </c>
      <c r="F1163" s="53" t="n">
        <f aca="true">NORMINV(RAND(),0,F$7)</f>
        <v>-0.112223466395319</v>
      </c>
      <c r="G1163" s="53" t="n">
        <f aca="true">NORMINV(RAND(),0,G$7)</f>
        <v>-1.08013011604019</v>
      </c>
      <c r="H1163" s="53" t="n">
        <f aca="true">NORMINV(RAND(),0,H$7)</f>
        <v>0.360976453067532</v>
      </c>
      <c r="I1163" s="53" t="n">
        <f aca="false">SUM(B1163:H1163)</f>
        <v>1.74975437847451</v>
      </c>
      <c r="J1163" s="53" t="n">
        <f aca="true">NORMINV(RAND(),0,J$7)</f>
        <v>-2.57621050816788</v>
      </c>
      <c r="K1163" s="53" t="n">
        <f aca="true">NORMINV(RAND(),0,K$7)</f>
        <v>0.162551854888575</v>
      </c>
      <c r="L1163" s="53" t="n">
        <f aca="true">NORMINV(RAND(),0,L$7)</f>
        <v>0.360537346236033</v>
      </c>
      <c r="M1163" s="53" t="n">
        <f aca="true">NORMINV(RAND(),0,M$7)</f>
        <v>0.182729095840103</v>
      </c>
      <c r="N1163" s="53" t="n">
        <f aca="true">NORMINV(RAND(),0,N$7)</f>
        <v>-0.263750257732987</v>
      </c>
      <c r="O1163" s="53" t="n">
        <f aca="false">SUM(J1163:N1163)</f>
        <v>-2.13414246893616</v>
      </c>
    </row>
    <row r="1164" customFormat="false" ht="15" hidden="false" customHeight="false" outlineLevel="0" collapsed="false">
      <c r="A1164" s="2" t="n">
        <v>1156</v>
      </c>
      <c r="B1164" s="53" t="n">
        <f aca="true">NORMINV(RAND(),0,B$7)</f>
        <v>-0.373392327552752</v>
      </c>
      <c r="C1164" s="53" t="n">
        <f aca="true">NORMINV(RAND(),0,C$7)</f>
        <v>-2.01027761699062</v>
      </c>
      <c r="D1164" s="53" t="n">
        <f aca="true">NORMINV(RAND(),0,D$7)</f>
        <v>0.0691463747310525</v>
      </c>
      <c r="E1164" s="53" t="n">
        <f aca="true">NORMINV(RAND(),0,E$7)</f>
        <v>-0.119882752894919</v>
      </c>
      <c r="F1164" s="53" t="n">
        <f aca="true">NORMINV(RAND(),0,F$7)</f>
        <v>0.0755294602886853</v>
      </c>
      <c r="G1164" s="53" t="n">
        <f aca="true">NORMINV(RAND(),0,G$7)</f>
        <v>-0.316662535451154</v>
      </c>
      <c r="H1164" s="53" t="n">
        <f aca="true">NORMINV(RAND(),0,H$7)</f>
        <v>0.0125896916087271</v>
      </c>
      <c r="I1164" s="53" t="n">
        <f aca="false">SUM(B1164:H1164)</f>
        <v>-2.66294970626098</v>
      </c>
      <c r="J1164" s="53" t="n">
        <f aca="true">NORMINV(RAND(),0,J$7)</f>
        <v>0.464513931904528</v>
      </c>
      <c r="K1164" s="53" t="n">
        <f aca="true">NORMINV(RAND(),0,K$7)</f>
        <v>0.306506990685842</v>
      </c>
      <c r="L1164" s="53" t="n">
        <f aca="true">NORMINV(RAND(),0,L$7)</f>
        <v>-0.170388274359414</v>
      </c>
      <c r="M1164" s="53" t="n">
        <f aca="true">NORMINV(RAND(),0,M$7)</f>
        <v>0.169555655057114</v>
      </c>
      <c r="N1164" s="53" t="n">
        <f aca="true">NORMINV(RAND(),0,N$7)</f>
        <v>0.522799500301807</v>
      </c>
      <c r="O1164" s="53" t="n">
        <f aca="false">SUM(J1164:N1164)</f>
        <v>1.29298780358988</v>
      </c>
    </row>
    <row r="1165" customFormat="false" ht="15" hidden="false" customHeight="false" outlineLevel="0" collapsed="false">
      <c r="A1165" s="2" t="n">
        <v>1157</v>
      </c>
      <c r="B1165" s="53" t="n">
        <f aca="true">NORMINV(RAND(),0,B$7)</f>
        <v>0.257871283870405</v>
      </c>
      <c r="C1165" s="53" t="n">
        <f aca="true">NORMINV(RAND(),0,C$7)</f>
        <v>-3.28481531075409</v>
      </c>
      <c r="D1165" s="53" t="n">
        <f aca="true">NORMINV(RAND(),0,D$7)</f>
        <v>-1.15264410146942</v>
      </c>
      <c r="E1165" s="53" t="n">
        <f aca="true">NORMINV(RAND(),0,E$7)</f>
        <v>-0.0553709226442112</v>
      </c>
      <c r="F1165" s="53" t="n">
        <f aca="true">NORMINV(RAND(),0,F$7)</f>
        <v>0.20011149581838</v>
      </c>
      <c r="G1165" s="53" t="n">
        <f aca="true">NORMINV(RAND(),0,G$7)</f>
        <v>-0.909404476558868</v>
      </c>
      <c r="H1165" s="53" t="n">
        <f aca="true">NORMINV(RAND(),0,H$7)</f>
        <v>0.220810797592652</v>
      </c>
      <c r="I1165" s="53" t="n">
        <f aca="false">SUM(B1165:H1165)</f>
        <v>-4.72344123414515</v>
      </c>
      <c r="J1165" s="53" t="n">
        <f aca="true">NORMINV(RAND(),0,J$7)</f>
        <v>0.505511732758547</v>
      </c>
      <c r="K1165" s="53" t="n">
        <f aca="true">NORMINV(RAND(),0,K$7)</f>
        <v>-1.09360452928453</v>
      </c>
      <c r="L1165" s="53" t="n">
        <f aca="true">NORMINV(RAND(),0,L$7)</f>
        <v>-0.146508695025507</v>
      </c>
      <c r="M1165" s="53" t="n">
        <f aca="true">NORMINV(RAND(),0,M$7)</f>
        <v>0.027806166576083</v>
      </c>
      <c r="N1165" s="53" t="n">
        <f aca="true">NORMINV(RAND(),0,N$7)</f>
        <v>-0.403080278115374</v>
      </c>
      <c r="O1165" s="53" t="n">
        <f aca="false">SUM(J1165:N1165)</f>
        <v>-1.10987560309079</v>
      </c>
    </row>
    <row r="1166" customFormat="false" ht="15" hidden="false" customHeight="false" outlineLevel="0" collapsed="false">
      <c r="A1166" s="2" t="n">
        <v>1158</v>
      </c>
      <c r="B1166" s="53" t="n">
        <f aca="true">NORMINV(RAND(),0,B$7)</f>
        <v>-0.358334381575756</v>
      </c>
      <c r="C1166" s="53" t="n">
        <f aca="true">NORMINV(RAND(),0,C$7)</f>
        <v>0.0307948998252312</v>
      </c>
      <c r="D1166" s="53" t="n">
        <f aca="true">NORMINV(RAND(),0,D$7)</f>
        <v>-0.559905816450687</v>
      </c>
      <c r="E1166" s="53" t="n">
        <f aca="true">NORMINV(RAND(),0,E$7)</f>
        <v>-0.37703927956722</v>
      </c>
      <c r="F1166" s="53" t="n">
        <f aca="true">NORMINV(RAND(),0,F$7)</f>
        <v>0.46787598466023</v>
      </c>
      <c r="G1166" s="53" t="n">
        <f aca="true">NORMINV(RAND(),0,G$7)</f>
        <v>-0.577423726039001</v>
      </c>
      <c r="H1166" s="53" t="n">
        <f aca="true">NORMINV(RAND(),0,H$7)</f>
        <v>-0.0038542649353938</v>
      </c>
      <c r="I1166" s="53" t="n">
        <f aca="false">SUM(B1166:H1166)</f>
        <v>-1.3778865840826</v>
      </c>
      <c r="J1166" s="53" t="n">
        <f aca="true">NORMINV(RAND(),0,J$7)</f>
        <v>-1.62004330213888</v>
      </c>
      <c r="K1166" s="53" t="n">
        <f aca="true">NORMINV(RAND(),0,K$7)</f>
        <v>0.316596650970152</v>
      </c>
      <c r="L1166" s="53" t="n">
        <f aca="true">NORMINV(RAND(),0,L$7)</f>
        <v>-0.172342188074929</v>
      </c>
      <c r="M1166" s="53" t="n">
        <f aca="true">NORMINV(RAND(),0,M$7)</f>
        <v>-0.179224657087925</v>
      </c>
      <c r="N1166" s="53" t="n">
        <f aca="true">NORMINV(RAND(),0,N$7)</f>
        <v>0.618279980317793</v>
      </c>
      <c r="O1166" s="53" t="n">
        <f aca="false">SUM(J1166:N1166)</f>
        <v>-1.03673351601379</v>
      </c>
    </row>
    <row r="1167" customFormat="false" ht="15" hidden="false" customHeight="false" outlineLevel="0" collapsed="false">
      <c r="A1167" s="2" t="n">
        <v>1159</v>
      </c>
      <c r="B1167" s="53" t="n">
        <f aca="true">NORMINV(RAND(),0,B$7)</f>
        <v>0.739972239068664</v>
      </c>
      <c r="C1167" s="53" t="n">
        <f aca="true">NORMINV(RAND(),0,C$7)</f>
        <v>-2.37592678538625</v>
      </c>
      <c r="D1167" s="53" t="n">
        <f aca="true">NORMINV(RAND(),0,D$7)</f>
        <v>-0.475615259504164</v>
      </c>
      <c r="E1167" s="53" t="n">
        <f aca="true">NORMINV(RAND(),0,E$7)</f>
        <v>0.148406973695074</v>
      </c>
      <c r="F1167" s="53" t="n">
        <f aca="true">NORMINV(RAND(),0,F$7)</f>
        <v>0.23551779906934</v>
      </c>
      <c r="G1167" s="53" t="n">
        <f aca="true">NORMINV(RAND(),0,G$7)</f>
        <v>0.940100461563559</v>
      </c>
      <c r="H1167" s="53" t="n">
        <f aca="true">NORMINV(RAND(),0,H$7)</f>
        <v>-0.446460953360984</v>
      </c>
      <c r="I1167" s="53" t="n">
        <f aca="false">SUM(B1167:H1167)</f>
        <v>-1.23400552485476</v>
      </c>
      <c r="J1167" s="53" t="n">
        <f aca="true">NORMINV(RAND(),0,J$7)</f>
        <v>-1.47332832243059</v>
      </c>
      <c r="K1167" s="53" t="n">
        <f aca="true">NORMINV(RAND(),0,K$7)</f>
        <v>-0.0295068168236201</v>
      </c>
      <c r="L1167" s="53" t="n">
        <f aca="true">NORMINV(RAND(),0,L$7)</f>
        <v>0.116463285964045</v>
      </c>
      <c r="M1167" s="53" t="n">
        <f aca="true">NORMINV(RAND(),0,M$7)</f>
        <v>-0.287350865506886</v>
      </c>
      <c r="N1167" s="53" t="n">
        <f aca="true">NORMINV(RAND(),0,N$7)</f>
        <v>0.341495604792927</v>
      </c>
      <c r="O1167" s="53" t="n">
        <f aca="false">SUM(J1167:N1167)</f>
        <v>-1.33222711400412</v>
      </c>
    </row>
    <row r="1168" customFormat="false" ht="15" hidden="false" customHeight="false" outlineLevel="0" collapsed="false">
      <c r="A1168" s="2" t="n">
        <v>1160</v>
      </c>
      <c r="B1168" s="53" t="n">
        <f aca="true">NORMINV(RAND(),0,B$7)</f>
        <v>1.80289160572249</v>
      </c>
      <c r="C1168" s="53" t="n">
        <f aca="true">NORMINV(RAND(),0,C$7)</f>
        <v>1.89842221518752</v>
      </c>
      <c r="D1168" s="53" t="n">
        <f aca="true">NORMINV(RAND(),0,D$7)</f>
        <v>-0.246445776000694</v>
      </c>
      <c r="E1168" s="53" t="n">
        <f aca="true">NORMINV(RAND(),0,E$7)</f>
        <v>-0.228059867469591</v>
      </c>
      <c r="F1168" s="53" t="n">
        <f aca="true">NORMINV(RAND(),0,F$7)</f>
        <v>-0.205787836444026</v>
      </c>
      <c r="G1168" s="53" t="n">
        <f aca="true">NORMINV(RAND(),0,G$7)</f>
        <v>0.479391938753145</v>
      </c>
      <c r="H1168" s="53" t="n">
        <f aca="true">NORMINV(RAND(),0,H$7)</f>
        <v>0.492009368558343</v>
      </c>
      <c r="I1168" s="53" t="n">
        <f aca="false">SUM(B1168:H1168)</f>
        <v>3.99242164830719</v>
      </c>
      <c r="J1168" s="53" t="n">
        <f aca="true">NORMINV(RAND(),0,J$7)</f>
        <v>-2.2119427977476</v>
      </c>
      <c r="K1168" s="53" t="n">
        <f aca="true">NORMINV(RAND(),0,K$7)</f>
        <v>-0.141071692152749</v>
      </c>
      <c r="L1168" s="53" t="n">
        <f aca="true">NORMINV(RAND(),0,L$7)</f>
        <v>-0.0401038543518406</v>
      </c>
      <c r="M1168" s="53" t="n">
        <f aca="true">NORMINV(RAND(),0,M$7)</f>
        <v>0.216379626454797</v>
      </c>
      <c r="N1168" s="53" t="n">
        <f aca="true">NORMINV(RAND(),0,N$7)</f>
        <v>-0.108016476764473</v>
      </c>
      <c r="O1168" s="53" t="n">
        <f aca="false">SUM(J1168:N1168)</f>
        <v>-2.28475519456187</v>
      </c>
    </row>
    <row r="1169" customFormat="false" ht="15" hidden="false" customHeight="false" outlineLevel="0" collapsed="false">
      <c r="A1169" s="2" t="n">
        <v>1161</v>
      </c>
      <c r="B1169" s="53" t="n">
        <f aca="true">NORMINV(RAND(),0,B$7)</f>
        <v>-0.243369810575899</v>
      </c>
      <c r="C1169" s="53" t="n">
        <f aca="true">NORMINV(RAND(),0,C$7)</f>
        <v>0.219343905867368</v>
      </c>
      <c r="D1169" s="53" t="n">
        <f aca="true">NORMINV(RAND(),0,D$7)</f>
        <v>0.371816762802339</v>
      </c>
      <c r="E1169" s="53" t="n">
        <f aca="true">NORMINV(RAND(),0,E$7)</f>
        <v>-0.0629089536151628</v>
      </c>
      <c r="F1169" s="53" t="n">
        <f aca="true">NORMINV(RAND(),0,F$7)</f>
        <v>0.256549102884277</v>
      </c>
      <c r="G1169" s="53" t="n">
        <f aca="true">NORMINV(RAND(),0,G$7)</f>
        <v>0.732883900166538</v>
      </c>
      <c r="H1169" s="53" t="n">
        <f aca="true">NORMINV(RAND(),0,H$7)</f>
        <v>-0.323593493333261</v>
      </c>
      <c r="I1169" s="53" t="n">
        <f aca="false">SUM(B1169:H1169)</f>
        <v>0.9507214141962</v>
      </c>
      <c r="J1169" s="53" t="n">
        <f aca="true">NORMINV(RAND(),0,J$7)</f>
        <v>-0.40627394731853</v>
      </c>
      <c r="K1169" s="53" t="n">
        <f aca="true">NORMINV(RAND(),0,K$7)</f>
        <v>-0.378830918896372</v>
      </c>
      <c r="L1169" s="53" t="n">
        <f aca="true">NORMINV(RAND(),0,L$7)</f>
        <v>0.100182486269915</v>
      </c>
      <c r="M1169" s="53" t="n">
        <f aca="true">NORMINV(RAND(),0,M$7)</f>
        <v>-0.138168943427973</v>
      </c>
      <c r="N1169" s="53" t="n">
        <f aca="true">NORMINV(RAND(),0,N$7)</f>
        <v>0.516640969387776</v>
      </c>
      <c r="O1169" s="53" t="n">
        <f aca="false">SUM(J1169:N1169)</f>
        <v>-0.306450353985184</v>
      </c>
    </row>
    <row r="1170" customFormat="false" ht="15" hidden="false" customHeight="false" outlineLevel="0" collapsed="false">
      <c r="A1170" s="2" t="n">
        <v>1162</v>
      </c>
      <c r="B1170" s="53" t="n">
        <f aca="true">NORMINV(RAND(),0,B$7)</f>
        <v>1.37789472466338</v>
      </c>
      <c r="C1170" s="53" t="n">
        <f aca="true">NORMINV(RAND(),0,C$7)</f>
        <v>0.455239145330378</v>
      </c>
      <c r="D1170" s="53" t="n">
        <f aca="true">NORMINV(RAND(),0,D$7)</f>
        <v>1.7017390888643</v>
      </c>
      <c r="E1170" s="53" t="n">
        <f aca="true">NORMINV(RAND(),0,E$7)</f>
        <v>0.875902550130501</v>
      </c>
      <c r="F1170" s="53" t="n">
        <f aca="true">NORMINV(RAND(),0,F$7)</f>
        <v>0.161153633369907</v>
      </c>
      <c r="G1170" s="53" t="n">
        <f aca="true">NORMINV(RAND(),0,G$7)</f>
        <v>-1.62878241561837</v>
      </c>
      <c r="H1170" s="53" t="n">
        <f aca="true">NORMINV(RAND(),0,H$7)</f>
        <v>0.339684701020009</v>
      </c>
      <c r="I1170" s="53" t="n">
        <f aca="false">SUM(B1170:H1170)</f>
        <v>3.28283142776011</v>
      </c>
      <c r="J1170" s="53" t="n">
        <f aca="true">NORMINV(RAND(),0,J$7)</f>
        <v>-0.769098684381612</v>
      </c>
      <c r="K1170" s="53" t="n">
        <f aca="true">NORMINV(RAND(),0,K$7)</f>
        <v>0.154598300303122</v>
      </c>
      <c r="L1170" s="53" t="n">
        <f aca="true">NORMINV(RAND(),0,L$7)</f>
        <v>-0.122965898018278</v>
      </c>
      <c r="M1170" s="53" t="n">
        <f aca="true">NORMINV(RAND(),0,M$7)</f>
        <v>-0.225749451002725</v>
      </c>
      <c r="N1170" s="53" t="n">
        <f aca="true">NORMINV(RAND(),0,N$7)</f>
        <v>0.283433607937742</v>
      </c>
      <c r="O1170" s="53" t="n">
        <f aca="false">SUM(J1170:N1170)</f>
        <v>-0.67978212516175</v>
      </c>
    </row>
    <row r="1171" customFormat="false" ht="15" hidden="false" customHeight="false" outlineLevel="0" collapsed="false">
      <c r="A1171" s="2" t="n">
        <v>1163</v>
      </c>
      <c r="B1171" s="53" t="n">
        <f aca="true">NORMINV(RAND(),0,B$7)</f>
        <v>-2.83907184995152</v>
      </c>
      <c r="C1171" s="53" t="n">
        <f aca="true">NORMINV(RAND(),0,C$7)</f>
        <v>0.22691061265655</v>
      </c>
      <c r="D1171" s="53" t="n">
        <f aca="true">NORMINV(RAND(),0,D$7)</f>
        <v>2.06565043166898</v>
      </c>
      <c r="E1171" s="53" t="n">
        <f aca="true">NORMINV(RAND(),0,E$7)</f>
        <v>-0.687876621097782</v>
      </c>
      <c r="F1171" s="53" t="n">
        <f aca="true">NORMINV(RAND(),0,F$7)</f>
        <v>0.0241750867186465</v>
      </c>
      <c r="G1171" s="53" t="n">
        <f aca="true">NORMINV(RAND(),0,G$7)</f>
        <v>-0.956045427841931</v>
      </c>
      <c r="H1171" s="53" t="n">
        <f aca="true">NORMINV(RAND(),0,H$7)</f>
        <v>0.107316192921043</v>
      </c>
      <c r="I1171" s="53" t="n">
        <f aca="false">SUM(B1171:H1171)</f>
        <v>-2.05894157492601</v>
      </c>
      <c r="J1171" s="53" t="n">
        <f aca="true">NORMINV(RAND(),0,J$7)</f>
        <v>1.30657532352464</v>
      </c>
      <c r="K1171" s="53" t="n">
        <f aca="true">NORMINV(RAND(),0,K$7)</f>
        <v>-0.429581334534915</v>
      </c>
      <c r="L1171" s="53" t="n">
        <f aca="true">NORMINV(RAND(),0,L$7)</f>
        <v>-0.641741446287095</v>
      </c>
      <c r="M1171" s="53" t="n">
        <f aca="true">NORMINV(RAND(),0,M$7)</f>
        <v>0.140448496443738</v>
      </c>
      <c r="N1171" s="53" t="n">
        <f aca="true">NORMINV(RAND(),0,N$7)</f>
        <v>-0.123619291505443</v>
      </c>
      <c r="O1171" s="53" t="n">
        <f aca="false">SUM(J1171:N1171)</f>
        <v>0.252081747640921</v>
      </c>
    </row>
    <row r="1172" customFormat="false" ht="15" hidden="false" customHeight="false" outlineLevel="0" collapsed="false">
      <c r="A1172" s="2" t="n">
        <v>1164</v>
      </c>
      <c r="B1172" s="53" t="n">
        <f aca="true">NORMINV(RAND(),0,B$7)</f>
        <v>-0.858667534797304</v>
      </c>
      <c r="C1172" s="53" t="n">
        <f aca="true">NORMINV(RAND(),0,C$7)</f>
        <v>0.340145302668847</v>
      </c>
      <c r="D1172" s="53" t="n">
        <f aca="true">NORMINV(RAND(),0,D$7)</f>
        <v>2.76785462227321</v>
      </c>
      <c r="E1172" s="53" t="n">
        <f aca="true">NORMINV(RAND(),0,E$7)</f>
        <v>0.217772935038217</v>
      </c>
      <c r="F1172" s="53" t="n">
        <f aca="true">NORMINV(RAND(),0,F$7)</f>
        <v>-0.0853026252422726</v>
      </c>
      <c r="G1172" s="53" t="n">
        <f aca="true">NORMINV(RAND(),0,G$7)</f>
        <v>1.78139335829012</v>
      </c>
      <c r="H1172" s="53" t="n">
        <f aca="true">NORMINV(RAND(),0,H$7)</f>
        <v>0.471168925662115</v>
      </c>
      <c r="I1172" s="53" t="n">
        <f aca="false">SUM(B1172:H1172)</f>
        <v>4.63436498389293</v>
      </c>
      <c r="J1172" s="53" t="n">
        <f aca="true">NORMINV(RAND(),0,J$7)</f>
        <v>-1.05949361852352</v>
      </c>
      <c r="K1172" s="53" t="n">
        <f aca="true">NORMINV(RAND(),0,K$7)</f>
        <v>-0.0596050843912827</v>
      </c>
      <c r="L1172" s="53" t="n">
        <f aca="true">NORMINV(RAND(),0,L$7)</f>
        <v>-0.168078543021417</v>
      </c>
      <c r="M1172" s="53" t="n">
        <f aca="true">NORMINV(RAND(),0,M$7)</f>
        <v>-0.341570570431385</v>
      </c>
      <c r="N1172" s="53" t="n">
        <f aca="true">NORMINV(RAND(),0,N$7)</f>
        <v>0.0571204630643728</v>
      </c>
      <c r="O1172" s="53" t="n">
        <f aca="false">SUM(J1172:N1172)</f>
        <v>-1.57162735330323</v>
      </c>
    </row>
    <row r="1173" customFormat="false" ht="15" hidden="false" customHeight="false" outlineLevel="0" collapsed="false">
      <c r="A1173" s="2" t="n">
        <v>1165</v>
      </c>
      <c r="B1173" s="53" t="n">
        <f aca="true">NORMINV(RAND(),0,B$7)</f>
        <v>-0.140417022552508</v>
      </c>
      <c r="C1173" s="53" t="n">
        <f aca="true">NORMINV(RAND(),0,C$7)</f>
        <v>-2.55313852649539</v>
      </c>
      <c r="D1173" s="53" t="n">
        <f aca="true">NORMINV(RAND(),0,D$7)</f>
        <v>1.19305698839525</v>
      </c>
      <c r="E1173" s="53" t="n">
        <f aca="true">NORMINV(RAND(),0,E$7)</f>
        <v>-0.322087682121831</v>
      </c>
      <c r="F1173" s="53" t="n">
        <f aca="true">NORMINV(RAND(),0,F$7)</f>
        <v>-0.437839182510152</v>
      </c>
      <c r="G1173" s="53" t="n">
        <f aca="true">NORMINV(RAND(),0,G$7)</f>
        <v>-0.845549757445527</v>
      </c>
      <c r="H1173" s="53" t="n">
        <f aca="true">NORMINV(RAND(),0,H$7)</f>
        <v>-0.000348123656786832</v>
      </c>
      <c r="I1173" s="53" t="n">
        <f aca="false">SUM(B1173:H1173)</f>
        <v>-3.10632330638695</v>
      </c>
      <c r="J1173" s="53" t="n">
        <f aca="true">NORMINV(RAND(),0,J$7)</f>
        <v>-2.17137735315023</v>
      </c>
      <c r="K1173" s="53" t="n">
        <f aca="true">NORMINV(RAND(),0,K$7)</f>
        <v>0.370366411551739</v>
      </c>
      <c r="L1173" s="53" t="n">
        <f aca="true">NORMINV(RAND(),0,L$7)</f>
        <v>-0.309434297801686</v>
      </c>
      <c r="M1173" s="53" t="n">
        <f aca="true">NORMINV(RAND(),0,M$7)</f>
        <v>-0.124252120073164</v>
      </c>
      <c r="N1173" s="53" t="n">
        <f aca="true">NORMINV(RAND(),0,N$7)</f>
        <v>0.660750959368679</v>
      </c>
      <c r="O1173" s="53" t="n">
        <f aca="false">SUM(J1173:N1173)</f>
        <v>-1.57394640010466</v>
      </c>
    </row>
    <row r="1174" customFormat="false" ht="15" hidden="false" customHeight="false" outlineLevel="0" collapsed="false">
      <c r="A1174" s="2" t="n">
        <v>1166</v>
      </c>
      <c r="B1174" s="53" t="n">
        <f aca="true">NORMINV(RAND(),0,B$7)</f>
        <v>1.81712998987684</v>
      </c>
      <c r="C1174" s="53" t="n">
        <f aca="true">NORMINV(RAND(),0,C$7)</f>
        <v>0.171063823119315</v>
      </c>
      <c r="D1174" s="53" t="n">
        <f aca="true">NORMINV(RAND(),0,D$7)</f>
        <v>0.837800494439252</v>
      </c>
      <c r="E1174" s="53" t="n">
        <f aca="true">NORMINV(RAND(),0,E$7)</f>
        <v>-0.193628174732551</v>
      </c>
      <c r="F1174" s="53" t="n">
        <f aca="true">NORMINV(RAND(),0,F$7)</f>
        <v>-0.0363924251890812</v>
      </c>
      <c r="G1174" s="53" t="n">
        <f aca="true">NORMINV(RAND(),0,G$7)</f>
        <v>0.0765106066758435</v>
      </c>
      <c r="H1174" s="53" t="n">
        <f aca="true">NORMINV(RAND(),0,H$7)</f>
        <v>0.290966776298701</v>
      </c>
      <c r="I1174" s="53" t="n">
        <f aca="false">SUM(B1174:H1174)</f>
        <v>2.96345109048832</v>
      </c>
      <c r="J1174" s="53" t="n">
        <f aca="true">NORMINV(RAND(),0,J$7)</f>
        <v>-1.50367737641386</v>
      </c>
      <c r="K1174" s="53" t="n">
        <f aca="true">NORMINV(RAND(),0,K$7)</f>
        <v>-0.151380877003111</v>
      </c>
      <c r="L1174" s="53" t="n">
        <f aca="true">NORMINV(RAND(),0,L$7)</f>
        <v>0.223280953058196</v>
      </c>
      <c r="M1174" s="53" t="n">
        <f aca="true">NORMINV(RAND(),0,M$7)</f>
        <v>-0.222292580250831</v>
      </c>
      <c r="N1174" s="53" t="n">
        <f aca="true">NORMINV(RAND(),0,N$7)</f>
        <v>0.453167926978613</v>
      </c>
      <c r="O1174" s="53" t="n">
        <f aca="false">SUM(J1174:N1174)</f>
        <v>-1.20090195363099</v>
      </c>
    </row>
    <row r="1175" customFormat="false" ht="15" hidden="false" customHeight="false" outlineLevel="0" collapsed="false">
      <c r="A1175" s="2" t="n">
        <v>1167</v>
      </c>
      <c r="B1175" s="53" t="n">
        <f aca="true">NORMINV(RAND(),0,B$7)</f>
        <v>-0.443551020799993</v>
      </c>
      <c r="C1175" s="53" t="n">
        <f aca="true">NORMINV(RAND(),0,C$7)</f>
        <v>2.01950006879645</v>
      </c>
      <c r="D1175" s="53" t="n">
        <f aca="true">NORMINV(RAND(),0,D$7)</f>
        <v>-0.202345451420234</v>
      </c>
      <c r="E1175" s="53" t="n">
        <f aca="true">NORMINV(RAND(),0,E$7)</f>
        <v>0.118084427633682</v>
      </c>
      <c r="F1175" s="53" t="n">
        <f aca="true">NORMINV(RAND(),0,F$7)</f>
        <v>0.0286402549892824</v>
      </c>
      <c r="G1175" s="53" t="n">
        <f aca="true">NORMINV(RAND(),0,G$7)</f>
        <v>-0.964809865724687</v>
      </c>
      <c r="H1175" s="53" t="n">
        <f aca="true">NORMINV(RAND(),0,H$7)</f>
        <v>-0.217580580813197</v>
      </c>
      <c r="I1175" s="53" t="n">
        <f aca="false">SUM(B1175:H1175)</f>
        <v>0.337937832661305</v>
      </c>
      <c r="J1175" s="53" t="n">
        <f aca="true">NORMINV(RAND(),0,J$7)</f>
        <v>1.62824048422953</v>
      </c>
      <c r="K1175" s="53" t="n">
        <f aca="true">NORMINV(RAND(),0,K$7)</f>
        <v>0.719979165645782</v>
      </c>
      <c r="L1175" s="53" t="n">
        <f aca="true">NORMINV(RAND(),0,L$7)</f>
        <v>0.105855625319318</v>
      </c>
      <c r="M1175" s="53" t="n">
        <f aca="true">NORMINV(RAND(),0,M$7)</f>
        <v>0.180840820984726</v>
      </c>
      <c r="N1175" s="53" t="n">
        <f aca="true">NORMINV(RAND(),0,N$7)</f>
        <v>0.558252659674908</v>
      </c>
      <c r="O1175" s="53" t="n">
        <f aca="false">SUM(J1175:N1175)</f>
        <v>3.19316875585427</v>
      </c>
    </row>
    <row r="1176" customFormat="false" ht="15" hidden="false" customHeight="false" outlineLevel="0" collapsed="false">
      <c r="A1176" s="2" t="n">
        <v>1168</v>
      </c>
      <c r="B1176" s="53" t="n">
        <f aca="true">NORMINV(RAND(),0,B$7)</f>
        <v>0.411998481429934</v>
      </c>
      <c r="C1176" s="53" t="n">
        <f aca="true">NORMINV(RAND(),0,C$7)</f>
        <v>-1.6324691292524</v>
      </c>
      <c r="D1176" s="53" t="n">
        <f aca="true">NORMINV(RAND(),0,D$7)</f>
        <v>-0.990293396905176</v>
      </c>
      <c r="E1176" s="53" t="n">
        <f aca="true">NORMINV(RAND(),0,E$7)</f>
        <v>0.239686862810957</v>
      </c>
      <c r="F1176" s="53" t="n">
        <f aca="true">NORMINV(RAND(),0,F$7)</f>
        <v>-0.00315162634900143</v>
      </c>
      <c r="G1176" s="53" t="n">
        <f aca="true">NORMINV(RAND(),0,G$7)</f>
        <v>0.042013421504524</v>
      </c>
      <c r="H1176" s="53" t="n">
        <f aca="true">NORMINV(RAND(),0,H$7)</f>
        <v>0.336957017060742</v>
      </c>
      <c r="I1176" s="53" t="n">
        <f aca="false">SUM(B1176:H1176)</f>
        <v>-1.59525836970042</v>
      </c>
      <c r="J1176" s="53" t="n">
        <f aca="true">NORMINV(RAND(),0,J$7)</f>
        <v>0.178984438881318</v>
      </c>
      <c r="K1176" s="53" t="n">
        <f aca="true">NORMINV(RAND(),0,K$7)</f>
        <v>1.06521375964034</v>
      </c>
      <c r="L1176" s="53" t="n">
        <f aca="true">NORMINV(RAND(),0,L$7)</f>
        <v>0.122305234382961</v>
      </c>
      <c r="M1176" s="53" t="n">
        <f aca="true">NORMINV(RAND(),0,M$7)</f>
        <v>0.0655015956084164</v>
      </c>
      <c r="N1176" s="53" t="n">
        <f aca="true">NORMINV(RAND(),0,N$7)</f>
        <v>0.948855258797368</v>
      </c>
      <c r="O1176" s="53" t="n">
        <f aca="false">SUM(J1176:N1176)</f>
        <v>2.3808602873104</v>
      </c>
    </row>
    <row r="1177" customFormat="false" ht="15" hidden="false" customHeight="false" outlineLevel="0" collapsed="false">
      <c r="A1177" s="2" t="n">
        <v>1169</v>
      </c>
      <c r="B1177" s="53" t="n">
        <f aca="true">NORMINV(RAND(),0,B$7)</f>
        <v>-0.652661758259956</v>
      </c>
      <c r="C1177" s="53" t="n">
        <f aca="true">NORMINV(RAND(),0,C$7)</f>
        <v>0.839211357481786</v>
      </c>
      <c r="D1177" s="53" t="n">
        <f aca="true">NORMINV(RAND(),0,D$7)</f>
        <v>0.43638491307889</v>
      </c>
      <c r="E1177" s="53" t="n">
        <f aca="true">NORMINV(RAND(),0,E$7)</f>
        <v>-0.760495185906493</v>
      </c>
      <c r="F1177" s="53" t="n">
        <f aca="true">NORMINV(RAND(),0,F$7)</f>
        <v>-0.492628329564447</v>
      </c>
      <c r="G1177" s="53" t="n">
        <f aca="true">NORMINV(RAND(),0,G$7)</f>
        <v>-0.352124562785115</v>
      </c>
      <c r="H1177" s="53" t="n">
        <f aca="true">NORMINV(RAND(),0,H$7)</f>
        <v>-0.0830094185072642</v>
      </c>
      <c r="I1177" s="53" t="n">
        <f aca="false">SUM(B1177:H1177)</f>
        <v>-1.0653229844626</v>
      </c>
      <c r="J1177" s="53" t="n">
        <f aca="true">NORMINV(RAND(),0,J$7)</f>
        <v>-1.45970528937545</v>
      </c>
      <c r="K1177" s="53" t="n">
        <f aca="true">NORMINV(RAND(),0,K$7)</f>
        <v>-0.308252876229722</v>
      </c>
      <c r="L1177" s="53" t="n">
        <f aca="true">NORMINV(RAND(),0,L$7)</f>
        <v>-0.0207442707788424</v>
      </c>
      <c r="M1177" s="53" t="n">
        <f aca="true">NORMINV(RAND(),0,M$7)</f>
        <v>0.355340871384521</v>
      </c>
      <c r="N1177" s="53" t="n">
        <f aca="true">NORMINV(RAND(),0,N$7)</f>
        <v>-0.0734918850302389</v>
      </c>
      <c r="O1177" s="53" t="n">
        <f aca="false">SUM(J1177:N1177)</f>
        <v>-1.50685345002973</v>
      </c>
    </row>
    <row r="1178" customFormat="false" ht="15" hidden="false" customHeight="false" outlineLevel="0" collapsed="false">
      <c r="A1178" s="2" t="n">
        <v>1170</v>
      </c>
      <c r="B1178" s="53" t="n">
        <f aca="true">NORMINV(RAND(),0,B$7)</f>
        <v>-0.742142872977399</v>
      </c>
      <c r="C1178" s="53" t="n">
        <f aca="true">NORMINV(RAND(),0,C$7)</f>
        <v>-3.22342445335642</v>
      </c>
      <c r="D1178" s="53" t="n">
        <f aca="true">NORMINV(RAND(),0,D$7)</f>
        <v>-2.4573416000117</v>
      </c>
      <c r="E1178" s="53" t="n">
        <f aca="true">NORMINV(RAND(),0,E$7)</f>
        <v>-0.464147782683928</v>
      </c>
      <c r="F1178" s="53" t="n">
        <f aca="true">NORMINV(RAND(),0,F$7)</f>
        <v>0.0529696368563479</v>
      </c>
      <c r="G1178" s="53" t="n">
        <f aca="true">NORMINV(RAND(),0,G$7)</f>
        <v>0.243473356529857</v>
      </c>
      <c r="H1178" s="53" t="n">
        <f aca="true">NORMINV(RAND(),0,H$7)</f>
        <v>0.0989009147088595</v>
      </c>
      <c r="I1178" s="53" t="n">
        <f aca="false">SUM(B1178:H1178)</f>
        <v>-6.49171280093438</v>
      </c>
      <c r="J1178" s="53" t="n">
        <f aca="true">NORMINV(RAND(),0,J$7)</f>
        <v>1.17335298272415</v>
      </c>
      <c r="K1178" s="53" t="n">
        <f aca="true">NORMINV(RAND(),0,K$7)</f>
        <v>-0.650651397545128</v>
      </c>
      <c r="L1178" s="53" t="n">
        <f aca="true">NORMINV(RAND(),0,L$7)</f>
        <v>-0.178451102297856</v>
      </c>
      <c r="M1178" s="53" t="n">
        <f aca="true">NORMINV(RAND(),0,M$7)</f>
        <v>0.306104631569229</v>
      </c>
      <c r="N1178" s="53" t="n">
        <f aca="true">NORMINV(RAND(),0,N$7)</f>
        <v>-0.650455922961091</v>
      </c>
      <c r="O1178" s="53" t="n">
        <f aca="false">SUM(J1178:N1178)</f>
        <v>-0.00010080851070049</v>
      </c>
    </row>
    <row r="1179" customFormat="false" ht="15" hidden="false" customHeight="false" outlineLevel="0" collapsed="false">
      <c r="A1179" s="2" t="n">
        <v>1171</v>
      </c>
      <c r="B1179" s="53" t="n">
        <f aca="true">NORMINV(RAND(),0,B$7)</f>
        <v>0.0567322195934417</v>
      </c>
      <c r="C1179" s="53" t="n">
        <f aca="true">NORMINV(RAND(),0,C$7)</f>
        <v>-1.8599108915512</v>
      </c>
      <c r="D1179" s="53" t="n">
        <f aca="true">NORMINV(RAND(),0,D$7)</f>
        <v>2.37331199263505</v>
      </c>
      <c r="E1179" s="53" t="n">
        <f aca="true">NORMINV(RAND(),0,E$7)</f>
        <v>0.036137358878053</v>
      </c>
      <c r="F1179" s="53" t="n">
        <f aca="true">NORMINV(RAND(),0,F$7)</f>
        <v>-0.298454654336271</v>
      </c>
      <c r="G1179" s="53" t="n">
        <f aca="true">NORMINV(RAND(),0,G$7)</f>
        <v>-0.51765528252473</v>
      </c>
      <c r="H1179" s="53" t="n">
        <f aca="true">NORMINV(RAND(),0,H$7)</f>
        <v>0.030353118064314</v>
      </c>
      <c r="I1179" s="53" t="n">
        <f aca="false">SUM(B1179:H1179)</f>
        <v>-0.17948613924134</v>
      </c>
      <c r="J1179" s="53" t="n">
        <f aca="true">NORMINV(RAND(),0,J$7)</f>
        <v>0.911483075496684</v>
      </c>
      <c r="K1179" s="53" t="n">
        <f aca="true">NORMINV(RAND(),0,K$7)</f>
        <v>0.123833757962459</v>
      </c>
      <c r="L1179" s="53" t="n">
        <f aca="true">NORMINV(RAND(),0,L$7)</f>
        <v>-0.210510616505739</v>
      </c>
      <c r="M1179" s="53" t="n">
        <f aca="true">NORMINV(RAND(),0,M$7)</f>
        <v>0.141654546799232</v>
      </c>
      <c r="N1179" s="53" t="n">
        <f aca="true">NORMINV(RAND(),0,N$7)</f>
        <v>0.31535894076324</v>
      </c>
      <c r="O1179" s="53" t="n">
        <f aca="false">SUM(J1179:N1179)</f>
        <v>1.28181970451588</v>
      </c>
    </row>
    <row r="1180" customFormat="false" ht="15" hidden="false" customHeight="false" outlineLevel="0" collapsed="false">
      <c r="A1180" s="2" t="n">
        <v>1172</v>
      </c>
      <c r="B1180" s="53" t="n">
        <f aca="true">NORMINV(RAND(),0,B$7)</f>
        <v>-1.29824933799025</v>
      </c>
      <c r="C1180" s="53" t="n">
        <f aca="true">NORMINV(RAND(),0,C$7)</f>
        <v>0.662275675806109</v>
      </c>
      <c r="D1180" s="53" t="n">
        <f aca="true">NORMINV(RAND(),0,D$7)</f>
        <v>-0.961797133750127</v>
      </c>
      <c r="E1180" s="53" t="n">
        <f aca="true">NORMINV(RAND(),0,E$7)</f>
        <v>0.172878872284902</v>
      </c>
      <c r="F1180" s="53" t="n">
        <f aca="true">NORMINV(RAND(),0,F$7)</f>
        <v>0.389908168448736</v>
      </c>
      <c r="G1180" s="53" t="n">
        <f aca="true">NORMINV(RAND(),0,G$7)</f>
        <v>0.302190082095045</v>
      </c>
      <c r="H1180" s="53" t="n">
        <f aca="true">NORMINV(RAND(),0,H$7)</f>
        <v>0.245706521822216</v>
      </c>
      <c r="I1180" s="53" t="n">
        <f aca="false">SUM(B1180:H1180)</f>
        <v>-0.487087151283367</v>
      </c>
      <c r="J1180" s="53" t="n">
        <f aca="true">NORMINV(RAND(),0,J$7)</f>
        <v>-0.894058483781706</v>
      </c>
      <c r="K1180" s="53" t="n">
        <f aca="true">NORMINV(RAND(),0,K$7)</f>
        <v>0.565260864045382</v>
      </c>
      <c r="L1180" s="53" t="n">
        <f aca="true">NORMINV(RAND(),0,L$7)</f>
        <v>0.0289538141235525</v>
      </c>
      <c r="M1180" s="53" t="n">
        <f aca="true">NORMINV(RAND(),0,M$7)</f>
        <v>0.141931998440113</v>
      </c>
      <c r="N1180" s="53" t="n">
        <f aca="true">NORMINV(RAND(),0,N$7)</f>
        <v>-0.514782495037107</v>
      </c>
      <c r="O1180" s="53" t="n">
        <f aca="false">SUM(J1180:N1180)</f>
        <v>-0.672694302209766</v>
      </c>
    </row>
    <row r="1181" customFormat="false" ht="15" hidden="false" customHeight="false" outlineLevel="0" collapsed="false">
      <c r="A1181" s="2" t="n">
        <v>1173</v>
      </c>
      <c r="B1181" s="53" t="n">
        <f aca="true">NORMINV(RAND(),0,B$7)</f>
        <v>-0.999040962030299</v>
      </c>
      <c r="C1181" s="53" t="n">
        <f aca="true">NORMINV(RAND(),0,C$7)</f>
        <v>-1.05967862315421</v>
      </c>
      <c r="D1181" s="53" t="n">
        <f aca="true">NORMINV(RAND(),0,D$7)</f>
        <v>0.355220777812566</v>
      </c>
      <c r="E1181" s="53" t="n">
        <f aca="true">NORMINV(RAND(),0,E$7)</f>
        <v>0.0566188859319614</v>
      </c>
      <c r="F1181" s="53" t="n">
        <f aca="true">NORMINV(RAND(),0,F$7)</f>
        <v>-0.180479359348283</v>
      </c>
      <c r="G1181" s="53" t="n">
        <f aca="true">NORMINV(RAND(),0,G$7)</f>
        <v>-1.28518836928711</v>
      </c>
      <c r="H1181" s="53" t="n">
        <f aca="true">NORMINV(RAND(),0,H$7)</f>
        <v>0.187980857952837</v>
      </c>
      <c r="I1181" s="53" t="n">
        <f aca="false">SUM(B1181:H1181)</f>
        <v>-2.92456679212254</v>
      </c>
      <c r="J1181" s="53" t="n">
        <f aca="true">NORMINV(RAND(),0,J$7)</f>
        <v>1.06604164733033</v>
      </c>
      <c r="K1181" s="53" t="n">
        <f aca="true">NORMINV(RAND(),0,K$7)</f>
        <v>0.0445352027088627</v>
      </c>
      <c r="L1181" s="53" t="n">
        <f aca="true">NORMINV(RAND(),0,L$7)</f>
        <v>-0.0710736251270891</v>
      </c>
      <c r="M1181" s="53" t="n">
        <f aca="true">NORMINV(RAND(),0,M$7)</f>
        <v>-0.129911901701565</v>
      </c>
      <c r="N1181" s="53" t="n">
        <f aca="true">NORMINV(RAND(),0,N$7)</f>
        <v>0.0952816406536515</v>
      </c>
      <c r="O1181" s="53" t="n">
        <f aca="false">SUM(J1181:N1181)</f>
        <v>1.00487296386419</v>
      </c>
    </row>
    <row r="1182" customFormat="false" ht="15" hidden="false" customHeight="false" outlineLevel="0" collapsed="false">
      <c r="A1182" s="2" t="n">
        <v>1174</v>
      </c>
      <c r="B1182" s="53" t="n">
        <f aca="true">NORMINV(RAND(),0,B$7)</f>
        <v>1.19130525455707</v>
      </c>
      <c r="C1182" s="53" t="n">
        <f aca="true">NORMINV(RAND(),0,C$7)</f>
        <v>-1.68739312102104</v>
      </c>
      <c r="D1182" s="53" t="n">
        <f aca="true">NORMINV(RAND(),0,D$7)</f>
        <v>2.48303021868638</v>
      </c>
      <c r="E1182" s="53" t="n">
        <f aca="true">NORMINV(RAND(),0,E$7)</f>
        <v>-0.119028365019169</v>
      </c>
      <c r="F1182" s="53" t="n">
        <f aca="true">NORMINV(RAND(),0,F$7)</f>
        <v>0.138325452133273</v>
      </c>
      <c r="G1182" s="53" t="n">
        <f aca="true">NORMINV(RAND(),0,G$7)</f>
        <v>0.25152329276825</v>
      </c>
      <c r="H1182" s="53" t="n">
        <f aca="true">NORMINV(RAND(),0,H$7)</f>
        <v>-0.0730429643861894</v>
      </c>
      <c r="I1182" s="53" t="n">
        <f aca="false">SUM(B1182:H1182)</f>
        <v>2.18471976771856</v>
      </c>
      <c r="J1182" s="53" t="n">
        <f aca="true">NORMINV(RAND(),0,J$7)</f>
        <v>-0.163211734061743</v>
      </c>
      <c r="K1182" s="53" t="n">
        <f aca="true">NORMINV(RAND(),0,K$7)</f>
        <v>0.415878016061205</v>
      </c>
      <c r="L1182" s="53" t="n">
        <f aca="true">NORMINV(RAND(),0,L$7)</f>
        <v>-0.547536576402146</v>
      </c>
      <c r="M1182" s="53" t="n">
        <f aca="true">NORMINV(RAND(),0,M$7)</f>
        <v>0.0132316177525647</v>
      </c>
      <c r="N1182" s="53" t="n">
        <f aca="true">NORMINV(RAND(),0,N$7)</f>
        <v>-0.499378484257367</v>
      </c>
      <c r="O1182" s="53" t="n">
        <f aca="false">SUM(J1182:N1182)</f>
        <v>-0.781017160907487</v>
      </c>
    </row>
    <row r="1183" customFormat="false" ht="15" hidden="false" customHeight="false" outlineLevel="0" collapsed="false">
      <c r="A1183" s="2" t="n">
        <v>1175</v>
      </c>
      <c r="B1183" s="53" t="n">
        <f aca="true">NORMINV(RAND(),0,B$7)</f>
        <v>-2.41329477489319</v>
      </c>
      <c r="C1183" s="53" t="n">
        <f aca="true">NORMINV(RAND(),0,C$7)</f>
        <v>0.913118815988208</v>
      </c>
      <c r="D1183" s="53" t="n">
        <f aca="true">NORMINV(RAND(),0,D$7)</f>
        <v>0.953638843226089</v>
      </c>
      <c r="E1183" s="53" t="n">
        <f aca="true">NORMINV(RAND(),0,E$7)</f>
        <v>0.00837633950516337</v>
      </c>
      <c r="F1183" s="53" t="n">
        <f aca="true">NORMINV(RAND(),0,F$7)</f>
        <v>0.313738236358387</v>
      </c>
      <c r="G1183" s="53" t="n">
        <f aca="true">NORMINV(RAND(),0,G$7)</f>
        <v>-0.249432589385092</v>
      </c>
      <c r="H1183" s="53" t="n">
        <f aca="true">NORMINV(RAND(),0,H$7)</f>
        <v>0.24361529448388</v>
      </c>
      <c r="I1183" s="53" t="n">
        <f aca="false">SUM(B1183:H1183)</f>
        <v>-0.230239834716554</v>
      </c>
      <c r="J1183" s="53" t="n">
        <f aca="true">NORMINV(RAND(),0,J$7)</f>
        <v>-1.83534001231397</v>
      </c>
      <c r="K1183" s="53" t="n">
        <f aca="true">NORMINV(RAND(),0,K$7)</f>
        <v>1.42700503751274</v>
      </c>
      <c r="L1183" s="53" t="n">
        <f aca="true">NORMINV(RAND(),0,L$7)</f>
        <v>0.386178247664763</v>
      </c>
      <c r="M1183" s="53" t="n">
        <f aca="true">NORMINV(RAND(),0,M$7)</f>
        <v>-0.302998287256947</v>
      </c>
      <c r="N1183" s="53" t="n">
        <f aca="true">NORMINV(RAND(),0,N$7)</f>
        <v>-0.0501206437375357</v>
      </c>
      <c r="O1183" s="53" t="n">
        <f aca="false">SUM(J1183:N1183)</f>
        <v>-0.37527565813095</v>
      </c>
    </row>
    <row r="1184" customFormat="false" ht="15" hidden="false" customHeight="false" outlineLevel="0" collapsed="false">
      <c r="A1184" s="2" t="n">
        <v>1176</v>
      </c>
      <c r="B1184" s="53" t="n">
        <f aca="true">NORMINV(RAND(),0,B$7)</f>
        <v>-0.0556553270972978</v>
      </c>
      <c r="C1184" s="53" t="n">
        <f aca="true">NORMINV(RAND(),0,C$7)</f>
        <v>-0.33739469654159</v>
      </c>
      <c r="D1184" s="53" t="n">
        <f aca="true">NORMINV(RAND(),0,D$7)</f>
        <v>-2.13732112763801</v>
      </c>
      <c r="E1184" s="53" t="n">
        <f aca="true">NORMINV(RAND(),0,E$7)</f>
        <v>0.410214124597613</v>
      </c>
      <c r="F1184" s="53" t="n">
        <f aca="true">NORMINV(RAND(),0,F$7)</f>
        <v>-0.562603899197616</v>
      </c>
      <c r="G1184" s="53" t="n">
        <f aca="true">NORMINV(RAND(),0,G$7)</f>
        <v>-1.64006903178977</v>
      </c>
      <c r="H1184" s="53" t="n">
        <f aca="true">NORMINV(RAND(),0,H$7)</f>
        <v>0.200507042464799</v>
      </c>
      <c r="I1184" s="53" t="n">
        <f aca="false">SUM(B1184:H1184)</f>
        <v>-4.12232291520187</v>
      </c>
      <c r="J1184" s="53" t="n">
        <f aca="true">NORMINV(RAND(),0,J$7)</f>
        <v>-1.62904251780597</v>
      </c>
      <c r="K1184" s="53" t="n">
        <f aca="true">NORMINV(RAND(),0,K$7)</f>
        <v>-1.85208112834727</v>
      </c>
      <c r="L1184" s="53" t="n">
        <f aca="true">NORMINV(RAND(),0,L$7)</f>
        <v>0.222509406652334</v>
      </c>
      <c r="M1184" s="53" t="n">
        <f aca="true">NORMINV(RAND(),0,M$7)</f>
        <v>0.0250922807309685</v>
      </c>
      <c r="N1184" s="53" t="n">
        <f aca="true">NORMINV(RAND(),0,N$7)</f>
        <v>-0.416675448836055</v>
      </c>
      <c r="O1184" s="53" t="n">
        <f aca="false">SUM(J1184:N1184)</f>
        <v>-3.65019740760599</v>
      </c>
    </row>
    <row r="1185" customFormat="false" ht="15" hidden="false" customHeight="false" outlineLevel="0" collapsed="false">
      <c r="A1185" s="2" t="n">
        <v>1177</v>
      </c>
      <c r="B1185" s="53" t="n">
        <f aca="true">NORMINV(RAND(),0,B$7)</f>
        <v>-1.89419991221543</v>
      </c>
      <c r="C1185" s="53" t="n">
        <f aca="true">NORMINV(RAND(),0,C$7)</f>
        <v>1.30823593663293</v>
      </c>
      <c r="D1185" s="53" t="n">
        <f aca="true">NORMINV(RAND(),0,D$7)</f>
        <v>2.05467147200854</v>
      </c>
      <c r="E1185" s="53" t="n">
        <f aca="true">NORMINV(RAND(),0,E$7)</f>
        <v>-0.690960495844036</v>
      </c>
      <c r="F1185" s="53" t="n">
        <f aca="true">NORMINV(RAND(),0,F$7)</f>
        <v>0.196074668949358</v>
      </c>
      <c r="G1185" s="53" t="n">
        <f aca="true">NORMINV(RAND(),0,G$7)</f>
        <v>-0.532711861176354</v>
      </c>
      <c r="H1185" s="53" t="n">
        <f aca="true">NORMINV(RAND(),0,H$7)</f>
        <v>0.268135428593245</v>
      </c>
      <c r="I1185" s="53" t="n">
        <f aca="false">SUM(B1185:H1185)</f>
        <v>0.709245236948258</v>
      </c>
      <c r="J1185" s="53" t="n">
        <f aca="true">NORMINV(RAND(),0,J$7)</f>
        <v>2.12280140455991</v>
      </c>
      <c r="K1185" s="53" t="n">
        <f aca="true">NORMINV(RAND(),0,K$7)</f>
        <v>-0.0817026246842605</v>
      </c>
      <c r="L1185" s="53" t="n">
        <f aca="true">NORMINV(RAND(),0,L$7)</f>
        <v>-0.240826999135719</v>
      </c>
      <c r="M1185" s="53" t="n">
        <f aca="true">NORMINV(RAND(),0,M$7)</f>
        <v>0.214601753484709</v>
      </c>
      <c r="N1185" s="53" t="n">
        <f aca="true">NORMINV(RAND(),0,N$7)</f>
        <v>0.382205553353761</v>
      </c>
      <c r="O1185" s="53" t="n">
        <f aca="false">SUM(J1185:N1185)</f>
        <v>2.3970790875784</v>
      </c>
    </row>
    <row r="1186" customFormat="false" ht="15" hidden="false" customHeight="false" outlineLevel="0" collapsed="false">
      <c r="A1186" s="2" t="n">
        <v>1178</v>
      </c>
      <c r="B1186" s="53" t="n">
        <f aca="true">NORMINV(RAND(),0,B$7)</f>
        <v>0.780171699886764</v>
      </c>
      <c r="C1186" s="53" t="n">
        <f aca="true">NORMINV(RAND(),0,C$7)</f>
        <v>-1.71476881195617</v>
      </c>
      <c r="D1186" s="53" t="n">
        <f aca="true">NORMINV(RAND(),0,D$7)</f>
        <v>1.81582494307965</v>
      </c>
      <c r="E1186" s="53" t="n">
        <f aca="true">NORMINV(RAND(),0,E$7)</f>
        <v>0.281031980982299</v>
      </c>
      <c r="F1186" s="53" t="n">
        <f aca="true">NORMINV(RAND(),0,F$7)</f>
        <v>-0.0104155575852699</v>
      </c>
      <c r="G1186" s="53" t="n">
        <f aca="true">NORMINV(RAND(),0,G$7)</f>
        <v>0.12458894380382</v>
      </c>
      <c r="H1186" s="53" t="n">
        <f aca="true">NORMINV(RAND(),0,H$7)</f>
        <v>0.39920497844891</v>
      </c>
      <c r="I1186" s="53" t="n">
        <f aca="false">SUM(B1186:H1186)</f>
        <v>1.67563817666</v>
      </c>
      <c r="J1186" s="53" t="n">
        <f aca="true">NORMINV(RAND(),0,J$7)</f>
        <v>-1.12576279594948</v>
      </c>
      <c r="K1186" s="53" t="n">
        <f aca="true">NORMINV(RAND(),0,K$7)</f>
        <v>0.534428270165617</v>
      </c>
      <c r="L1186" s="53" t="n">
        <f aca="true">NORMINV(RAND(),0,L$7)</f>
        <v>-0.0988152533911665</v>
      </c>
      <c r="M1186" s="53" t="n">
        <f aca="true">NORMINV(RAND(),0,M$7)</f>
        <v>0.0455678431526933</v>
      </c>
      <c r="N1186" s="53" t="n">
        <f aca="true">NORMINV(RAND(),0,N$7)</f>
        <v>0.0386859323677657</v>
      </c>
      <c r="O1186" s="53" t="n">
        <f aca="false">SUM(J1186:N1186)</f>
        <v>-0.605896003654575</v>
      </c>
    </row>
    <row r="1187" customFormat="false" ht="15" hidden="false" customHeight="false" outlineLevel="0" collapsed="false">
      <c r="A1187" s="2" t="n">
        <v>1179</v>
      </c>
      <c r="B1187" s="53" t="n">
        <f aca="true">NORMINV(RAND(),0,B$7)</f>
        <v>-0.778503647263816</v>
      </c>
      <c r="C1187" s="53" t="n">
        <f aca="true">NORMINV(RAND(),0,C$7)</f>
        <v>-0.374214141897905</v>
      </c>
      <c r="D1187" s="53" t="n">
        <f aca="true">NORMINV(RAND(),0,D$7)</f>
        <v>-0.826771503315553</v>
      </c>
      <c r="E1187" s="53" t="n">
        <f aca="true">NORMINV(RAND(),0,E$7)</f>
        <v>0.505282224198726</v>
      </c>
      <c r="F1187" s="53" t="n">
        <f aca="true">NORMINV(RAND(),0,F$7)</f>
        <v>-0.125119866465346</v>
      </c>
      <c r="G1187" s="53" t="n">
        <f aca="true">NORMINV(RAND(),0,G$7)</f>
        <v>-2.56158484140527</v>
      </c>
      <c r="H1187" s="53" t="n">
        <f aca="true">NORMINV(RAND(),0,H$7)</f>
        <v>0.398730056250128</v>
      </c>
      <c r="I1187" s="53" t="n">
        <f aca="false">SUM(B1187:H1187)</f>
        <v>-3.76218171989903</v>
      </c>
      <c r="J1187" s="53" t="n">
        <f aca="true">NORMINV(RAND(),0,J$7)</f>
        <v>-0.609990021257801</v>
      </c>
      <c r="K1187" s="53" t="n">
        <f aca="true">NORMINV(RAND(),0,K$7)</f>
        <v>0.317009574616479</v>
      </c>
      <c r="L1187" s="53" t="n">
        <f aca="true">NORMINV(RAND(),0,L$7)</f>
        <v>0.288793172393455</v>
      </c>
      <c r="M1187" s="53" t="n">
        <f aca="true">NORMINV(RAND(),0,M$7)</f>
        <v>0.0268441552469698</v>
      </c>
      <c r="N1187" s="53" t="n">
        <f aca="true">NORMINV(RAND(),0,N$7)</f>
        <v>-0.152089671064033</v>
      </c>
      <c r="O1187" s="53" t="n">
        <f aca="false">SUM(J1187:N1187)</f>
        <v>-0.12943279006493</v>
      </c>
    </row>
    <row r="1188" customFormat="false" ht="15" hidden="false" customHeight="false" outlineLevel="0" collapsed="false">
      <c r="A1188" s="2" t="n">
        <v>1180</v>
      </c>
      <c r="B1188" s="53" t="n">
        <f aca="true">NORMINV(RAND(),0,B$7)</f>
        <v>1.74853407193288</v>
      </c>
      <c r="C1188" s="53" t="n">
        <f aca="true">NORMINV(RAND(),0,C$7)</f>
        <v>-0.174542556014137</v>
      </c>
      <c r="D1188" s="53" t="n">
        <f aca="true">NORMINV(RAND(),0,D$7)</f>
        <v>-0.541673459109262</v>
      </c>
      <c r="E1188" s="53" t="n">
        <f aca="true">NORMINV(RAND(),0,E$7)</f>
        <v>0.0478921546474226</v>
      </c>
      <c r="F1188" s="53" t="n">
        <f aca="true">NORMINV(RAND(),0,F$7)</f>
        <v>-0.281335449958113</v>
      </c>
      <c r="G1188" s="53" t="n">
        <f aca="true">NORMINV(RAND(),0,G$7)</f>
        <v>0.281710443325726</v>
      </c>
      <c r="H1188" s="53" t="n">
        <f aca="true">NORMINV(RAND(),0,H$7)</f>
        <v>-0.277700719740524</v>
      </c>
      <c r="I1188" s="53" t="n">
        <f aca="false">SUM(B1188:H1188)</f>
        <v>0.802884485083989</v>
      </c>
      <c r="J1188" s="53" t="n">
        <f aca="true">NORMINV(RAND(),0,J$7)</f>
        <v>0.451029103448067</v>
      </c>
      <c r="K1188" s="53" t="n">
        <f aca="true">NORMINV(RAND(),0,K$7)</f>
        <v>0.100073499653537</v>
      </c>
      <c r="L1188" s="53" t="n">
        <f aca="true">NORMINV(RAND(),0,L$7)</f>
        <v>-0.416119727447647</v>
      </c>
      <c r="M1188" s="53" t="n">
        <f aca="true">NORMINV(RAND(),0,M$7)</f>
        <v>-0.15837151512529</v>
      </c>
      <c r="N1188" s="53" t="n">
        <f aca="true">NORMINV(RAND(),0,N$7)</f>
        <v>-0.115249137204384</v>
      </c>
      <c r="O1188" s="53" t="n">
        <f aca="false">SUM(J1188:N1188)</f>
        <v>-0.138637776675716</v>
      </c>
    </row>
    <row r="1189" customFormat="false" ht="15" hidden="false" customHeight="false" outlineLevel="0" collapsed="false">
      <c r="A1189" s="2" t="n">
        <v>1181</v>
      </c>
      <c r="B1189" s="53" t="n">
        <f aca="true">NORMINV(RAND(),0,B$7)</f>
        <v>1.07498316886607</v>
      </c>
      <c r="C1189" s="53" t="n">
        <f aca="true">NORMINV(RAND(),0,C$7)</f>
        <v>0.946649517964587</v>
      </c>
      <c r="D1189" s="53" t="n">
        <f aca="true">NORMINV(RAND(),0,D$7)</f>
        <v>1.8718874965147</v>
      </c>
      <c r="E1189" s="53" t="n">
        <f aca="true">NORMINV(RAND(),0,E$7)</f>
        <v>-0.0645182739532</v>
      </c>
      <c r="F1189" s="53" t="n">
        <f aca="true">NORMINV(RAND(),0,F$7)</f>
        <v>0.0909483174462627</v>
      </c>
      <c r="G1189" s="53" t="n">
        <f aca="true">NORMINV(RAND(),0,G$7)</f>
        <v>0.270403030498852</v>
      </c>
      <c r="H1189" s="53" t="n">
        <f aca="true">NORMINV(RAND(),0,H$7)</f>
        <v>0.187961654448541</v>
      </c>
      <c r="I1189" s="53" t="n">
        <f aca="false">SUM(B1189:H1189)</f>
        <v>4.37831491178581</v>
      </c>
      <c r="J1189" s="53" t="n">
        <f aca="true">NORMINV(RAND(),0,J$7)</f>
        <v>-1.51035378684306</v>
      </c>
      <c r="K1189" s="53" t="n">
        <f aca="true">NORMINV(RAND(),0,K$7)</f>
        <v>-1.02822304625376</v>
      </c>
      <c r="L1189" s="53" t="n">
        <f aca="true">NORMINV(RAND(),0,L$7)</f>
        <v>0.0334820531279289</v>
      </c>
      <c r="M1189" s="53" t="n">
        <f aca="true">NORMINV(RAND(),0,M$7)</f>
        <v>0.231434576522399</v>
      </c>
      <c r="N1189" s="53" t="n">
        <f aca="true">NORMINV(RAND(),0,N$7)</f>
        <v>-0.110276012627208</v>
      </c>
      <c r="O1189" s="53" t="n">
        <f aca="false">SUM(J1189:N1189)</f>
        <v>-2.3839362160737</v>
      </c>
    </row>
    <row r="1190" customFormat="false" ht="15" hidden="false" customHeight="false" outlineLevel="0" collapsed="false">
      <c r="A1190" s="2" t="n">
        <v>1182</v>
      </c>
      <c r="B1190" s="53" t="n">
        <f aca="true">NORMINV(RAND(),0,B$7)</f>
        <v>0.0382536608485596</v>
      </c>
      <c r="C1190" s="53" t="n">
        <f aca="true">NORMINV(RAND(),0,C$7)</f>
        <v>2.12260037748007</v>
      </c>
      <c r="D1190" s="53" t="n">
        <f aca="true">NORMINV(RAND(),0,D$7)</f>
        <v>-1.07862997364299</v>
      </c>
      <c r="E1190" s="53" t="n">
        <f aca="true">NORMINV(RAND(),0,E$7)</f>
        <v>0.10512143713989</v>
      </c>
      <c r="F1190" s="53" t="n">
        <f aca="true">NORMINV(RAND(),0,F$7)</f>
        <v>0.0284430458115082</v>
      </c>
      <c r="G1190" s="53" t="n">
        <f aca="true">NORMINV(RAND(),0,G$7)</f>
        <v>0.249155584581086</v>
      </c>
      <c r="H1190" s="53" t="n">
        <f aca="true">NORMINV(RAND(),0,H$7)</f>
        <v>0.284670430617135</v>
      </c>
      <c r="I1190" s="53" t="n">
        <f aca="false">SUM(B1190:H1190)</f>
        <v>1.74961456283526</v>
      </c>
      <c r="J1190" s="53" t="n">
        <f aca="true">NORMINV(RAND(),0,J$7)</f>
        <v>-2.10336218249542</v>
      </c>
      <c r="K1190" s="53" t="n">
        <f aca="true">NORMINV(RAND(),0,K$7)</f>
        <v>1.18261116544858</v>
      </c>
      <c r="L1190" s="53" t="n">
        <f aca="true">NORMINV(RAND(),0,L$7)</f>
        <v>0.175562849133679</v>
      </c>
      <c r="M1190" s="53" t="n">
        <f aca="true">NORMINV(RAND(),0,M$7)</f>
        <v>-0.0952497741406133</v>
      </c>
      <c r="N1190" s="53" t="n">
        <f aca="true">NORMINV(RAND(),0,N$7)</f>
        <v>0.0324427873920282</v>
      </c>
      <c r="O1190" s="53" t="n">
        <f aca="false">SUM(J1190:N1190)</f>
        <v>-0.807995154661748</v>
      </c>
    </row>
    <row r="1191" customFormat="false" ht="15" hidden="false" customHeight="false" outlineLevel="0" collapsed="false">
      <c r="A1191" s="2" t="n">
        <v>1183</v>
      </c>
      <c r="B1191" s="53" t="n">
        <f aca="true">NORMINV(RAND(),0,B$7)</f>
        <v>2.90451012895742</v>
      </c>
      <c r="C1191" s="53" t="n">
        <f aca="true">NORMINV(RAND(),0,C$7)</f>
        <v>-0.79612614387738</v>
      </c>
      <c r="D1191" s="53" t="n">
        <f aca="true">NORMINV(RAND(),0,D$7)</f>
        <v>1.7392105143857</v>
      </c>
      <c r="E1191" s="53" t="n">
        <f aca="true">NORMINV(RAND(),0,E$7)</f>
        <v>0.0508733751656367</v>
      </c>
      <c r="F1191" s="53" t="n">
        <f aca="true">NORMINV(RAND(),0,F$7)</f>
        <v>0.114290886379284</v>
      </c>
      <c r="G1191" s="53" t="n">
        <f aca="true">NORMINV(RAND(),0,G$7)</f>
        <v>-0.607216941220331</v>
      </c>
      <c r="H1191" s="53" t="n">
        <f aca="true">NORMINV(RAND(),0,H$7)</f>
        <v>0.0397939943444247</v>
      </c>
      <c r="I1191" s="53" t="n">
        <f aca="false">SUM(B1191:H1191)</f>
        <v>3.44533581413476</v>
      </c>
      <c r="J1191" s="53" t="n">
        <f aca="true">NORMINV(RAND(),0,J$7)</f>
        <v>4.89314835012797</v>
      </c>
      <c r="K1191" s="53" t="n">
        <f aca="true">NORMINV(RAND(),0,K$7)</f>
        <v>0.542776859814145</v>
      </c>
      <c r="L1191" s="53" t="n">
        <f aca="true">NORMINV(RAND(),0,L$7)</f>
        <v>0.600374837708543</v>
      </c>
      <c r="M1191" s="53" t="n">
        <f aca="true">NORMINV(RAND(),0,M$7)</f>
        <v>-0.222956829615682</v>
      </c>
      <c r="N1191" s="53" t="n">
        <f aca="true">NORMINV(RAND(),0,N$7)</f>
        <v>0.120305576274273</v>
      </c>
      <c r="O1191" s="53" t="n">
        <f aca="false">SUM(J1191:N1191)</f>
        <v>5.93364879430925</v>
      </c>
    </row>
    <row r="1192" customFormat="false" ht="15" hidden="false" customHeight="false" outlineLevel="0" collapsed="false">
      <c r="A1192" s="2" t="n">
        <v>1184</v>
      </c>
      <c r="B1192" s="53" t="n">
        <f aca="true">NORMINV(RAND(),0,B$7)</f>
        <v>2.21846786890552</v>
      </c>
      <c r="C1192" s="53" t="n">
        <f aca="true">NORMINV(RAND(),0,C$7)</f>
        <v>-0.351424345955659</v>
      </c>
      <c r="D1192" s="53" t="n">
        <f aca="true">NORMINV(RAND(),0,D$7)</f>
        <v>1.89299057809811</v>
      </c>
      <c r="E1192" s="53" t="n">
        <f aca="true">NORMINV(RAND(),0,E$7)</f>
        <v>-0.343334767549657</v>
      </c>
      <c r="F1192" s="53" t="n">
        <f aca="true">NORMINV(RAND(),0,F$7)</f>
        <v>-0.142968912799782</v>
      </c>
      <c r="G1192" s="53" t="n">
        <f aca="true">NORMINV(RAND(),0,G$7)</f>
        <v>-2.43084032250633</v>
      </c>
      <c r="H1192" s="53" t="n">
        <f aca="true">NORMINV(RAND(),0,H$7)</f>
        <v>-0.00145798341759684</v>
      </c>
      <c r="I1192" s="53" t="n">
        <f aca="false">SUM(B1192:H1192)</f>
        <v>0.841432114774603</v>
      </c>
      <c r="J1192" s="53" t="n">
        <f aca="true">NORMINV(RAND(),0,J$7)</f>
        <v>1.52570380045157</v>
      </c>
      <c r="K1192" s="53" t="n">
        <f aca="true">NORMINV(RAND(),0,K$7)</f>
        <v>-1.04266251214861</v>
      </c>
      <c r="L1192" s="53" t="n">
        <f aca="true">NORMINV(RAND(),0,L$7)</f>
        <v>-0.575899795338641</v>
      </c>
      <c r="M1192" s="53" t="n">
        <f aca="true">NORMINV(RAND(),0,M$7)</f>
        <v>-0.178101905316887</v>
      </c>
      <c r="N1192" s="53" t="n">
        <f aca="true">NORMINV(RAND(),0,N$7)</f>
        <v>0.193540615715373</v>
      </c>
      <c r="O1192" s="53" t="n">
        <f aca="false">SUM(J1192:N1192)</f>
        <v>-0.0774197966371983</v>
      </c>
    </row>
    <row r="1193" customFormat="false" ht="15" hidden="false" customHeight="false" outlineLevel="0" collapsed="false">
      <c r="A1193" s="2" t="n">
        <v>1185</v>
      </c>
      <c r="B1193" s="53" t="n">
        <f aca="true">NORMINV(RAND(),0,B$7)</f>
        <v>-0.251679162968387</v>
      </c>
      <c r="C1193" s="53" t="n">
        <f aca="true">NORMINV(RAND(),0,C$7)</f>
        <v>0.213721747612138</v>
      </c>
      <c r="D1193" s="53" t="n">
        <f aca="true">NORMINV(RAND(),0,D$7)</f>
        <v>3.37887894728449</v>
      </c>
      <c r="E1193" s="53" t="n">
        <f aca="true">NORMINV(RAND(),0,E$7)</f>
        <v>-0.137907232697163</v>
      </c>
      <c r="F1193" s="53" t="n">
        <f aca="true">NORMINV(RAND(),0,F$7)</f>
        <v>0.260739420485638</v>
      </c>
      <c r="G1193" s="53" t="n">
        <f aca="true">NORMINV(RAND(),0,G$7)</f>
        <v>0.468303101895993</v>
      </c>
      <c r="H1193" s="53" t="n">
        <f aca="true">NORMINV(RAND(),0,H$7)</f>
        <v>0.0350265480224919</v>
      </c>
      <c r="I1193" s="53" t="n">
        <f aca="false">SUM(B1193:H1193)</f>
        <v>3.9670833696352</v>
      </c>
      <c r="J1193" s="53" t="n">
        <f aca="true">NORMINV(RAND(),0,J$7)</f>
        <v>0.445939959559771</v>
      </c>
      <c r="K1193" s="53" t="n">
        <f aca="true">NORMINV(RAND(),0,K$7)</f>
        <v>1.04151751011077</v>
      </c>
      <c r="L1193" s="53" t="n">
        <f aca="true">NORMINV(RAND(),0,L$7)</f>
        <v>0.244661048503514</v>
      </c>
      <c r="M1193" s="53" t="n">
        <f aca="true">NORMINV(RAND(),0,M$7)</f>
        <v>0.213997090478259</v>
      </c>
      <c r="N1193" s="53" t="n">
        <f aca="true">NORMINV(RAND(),0,N$7)</f>
        <v>0.202781129477845</v>
      </c>
      <c r="O1193" s="53" t="n">
        <f aca="false">SUM(J1193:N1193)</f>
        <v>2.14889673813016</v>
      </c>
    </row>
    <row r="1194" customFormat="false" ht="15" hidden="false" customHeight="false" outlineLevel="0" collapsed="false">
      <c r="A1194" s="2" t="n">
        <v>1186</v>
      </c>
      <c r="B1194" s="53" t="n">
        <f aca="true">NORMINV(RAND(),0,B$7)</f>
        <v>0.429089528133184</v>
      </c>
      <c r="C1194" s="53" t="n">
        <f aca="true">NORMINV(RAND(),0,C$7)</f>
        <v>-2.09161823388668</v>
      </c>
      <c r="D1194" s="53" t="n">
        <f aca="true">NORMINV(RAND(),0,D$7)</f>
        <v>0.784484704769402</v>
      </c>
      <c r="E1194" s="53" t="n">
        <f aca="true">NORMINV(RAND(),0,E$7)</f>
        <v>-0.173600414525883</v>
      </c>
      <c r="F1194" s="53" t="n">
        <f aca="true">NORMINV(RAND(),0,F$7)</f>
        <v>-0.0106004951757943</v>
      </c>
      <c r="G1194" s="53" t="n">
        <f aca="true">NORMINV(RAND(),0,G$7)</f>
        <v>-0.906600264539753</v>
      </c>
      <c r="H1194" s="53" t="n">
        <f aca="true">NORMINV(RAND(),0,H$7)</f>
        <v>-0.0881995369130929</v>
      </c>
      <c r="I1194" s="53" t="n">
        <f aca="false">SUM(B1194:H1194)</f>
        <v>-2.05704471213862</v>
      </c>
      <c r="J1194" s="53" t="n">
        <f aca="true">NORMINV(RAND(),0,J$7)</f>
        <v>-1.20434422919609</v>
      </c>
      <c r="K1194" s="53" t="n">
        <f aca="true">NORMINV(RAND(),0,K$7)</f>
        <v>-1.00105696818907</v>
      </c>
      <c r="L1194" s="53" t="n">
        <f aca="true">NORMINV(RAND(),0,L$7)</f>
        <v>0.391013159158879</v>
      </c>
      <c r="M1194" s="53" t="n">
        <f aca="true">NORMINV(RAND(),0,M$7)</f>
        <v>-0.0260490135661345</v>
      </c>
      <c r="N1194" s="53" t="n">
        <f aca="true">NORMINV(RAND(),0,N$7)</f>
        <v>0.373381078662397</v>
      </c>
      <c r="O1194" s="53" t="n">
        <f aca="false">SUM(J1194:N1194)</f>
        <v>-1.46705597313002</v>
      </c>
    </row>
    <row r="1195" customFormat="false" ht="15" hidden="false" customHeight="false" outlineLevel="0" collapsed="false">
      <c r="A1195" s="2" t="n">
        <v>1187</v>
      </c>
      <c r="B1195" s="53" t="n">
        <f aca="true">NORMINV(RAND(),0,B$7)</f>
        <v>1.32780256468166</v>
      </c>
      <c r="C1195" s="53" t="n">
        <f aca="true">NORMINV(RAND(),0,C$7)</f>
        <v>2.24643281058134</v>
      </c>
      <c r="D1195" s="53" t="n">
        <f aca="true">NORMINV(RAND(),0,D$7)</f>
        <v>2.37865588561772</v>
      </c>
      <c r="E1195" s="53" t="n">
        <f aca="true">NORMINV(RAND(),0,E$7)</f>
        <v>0.00169878659088022</v>
      </c>
      <c r="F1195" s="53" t="n">
        <f aca="true">NORMINV(RAND(),0,F$7)</f>
        <v>0.0120855220820763</v>
      </c>
      <c r="G1195" s="53" t="n">
        <f aca="true">NORMINV(RAND(),0,G$7)</f>
        <v>-0.487612484810287</v>
      </c>
      <c r="H1195" s="53" t="n">
        <f aca="true">NORMINV(RAND(),0,H$7)</f>
        <v>-0.145509053790526</v>
      </c>
      <c r="I1195" s="53" t="n">
        <f aca="false">SUM(B1195:H1195)</f>
        <v>5.33355403095286</v>
      </c>
      <c r="J1195" s="53" t="n">
        <f aca="true">NORMINV(RAND(),0,J$7)</f>
        <v>-1.19235129827682</v>
      </c>
      <c r="K1195" s="53" t="n">
        <f aca="true">NORMINV(RAND(),0,K$7)</f>
        <v>0.505204258037889</v>
      </c>
      <c r="L1195" s="53" t="n">
        <f aca="true">NORMINV(RAND(),0,L$7)</f>
        <v>0.0454962110413399</v>
      </c>
      <c r="M1195" s="53" t="n">
        <f aca="true">NORMINV(RAND(),0,M$7)</f>
        <v>0.174864281262721</v>
      </c>
      <c r="N1195" s="53" t="n">
        <f aca="true">NORMINV(RAND(),0,N$7)</f>
        <v>0.314998202409002</v>
      </c>
      <c r="O1195" s="53" t="n">
        <f aca="false">SUM(J1195:N1195)</f>
        <v>-0.15178834552587</v>
      </c>
    </row>
    <row r="1196" customFormat="false" ht="15" hidden="false" customHeight="false" outlineLevel="0" collapsed="false">
      <c r="A1196" s="2" t="n">
        <v>1188</v>
      </c>
      <c r="B1196" s="53" t="n">
        <f aca="true">NORMINV(RAND(),0,B$7)</f>
        <v>-0.999197936340663</v>
      </c>
      <c r="C1196" s="53" t="n">
        <f aca="true">NORMINV(RAND(),0,C$7)</f>
        <v>1.85514660182798</v>
      </c>
      <c r="D1196" s="53" t="n">
        <f aca="true">NORMINV(RAND(),0,D$7)</f>
        <v>-0.00647408906306295</v>
      </c>
      <c r="E1196" s="53" t="n">
        <f aca="true">NORMINV(RAND(),0,E$7)</f>
        <v>-0.0687996417785276</v>
      </c>
      <c r="F1196" s="53" t="n">
        <f aca="true">NORMINV(RAND(),0,F$7)</f>
        <v>0.252174090481272</v>
      </c>
      <c r="G1196" s="53" t="n">
        <f aca="true">NORMINV(RAND(),0,G$7)</f>
        <v>-1.03947045017697</v>
      </c>
      <c r="H1196" s="53" t="n">
        <f aca="true">NORMINV(RAND(),0,H$7)</f>
        <v>0.144394894585176</v>
      </c>
      <c r="I1196" s="53" t="n">
        <f aca="false">SUM(B1196:H1196)</f>
        <v>0.13777346953521</v>
      </c>
      <c r="J1196" s="53" t="n">
        <f aca="true">NORMINV(RAND(),0,J$7)</f>
        <v>-1.28266857938433</v>
      </c>
      <c r="K1196" s="53" t="n">
        <f aca="true">NORMINV(RAND(),0,K$7)</f>
        <v>0.198438521507414</v>
      </c>
      <c r="L1196" s="53" t="n">
        <f aca="true">NORMINV(RAND(),0,L$7)</f>
        <v>-0.0423287665666118</v>
      </c>
      <c r="M1196" s="53" t="n">
        <f aca="true">NORMINV(RAND(),0,M$7)</f>
        <v>0.01610461258279</v>
      </c>
      <c r="N1196" s="53" t="n">
        <f aca="true">NORMINV(RAND(),0,N$7)</f>
        <v>-0.0341678836828868</v>
      </c>
      <c r="O1196" s="53" t="n">
        <f aca="false">SUM(J1196:N1196)</f>
        <v>-1.14462209554362</v>
      </c>
    </row>
    <row r="1197" customFormat="false" ht="15" hidden="false" customHeight="false" outlineLevel="0" collapsed="false">
      <c r="A1197" s="2" t="n">
        <v>1189</v>
      </c>
      <c r="B1197" s="53" t="n">
        <f aca="true">NORMINV(RAND(),0,B$7)</f>
        <v>-0.481800091405868</v>
      </c>
      <c r="C1197" s="53" t="n">
        <f aca="true">NORMINV(RAND(),0,C$7)</f>
        <v>-1.33706891036206</v>
      </c>
      <c r="D1197" s="53" t="n">
        <f aca="true">NORMINV(RAND(),0,D$7)</f>
        <v>0.286452388890304</v>
      </c>
      <c r="E1197" s="53" t="n">
        <f aca="true">NORMINV(RAND(),0,E$7)</f>
        <v>0.0566265113494968</v>
      </c>
      <c r="F1197" s="53" t="n">
        <f aca="true">NORMINV(RAND(),0,F$7)</f>
        <v>-0.323870270742388</v>
      </c>
      <c r="G1197" s="53" t="n">
        <f aca="true">NORMINV(RAND(),0,G$7)</f>
        <v>-0.282736289042508</v>
      </c>
      <c r="H1197" s="53" t="n">
        <f aca="true">NORMINV(RAND(),0,H$7)</f>
        <v>0.0755721185544207</v>
      </c>
      <c r="I1197" s="53" t="n">
        <f aca="false">SUM(B1197:H1197)</f>
        <v>-2.0068245427586</v>
      </c>
      <c r="J1197" s="53" t="n">
        <f aca="true">NORMINV(RAND(),0,J$7)</f>
        <v>-3.15721521142713</v>
      </c>
      <c r="K1197" s="53" t="n">
        <f aca="true">NORMINV(RAND(),0,K$7)</f>
        <v>-0.41157191450253</v>
      </c>
      <c r="L1197" s="53" t="n">
        <f aca="true">NORMINV(RAND(),0,L$7)</f>
        <v>0.258596933783133</v>
      </c>
      <c r="M1197" s="53" t="n">
        <f aca="true">NORMINV(RAND(),0,M$7)</f>
        <v>0.0559787751832032</v>
      </c>
      <c r="N1197" s="53" t="n">
        <f aca="true">NORMINV(RAND(),0,N$7)</f>
        <v>-0.22015047181306</v>
      </c>
      <c r="O1197" s="53" t="n">
        <f aca="false">SUM(J1197:N1197)</f>
        <v>-3.47436188877639</v>
      </c>
    </row>
    <row r="1198" customFormat="false" ht="15" hidden="false" customHeight="false" outlineLevel="0" collapsed="false">
      <c r="A1198" s="2" t="n">
        <v>1190</v>
      </c>
      <c r="B1198" s="53" t="n">
        <f aca="true">NORMINV(RAND(),0,B$7)</f>
        <v>-0.159982412632288</v>
      </c>
      <c r="C1198" s="53" t="n">
        <f aca="true">NORMINV(RAND(),0,C$7)</f>
        <v>-0.510599673199488</v>
      </c>
      <c r="D1198" s="53" t="n">
        <f aca="true">NORMINV(RAND(),0,D$7)</f>
        <v>-0.120358633407758</v>
      </c>
      <c r="E1198" s="53" t="n">
        <f aca="true">NORMINV(RAND(),0,E$7)</f>
        <v>-0.219442706373802</v>
      </c>
      <c r="F1198" s="53" t="n">
        <f aca="true">NORMINV(RAND(),0,F$7)</f>
        <v>-0.339204667890891</v>
      </c>
      <c r="G1198" s="53" t="n">
        <f aca="true">NORMINV(RAND(),0,G$7)</f>
        <v>-0.576128302268297</v>
      </c>
      <c r="H1198" s="53" t="n">
        <f aca="true">NORMINV(RAND(),0,H$7)</f>
        <v>0.752424118164021</v>
      </c>
      <c r="I1198" s="53" t="n">
        <f aca="false">SUM(B1198:H1198)</f>
        <v>-1.1732922776085</v>
      </c>
      <c r="J1198" s="53" t="n">
        <f aca="true">NORMINV(RAND(),0,J$7)</f>
        <v>-0.0137614840174651</v>
      </c>
      <c r="K1198" s="53" t="n">
        <f aca="true">NORMINV(RAND(),0,K$7)</f>
        <v>1.38383265017137</v>
      </c>
      <c r="L1198" s="53" t="n">
        <f aca="true">NORMINV(RAND(),0,L$7)</f>
        <v>-0.408348192526098</v>
      </c>
      <c r="M1198" s="53" t="n">
        <f aca="true">NORMINV(RAND(),0,M$7)</f>
        <v>0.28790333943207</v>
      </c>
      <c r="N1198" s="53" t="n">
        <f aca="true">NORMINV(RAND(),0,N$7)</f>
        <v>0.052885296037576</v>
      </c>
      <c r="O1198" s="53" t="n">
        <f aca="false">SUM(J1198:N1198)</f>
        <v>1.30251160909745</v>
      </c>
    </row>
    <row r="1199" customFormat="false" ht="15" hidden="false" customHeight="false" outlineLevel="0" collapsed="false">
      <c r="A1199" s="2" t="n">
        <v>1191</v>
      </c>
      <c r="B1199" s="53" t="n">
        <f aca="true">NORMINV(RAND(),0,B$7)</f>
        <v>-0.369630228890477</v>
      </c>
      <c r="C1199" s="53" t="n">
        <f aca="true">NORMINV(RAND(),0,C$7)</f>
        <v>-2.50401936850517</v>
      </c>
      <c r="D1199" s="53" t="n">
        <f aca="true">NORMINV(RAND(),0,D$7)</f>
        <v>1.34580772573124</v>
      </c>
      <c r="E1199" s="53" t="n">
        <f aca="true">NORMINV(RAND(),0,E$7)</f>
        <v>-0.11783128061303</v>
      </c>
      <c r="F1199" s="53" t="n">
        <f aca="true">NORMINV(RAND(),0,F$7)</f>
        <v>-0.0951165956873167</v>
      </c>
      <c r="G1199" s="53" t="n">
        <f aca="true">NORMINV(RAND(),0,G$7)</f>
        <v>0.523233591994267</v>
      </c>
      <c r="H1199" s="53" t="n">
        <f aca="true">NORMINV(RAND(),0,H$7)</f>
        <v>-0.642830843960143</v>
      </c>
      <c r="I1199" s="53" t="n">
        <f aca="false">SUM(B1199:H1199)</f>
        <v>-1.86038699993062</v>
      </c>
      <c r="J1199" s="53" t="n">
        <f aca="true">NORMINV(RAND(),0,J$7)</f>
        <v>2.53018195481909</v>
      </c>
      <c r="K1199" s="53" t="n">
        <f aca="true">NORMINV(RAND(),0,K$7)</f>
        <v>0.12400184311982</v>
      </c>
      <c r="L1199" s="53" t="n">
        <f aca="true">NORMINV(RAND(),0,L$7)</f>
        <v>0.0233145621387461</v>
      </c>
      <c r="M1199" s="53" t="n">
        <f aca="true">NORMINV(RAND(),0,M$7)</f>
        <v>-0.362057959507142</v>
      </c>
      <c r="N1199" s="53" t="n">
        <f aca="true">NORMINV(RAND(),0,N$7)</f>
        <v>-0.633461656403559</v>
      </c>
      <c r="O1199" s="53" t="n">
        <f aca="false">SUM(J1199:N1199)</f>
        <v>1.68197874416695</v>
      </c>
    </row>
    <row r="1200" customFormat="false" ht="15" hidden="false" customHeight="false" outlineLevel="0" collapsed="false">
      <c r="A1200" s="2" t="n">
        <v>1192</v>
      </c>
      <c r="B1200" s="53" t="n">
        <f aca="true">NORMINV(RAND(),0,B$7)</f>
        <v>3.41609735071051</v>
      </c>
      <c r="C1200" s="53" t="n">
        <f aca="true">NORMINV(RAND(),0,C$7)</f>
        <v>3.96992004403029</v>
      </c>
      <c r="D1200" s="53" t="n">
        <f aca="true">NORMINV(RAND(),0,D$7)</f>
        <v>1.2021776946632</v>
      </c>
      <c r="E1200" s="53" t="n">
        <f aca="true">NORMINV(RAND(),0,E$7)</f>
        <v>-0.17757151236868</v>
      </c>
      <c r="F1200" s="53" t="n">
        <f aca="true">NORMINV(RAND(),0,F$7)</f>
        <v>0.0562058481329483</v>
      </c>
      <c r="G1200" s="53" t="n">
        <f aca="true">NORMINV(RAND(),0,G$7)</f>
        <v>1.61048950349393</v>
      </c>
      <c r="H1200" s="53" t="n">
        <f aca="true">NORMINV(RAND(),0,H$7)</f>
        <v>-0.419218712288178</v>
      </c>
      <c r="I1200" s="53" t="n">
        <f aca="false">SUM(B1200:H1200)</f>
        <v>9.65810021637402</v>
      </c>
      <c r="J1200" s="53" t="n">
        <f aca="true">NORMINV(RAND(),0,J$7)</f>
        <v>0.196821565363187</v>
      </c>
      <c r="K1200" s="53" t="n">
        <f aca="true">NORMINV(RAND(),0,K$7)</f>
        <v>-0.882735879296578</v>
      </c>
      <c r="L1200" s="53" t="n">
        <f aca="true">NORMINV(RAND(),0,L$7)</f>
        <v>0.180993900441036</v>
      </c>
      <c r="M1200" s="53" t="n">
        <f aca="true">NORMINV(RAND(),0,M$7)</f>
        <v>0.184791621710552</v>
      </c>
      <c r="N1200" s="53" t="n">
        <f aca="true">NORMINV(RAND(),0,N$7)</f>
        <v>-0.0868439745192397</v>
      </c>
      <c r="O1200" s="53" t="n">
        <f aca="false">SUM(J1200:N1200)</f>
        <v>-0.406972766301043</v>
      </c>
    </row>
    <row r="1201" customFormat="false" ht="15" hidden="false" customHeight="false" outlineLevel="0" collapsed="false">
      <c r="A1201" s="2" t="n">
        <v>1193</v>
      </c>
      <c r="B1201" s="53" t="n">
        <f aca="true">NORMINV(RAND(),0,B$7)</f>
        <v>0.453495323923764</v>
      </c>
      <c r="C1201" s="53" t="n">
        <f aca="true">NORMINV(RAND(),0,C$7)</f>
        <v>-0.329375916975173</v>
      </c>
      <c r="D1201" s="53" t="n">
        <f aca="true">NORMINV(RAND(),0,D$7)</f>
        <v>0.894548128263857</v>
      </c>
      <c r="E1201" s="53" t="n">
        <f aca="true">NORMINV(RAND(),0,E$7)</f>
        <v>-0.217548343686911</v>
      </c>
      <c r="F1201" s="53" t="n">
        <f aca="true">NORMINV(RAND(),0,F$7)</f>
        <v>0.0731186276095356</v>
      </c>
      <c r="G1201" s="53" t="n">
        <f aca="true">NORMINV(RAND(),0,G$7)</f>
        <v>-0.378138686296591</v>
      </c>
      <c r="H1201" s="53" t="n">
        <f aca="true">NORMINV(RAND(),0,H$7)</f>
        <v>0.103077493580466</v>
      </c>
      <c r="I1201" s="53" t="n">
        <f aca="false">SUM(B1201:H1201)</f>
        <v>0.599176626418948</v>
      </c>
      <c r="J1201" s="53" t="n">
        <f aca="true">NORMINV(RAND(),0,J$7)</f>
        <v>-0.713352210155495</v>
      </c>
      <c r="K1201" s="53" t="n">
        <f aca="true">NORMINV(RAND(),0,K$7)</f>
        <v>0.0819941267858435</v>
      </c>
      <c r="L1201" s="53" t="n">
        <f aca="true">NORMINV(RAND(),0,L$7)</f>
        <v>-0.0467565100918172</v>
      </c>
      <c r="M1201" s="53" t="n">
        <f aca="true">NORMINV(RAND(),0,M$7)</f>
        <v>-0.143153027037807</v>
      </c>
      <c r="N1201" s="53" t="n">
        <f aca="true">NORMINV(RAND(),0,N$7)</f>
        <v>0.0845424797287102</v>
      </c>
      <c r="O1201" s="53" t="n">
        <f aca="false">SUM(J1201:N1201)</f>
        <v>-0.736725140770566</v>
      </c>
    </row>
    <row r="1202" customFormat="false" ht="15" hidden="false" customHeight="false" outlineLevel="0" collapsed="false">
      <c r="A1202" s="2" t="n">
        <v>1194</v>
      </c>
      <c r="B1202" s="53" t="n">
        <f aca="true">NORMINV(RAND(),0,B$7)</f>
        <v>0.819896721607902</v>
      </c>
      <c r="C1202" s="53" t="n">
        <f aca="true">NORMINV(RAND(),0,C$7)</f>
        <v>-0.666388096880612</v>
      </c>
      <c r="D1202" s="53" t="n">
        <f aca="true">NORMINV(RAND(),0,D$7)</f>
        <v>-1.57888904753398</v>
      </c>
      <c r="E1202" s="53" t="n">
        <f aca="true">NORMINV(RAND(),0,E$7)</f>
        <v>0.185897265855206</v>
      </c>
      <c r="F1202" s="53" t="n">
        <f aca="true">NORMINV(RAND(),0,F$7)</f>
        <v>0.0787071618976233</v>
      </c>
      <c r="G1202" s="53" t="n">
        <f aca="true">NORMINV(RAND(),0,G$7)</f>
        <v>1.3553518009404</v>
      </c>
      <c r="H1202" s="53" t="n">
        <f aca="true">NORMINV(RAND(),0,H$7)</f>
        <v>-0.600936646913771</v>
      </c>
      <c r="I1202" s="53" t="n">
        <f aca="false">SUM(B1202:H1202)</f>
        <v>-0.406360841027229</v>
      </c>
      <c r="J1202" s="53" t="n">
        <f aca="true">NORMINV(RAND(),0,J$7)</f>
        <v>-2.01431623890417</v>
      </c>
      <c r="K1202" s="53" t="n">
        <f aca="true">NORMINV(RAND(),0,K$7)</f>
        <v>1.16826770104106</v>
      </c>
      <c r="L1202" s="53" t="n">
        <f aca="true">NORMINV(RAND(),0,L$7)</f>
        <v>-0.13154031355583</v>
      </c>
      <c r="M1202" s="53" t="n">
        <f aca="true">NORMINV(RAND(),0,M$7)</f>
        <v>0.219599125309874</v>
      </c>
      <c r="N1202" s="53" t="n">
        <f aca="true">NORMINV(RAND(),0,N$7)</f>
        <v>-0.0520477974263365</v>
      </c>
      <c r="O1202" s="53" t="n">
        <f aca="false">SUM(J1202:N1202)</f>
        <v>-0.810037523535404</v>
      </c>
    </row>
    <row r="1203" customFormat="false" ht="15" hidden="false" customHeight="false" outlineLevel="0" collapsed="false">
      <c r="A1203" s="2" t="n">
        <v>1195</v>
      </c>
      <c r="B1203" s="53" t="n">
        <f aca="true">NORMINV(RAND(),0,B$7)</f>
        <v>4.22215696329509</v>
      </c>
      <c r="C1203" s="53" t="n">
        <f aca="true">NORMINV(RAND(),0,C$7)</f>
        <v>-1.17369199933334</v>
      </c>
      <c r="D1203" s="53" t="n">
        <f aca="true">NORMINV(RAND(),0,D$7)</f>
        <v>1.17070923153594</v>
      </c>
      <c r="E1203" s="53" t="n">
        <f aca="true">NORMINV(RAND(),0,E$7)</f>
        <v>0.904489879165219</v>
      </c>
      <c r="F1203" s="53" t="n">
        <f aca="true">NORMINV(RAND(),0,F$7)</f>
        <v>-0.508345264495504</v>
      </c>
      <c r="G1203" s="53" t="n">
        <f aca="true">NORMINV(RAND(),0,G$7)</f>
        <v>1.11810375492935</v>
      </c>
      <c r="H1203" s="53" t="n">
        <f aca="true">NORMINV(RAND(),0,H$7)</f>
        <v>-0.251622523325497</v>
      </c>
      <c r="I1203" s="53" t="n">
        <f aca="false">SUM(B1203:H1203)</f>
        <v>5.48180004177126</v>
      </c>
      <c r="J1203" s="53" t="n">
        <f aca="true">NORMINV(RAND(),0,J$7)</f>
        <v>3.02886236295408</v>
      </c>
      <c r="K1203" s="53" t="n">
        <f aca="true">NORMINV(RAND(),0,K$7)</f>
        <v>-0.063243491367801</v>
      </c>
      <c r="L1203" s="53" t="n">
        <f aca="true">NORMINV(RAND(),0,L$7)</f>
        <v>0.226926878812947</v>
      </c>
      <c r="M1203" s="53" t="n">
        <f aca="true">NORMINV(RAND(),0,M$7)</f>
        <v>-0.383046279430504</v>
      </c>
      <c r="N1203" s="53" t="n">
        <f aca="true">NORMINV(RAND(),0,N$7)</f>
        <v>0.0852112414095806</v>
      </c>
      <c r="O1203" s="53" t="n">
        <f aca="false">SUM(J1203:N1203)</f>
        <v>2.8947107123783</v>
      </c>
    </row>
    <row r="1204" customFormat="false" ht="15" hidden="false" customHeight="false" outlineLevel="0" collapsed="false">
      <c r="A1204" s="2" t="n">
        <v>1196</v>
      </c>
      <c r="B1204" s="53" t="n">
        <f aca="true">NORMINV(RAND(),0,B$7)</f>
        <v>-1.49967754780744</v>
      </c>
      <c r="C1204" s="53" t="n">
        <f aca="true">NORMINV(RAND(),0,C$7)</f>
        <v>-0.86875993490991</v>
      </c>
      <c r="D1204" s="53" t="n">
        <f aca="true">NORMINV(RAND(),0,D$7)</f>
        <v>-0.672068311152459</v>
      </c>
      <c r="E1204" s="53" t="n">
        <f aca="true">NORMINV(RAND(),0,E$7)</f>
        <v>0.180058749212004</v>
      </c>
      <c r="F1204" s="53" t="n">
        <f aca="true">NORMINV(RAND(),0,F$7)</f>
        <v>-0.0283471355362257</v>
      </c>
      <c r="G1204" s="53" t="n">
        <f aca="true">NORMINV(RAND(),0,G$7)</f>
        <v>-0.129411220278011</v>
      </c>
      <c r="H1204" s="53" t="n">
        <f aca="true">NORMINV(RAND(),0,H$7)</f>
        <v>0.403905748719336</v>
      </c>
      <c r="I1204" s="53" t="n">
        <f aca="false">SUM(B1204:H1204)</f>
        <v>-2.6142996517527</v>
      </c>
      <c r="J1204" s="53" t="n">
        <f aca="true">NORMINV(RAND(),0,J$7)</f>
        <v>3.22097010122562</v>
      </c>
      <c r="K1204" s="53" t="n">
        <f aca="true">NORMINV(RAND(),0,K$7)</f>
        <v>-0.710756434528206</v>
      </c>
      <c r="L1204" s="53" t="n">
        <f aca="true">NORMINV(RAND(),0,L$7)</f>
        <v>-0.333319169132379</v>
      </c>
      <c r="M1204" s="53" t="n">
        <f aca="true">NORMINV(RAND(),0,M$7)</f>
        <v>0.296373147720106</v>
      </c>
      <c r="N1204" s="53" t="n">
        <f aca="true">NORMINV(RAND(),0,N$7)</f>
        <v>0.271593994784898</v>
      </c>
      <c r="O1204" s="53" t="n">
        <f aca="false">SUM(J1204:N1204)</f>
        <v>2.74486164007004</v>
      </c>
    </row>
    <row r="1205" customFormat="false" ht="15" hidden="false" customHeight="false" outlineLevel="0" collapsed="false">
      <c r="A1205" s="2" t="n">
        <v>1197</v>
      </c>
      <c r="B1205" s="53" t="n">
        <f aca="true">NORMINV(RAND(),0,B$7)</f>
        <v>-1.27617662485489</v>
      </c>
      <c r="C1205" s="53" t="n">
        <f aca="true">NORMINV(RAND(),0,C$7)</f>
        <v>-1.69693139803896</v>
      </c>
      <c r="D1205" s="53" t="n">
        <f aca="true">NORMINV(RAND(),0,D$7)</f>
        <v>-0.326876957775061</v>
      </c>
      <c r="E1205" s="53" t="n">
        <f aca="true">NORMINV(RAND(),0,E$7)</f>
        <v>0.339685889610883</v>
      </c>
      <c r="F1205" s="53" t="n">
        <f aca="true">NORMINV(RAND(),0,F$7)</f>
        <v>0.148464861264255</v>
      </c>
      <c r="G1205" s="53" t="n">
        <f aca="true">NORMINV(RAND(),0,G$7)</f>
        <v>-1.29856957237772</v>
      </c>
      <c r="H1205" s="53" t="n">
        <f aca="true">NORMINV(RAND(),0,H$7)</f>
        <v>-0.429360446079681</v>
      </c>
      <c r="I1205" s="53" t="n">
        <f aca="false">SUM(B1205:H1205)</f>
        <v>-4.53976424825118</v>
      </c>
      <c r="J1205" s="53" t="n">
        <f aca="true">NORMINV(RAND(),0,J$7)</f>
        <v>-0.483669725540757</v>
      </c>
      <c r="K1205" s="53" t="n">
        <f aca="true">NORMINV(RAND(),0,K$7)</f>
        <v>1.01014481932521</v>
      </c>
      <c r="L1205" s="53" t="n">
        <f aca="true">NORMINV(RAND(),0,L$7)</f>
        <v>0.72862259385755</v>
      </c>
      <c r="M1205" s="53" t="n">
        <f aca="true">NORMINV(RAND(),0,M$7)</f>
        <v>0.0821469691152289</v>
      </c>
      <c r="N1205" s="53" t="n">
        <f aca="true">NORMINV(RAND(),0,N$7)</f>
        <v>-0.142658790596625</v>
      </c>
      <c r="O1205" s="53" t="n">
        <f aca="false">SUM(J1205:N1205)</f>
        <v>1.19458586616061</v>
      </c>
    </row>
    <row r="1206" customFormat="false" ht="15" hidden="false" customHeight="false" outlineLevel="0" collapsed="false">
      <c r="A1206" s="2" t="n">
        <v>1198</v>
      </c>
      <c r="B1206" s="53" t="n">
        <f aca="true">NORMINV(RAND(),0,B$7)</f>
        <v>-0.321992820283362</v>
      </c>
      <c r="C1206" s="53" t="n">
        <f aca="true">NORMINV(RAND(),0,C$7)</f>
        <v>-3.04590070482421</v>
      </c>
      <c r="D1206" s="53" t="n">
        <f aca="true">NORMINV(RAND(),0,D$7)</f>
        <v>-0.264497943723828</v>
      </c>
      <c r="E1206" s="53" t="n">
        <f aca="true">NORMINV(RAND(),0,E$7)</f>
        <v>-0.217301252354757</v>
      </c>
      <c r="F1206" s="53" t="n">
        <f aca="true">NORMINV(RAND(),0,F$7)</f>
        <v>0.598012703800244</v>
      </c>
      <c r="G1206" s="53" t="n">
        <f aca="true">NORMINV(RAND(),0,G$7)</f>
        <v>1.78922080263701</v>
      </c>
      <c r="H1206" s="53" t="n">
        <f aca="true">NORMINV(RAND(),0,H$7)</f>
        <v>-0.033184964937034</v>
      </c>
      <c r="I1206" s="53" t="n">
        <f aca="false">SUM(B1206:H1206)</f>
        <v>-1.49564417968593</v>
      </c>
      <c r="J1206" s="53" t="n">
        <f aca="true">NORMINV(RAND(),0,J$7)</f>
        <v>5.84067934396323</v>
      </c>
      <c r="K1206" s="53" t="n">
        <f aca="true">NORMINV(RAND(),0,K$7)</f>
        <v>0.202079060073831</v>
      </c>
      <c r="L1206" s="53" t="n">
        <f aca="true">NORMINV(RAND(),0,L$7)</f>
        <v>0.117043597017707</v>
      </c>
      <c r="M1206" s="53" t="n">
        <f aca="true">NORMINV(RAND(),0,M$7)</f>
        <v>-0.318234283688343</v>
      </c>
      <c r="N1206" s="53" t="n">
        <f aca="true">NORMINV(RAND(),0,N$7)</f>
        <v>-0.0977249351952773</v>
      </c>
      <c r="O1206" s="53" t="n">
        <f aca="false">SUM(J1206:N1206)</f>
        <v>5.74384278217115</v>
      </c>
    </row>
    <row r="1207" customFormat="false" ht="15" hidden="false" customHeight="false" outlineLevel="0" collapsed="false">
      <c r="A1207" s="2" t="n">
        <v>1199</v>
      </c>
      <c r="B1207" s="53" t="n">
        <f aca="true">NORMINV(RAND(),0,B$7)</f>
        <v>-1.86805748397279</v>
      </c>
      <c r="C1207" s="53" t="n">
        <f aca="true">NORMINV(RAND(),0,C$7)</f>
        <v>-1.13174160893235</v>
      </c>
      <c r="D1207" s="53" t="n">
        <f aca="true">NORMINV(RAND(),0,D$7)</f>
        <v>1.55046284727577</v>
      </c>
      <c r="E1207" s="53" t="n">
        <f aca="true">NORMINV(RAND(),0,E$7)</f>
        <v>0.126480481883402</v>
      </c>
      <c r="F1207" s="53" t="n">
        <f aca="true">NORMINV(RAND(),0,F$7)</f>
        <v>0.0296403996687053</v>
      </c>
      <c r="G1207" s="53" t="n">
        <f aca="true">NORMINV(RAND(),0,G$7)</f>
        <v>1.52487766196873</v>
      </c>
      <c r="H1207" s="53" t="n">
        <f aca="true">NORMINV(RAND(),0,H$7)</f>
        <v>0.0496038810615741</v>
      </c>
      <c r="I1207" s="53" t="n">
        <f aca="false">SUM(B1207:H1207)</f>
        <v>0.281266178953035</v>
      </c>
      <c r="J1207" s="53" t="n">
        <f aca="true">NORMINV(RAND(),0,J$7)</f>
        <v>-1.99809178224504</v>
      </c>
      <c r="K1207" s="53" t="n">
        <f aca="true">NORMINV(RAND(),0,K$7)</f>
        <v>0.131581026819368</v>
      </c>
      <c r="L1207" s="53" t="n">
        <f aca="true">NORMINV(RAND(),0,L$7)</f>
        <v>-0.282573568773679</v>
      </c>
      <c r="M1207" s="53" t="n">
        <f aca="true">NORMINV(RAND(),0,M$7)</f>
        <v>-0.0787467924707003</v>
      </c>
      <c r="N1207" s="53" t="n">
        <f aca="true">NORMINV(RAND(),0,N$7)</f>
        <v>-0.350918492567713</v>
      </c>
      <c r="O1207" s="53" t="n">
        <f aca="false">SUM(J1207:N1207)</f>
        <v>-2.57874960923777</v>
      </c>
    </row>
    <row r="1208" customFormat="false" ht="15" hidden="false" customHeight="false" outlineLevel="0" collapsed="false">
      <c r="A1208" s="2" t="n">
        <v>1200</v>
      </c>
      <c r="B1208" s="53" t="n">
        <f aca="true">NORMINV(RAND(),0,B$7)</f>
        <v>-0.257841363971997</v>
      </c>
      <c r="C1208" s="53" t="n">
        <f aca="true">NORMINV(RAND(),0,C$7)</f>
        <v>1.4874638199741</v>
      </c>
      <c r="D1208" s="53" t="n">
        <f aca="true">NORMINV(RAND(),0,D$7)</f>
        <v>-1.61428779738722</v>
      </c>
      <c r="E1208" s="53" t="n">
        <f aca="true">NORMINV(RAND(),0,E$7)</f>
        <v>0.538162497110932</v>
      </c>
      <c r="F1208" s="53" t="n">
        <f aca="true">NORMINV(RAND(),0,F$7)</f>
        <v>-0.0352122679423339</v>
      </c>
      <c r="G1208" s="53" t="n">
        <f aca="true">NORMINV(RAND(),0,G$7)</f>
        <v>-0.0529213506625389</v>
      </c>
      <c r="H1208" s="53" t="n">
        <f aca="true">NORMINV(RAND(),0,H$7)</f>
        <v>0.0544700082262894</v>
      </c>
      <c r="I1208" s="53" t="n">
        <f aca="false">SUM(B1208:H1208)</f>
        <v>0.119833545347237</v>
      </c>
      <c r="J1208" s="53" t="n">
        <f aca="true">NORMINV(RAND(),0,J$7)</f>
        <v>-0.971571436821495</v>
      </c>
      <c r="K1208" s="53" t="n">
        <f aca="true">NORMINV(RAND(),0,K$7)</f>
        <v>1.09937344193567</v>
      </c>
      <c r="L1208" s="53" t="n">
        <f aca="true">NORMINV(RAND(),0,L$7)</f>
        <v>-0.103931238608805</v>
      </c>
      <c r="M1208" s="53" t="n">
        <f aca="true">NORMINV(RAND(),0,M$7)</f>
        <v>-0.301375153870539</v>
      </c>
      <c r="N1208" s="53" t="n">
        <f aca="true">NORMINV(RAND(),0,N$7)</f>
        <v>0.0411314549046083</v>
      </c>
      <c r="O1208" s="53" t="n">
        <f aca="false">SUM(J1208:N1208)</f>
        <v>-0.236372932460559</v>
      </c>
    </row>
    <row r="1209" customFormat="false" ht="15" hidden="false" customHeight="false" outlineLevel="0" collapsed="false">
      <c r="A1209" s="2" t="n">
        <v>1201</v>
      </c>
      <c r="B1209" s="53" t="n">
        <f aca="true">NORMINV(RAND(),0,B$7)</f>
        <v>1.56566234333359</v>
      </c>
      <c r="C1209" s="53" t="n">
        <f aca="true">NORMINV(RAND(),0,C$7)</f>
        <v>1.08166357407577</v>
      </c>
      <c r="D1209" s="53" t="n">
        <f aca="true">NORMINV(RAND(),0,D$7)</f>
        <v>-0.431568395149491</v>
      </c>
      <c r="E1209" s="53" t="n">
        <f aca="true">NORMINV(RAND(),0,E$7)</f>
        <v>-0.433975527954259</v>
      </c>
      <c r="F1209" s="53" t="n">
        <f aca="true">NORMINV(RAND(),0,F$7)</f>
        <v>-0.255164076373083</v>
      </c>
      <c r="G1209" s="53" t="n">
        <f aca="true">NORMINV(RAND(),0,G$7)</f>
        <v>3.21100734809545</v>
      </c>
      <c r="H1209" s="53" t="n">
        <f aca="true">NORMINV(RAND(),0,H$7)</f>
        <v>0.429197895798859</v>
      </c>
      <c r="I1209" s="53" t="n">
        <f aca="false">SUM(B1209:H1209)</f>
        <v>5.16682316182683</v>
      </c>
      <c r="J1209" s="53" t="n">
        <f aca="true">NORMINV(RAND(),0,J$7)</f>
        <v>0.256099010806298</v>
      </c>
      <c r="K1209" s="53" t="n">
        <f aca="true">NORMINV(RAND(),0,K$7)</f>
        <v>-0.145616583685304</v>
      </c>
      <c r="L1209" s="53" t="n">
        <f aca="true">NORMINV(RAND(),0,L$7)</f>
        <v>-0.266344195038213</v>
      </c>
      <c r="M1209" s="53" t="n">
        <f aca="true">NORMINV(RAND(),0,M$7)</f>
        <v>0.0138120656659818</v>
      </c>
      <c r="N1209" s="53" t="n">
        <f aca="true">NORMINV(RAND(),0,N$7)</f>
        <v>-0.138707173023893</v>
      </c>
      <c r="O1209" s="53" t="n">
        <f aca="false">SUM(J1209:N1209)</f>
        <v>-0.280756875275131</v>
      </c>
    </row>
    <row r="1210" customFormat="false" ht="15" hidden="false" customHeight="false" outlineLevel="0" collapsed="false">
      <c r="A1210" s="2" t="n">
        <v>1202</v>
      </c>
      <c r="B1210" s="53" t="n">
        <f aca="true">NORMINV(RAND(),0,B$7)</f>
        <v>-0.715753693571991</v>
      </c>
      <c r="C1210" s="53" t="n">
        <f aca="true">NORMINV(RAND(),0,C$7)</f>
        <v>-1.42373578190713</v>
      </c>
      <c r="D1210" s="53" t="n">
        <f aca="true">NORMINV(RAND(),0,D$7)</f>
        <v>3.09027943516013</v>
      </c>
      <c r="E1210" s="53" t="n">
        <f aca="true">NORMINV(RAND(),0,E$7)</f>
        <v>0.0529999343863389</v>
      </c>
      <c r="F1210" s="53" t="n">
        <f aca="true">NORMINV(RAND(),0,F$7)</f>
        <v>0.0438450231305888</v>
      </c>
      <c r="G1210" s="53" t="n">
        <f aca="true">NORMINV(RAND(),0,G$7)</f>
        <v>0.862664583925987</v>
      </c>
      <c r="H1210" s="53" t="n">
        <f aca="true">NORMINV(RAND(),0,H$7)</f>
        <v>-0.203481989525398</v>
      </c>
      <c r="I1210" s="53" t="n">
        <f aca="false">SUM(B1210:H1210)</f>
        <v>1.70681751159852</v>
      </c>
      <c r="J1210" s="53" t="n">
        <f aca="true">NORMINV(RAND(),0,J$7)</f>
        <v>-3.47740372291203</v>
      </c>
      <c r="K1210" s="53" t="n">
        <f aca="true">NORMINV(RAND(),0,K$7)</f>
        <v>0.0708093845257653</v>
      </c>
      <c r="L1210" s="53" t="n">
        <f aca="true">NORMINV(RAND(),0,L$7)</f>
        <v>-0.306082798533323</v>
      </c>
      <c r="M1210" s="53" t="n">
        <f aca="true">NORMINV(RAND(),0,M$7)</f>
        <v>0.144407907757419</v>
      </c>
      <c r="N1210" s="53" t="n">
        <f aca="true">NORMINV(RAND(),0,N$7)</f>
        <v>0.542596391546351</v>
      </c>
      <c r="O1210" s="53" t="n">
        <f aca="false">SUM(J1210:N1210)</f>
        <v>-3.02567283761582</v>
      </c>
    </row>
    <row r="1211" customFormat="false" ht="15" hidden="false" customHeight="false" outlineLevel="0" collapsed="false">
      <c r="A1211" s="2" t="n">
        <v>1203</v>
      </c>
      <c r="B1211" s="53" t="n">
        <f aca="true">NORMINV(RAND(),0,B$7)</f>
        <v>-0.713073928235742</v>
      </c>
      <c r="C1211" s="53" t="n">
        <f aca="true">NORMINV(RAND(),0,C$7)</f>
        <v>-1.36253348134895</v>
      </c>
      <c r="D1211" s="53" t="n">
        <f aca="true">NORMINV(RAND(),0,D$7)</f>
        <v>-3.08344403789094</v>
      </c>
      <c r="E1211" s="53" t="n">
        <f aca="true">NORMINV(RAND(),0,E$7)</f>
        <v>-0.352111448232519</v>
      </c>
      <c r="F1211" s="53" t="n">
        <f aca="true">NORMINV(RAND(),0,F$7)</f>
        <v>-0.167711709938603</v>
      </c>
      <c r="G1211" s="53" t="n">
        <f aca="true">NORMINV(RAND(),0,G$7)</f>
        <v>-1.10324857681816</v>
      </c>
      <c r="H1211" s="53" t="n">
        <f aca="true">NORMINV(RAND(),0,H$7)</f>
        <v>-0.666667594720594</v>
      </c>
      <c r="I1211" s="53" t="n">
        <f aca="false">SUM(B1211:H1211)</f>
        <v>-7.44879077718551</v>
      </c>
      <c r="J1211" s="53" t="n">
        <f aca="true">NORMINV(RAND(),0,J$7)</f>
        <v>-0.628978232802803</v>
      </c>
      <c r="K1211" s="53" t="n">
        <f aca="true">NORMINV(RAND(),0,K$7)</f>
        <v>0.697863333420121</v>
      </c>
      <c r="L1211" s="53" t="n">
        <f aca="true">NORMINV(RAND(),0,L$7)</f>
        <v>-0.447575018475143</v>
      </c>
      <c r="M1211" s="53" t="n">
        <f aca="true">NORMINV(RAND(),0,M$7)</f>
        <v>-0.254884874779148</v>
      </c>
      <c r="N1211" s="53" t="n">
        <f aca="true">NORMINV(RAND(),0,N$7)</f>
        <v>-0.358839247845876</v>
      </c>
      <c r="O1211" s="53" t="n">
        <f aca="false">SUM(J1211:N1211)</f>
        <v>-0.992414040482849</v>
      </c>
    </row>
    <row r="1212" customFormat="false" ht="15" hidden="false" customHeight="false" outlineLevel="0" collapsed="false">
      <c r="A1212" s="2" t="n">
        <v>1204</v>
      </c>
      <c r="B1212" s="53" t="n">
        <f aca="true">NORMINV(RAND(),0,B$7)</f>
        <v>0.253261620725337</v>
      </c>
      <c r="C1212" s="53" t="n">
        <f aca="true">NORMINV(RAND(),0,C$7)</f>
        <v>-0.899653858877387</v>
      </c>
      <c r="D1212" s="53" t="n">
        <f aca="true">NORMINV(RAND(),0,D$7)</f>
        <v>1.53916828338104</v>
      </c>
      <c r="E1212" s="53" t="n">
        <f aca="true">NORMINV(RAND(),0,E$7)</f>
        <v>-0.470244292203783</v>
      </c>
      <c r="F1212" s="53" t="n">
        <f aca="true">NORMINV(RAND(),0,F$7)</f>
        <v>0.116665189945681</v>
      </c>
      <c r="G1212" s="53" t="n">
        <f aca="true">NORMINV(RAND(),0,G$7)</f>
        <v>-0.964425020465997</v>
      </c>
      <c r="H1212" s="53" t="n">
        <f aca="true">NORMINV(RAND(),0,H$7)</f>
        <v>-0.0452364591702485</v>
      </c>
      <c r="I1212" s="53" t="n">
        <f aca="false">SUM(B1212:H1212)</f>
        <v>-0.470464536665361</v>
      </c>
      <c r="J1212" s="53" t="n">
        <f aca="true">NORMINV(RAND(),0,J$7)</f>
        <v>-0.389067650234897</v>
      </c>
      <c r="K1212" s="53" t="n">
        <f aca="true">NORMINV(RAND(),0,K$7)</f>
        <v>-0.809916091723973</v>
      </c>
      <c r="L1212" s="53" t="n">
        <f aca="true">NORMINV(RAND(),0,L$7)</f>
        <v>0.137356010768273</v>
      </c>
      <c r="M1212" s="53" t="n">
        <f aca="true">NORMINV(RAND(),0,M$7)</f>
        <v>0.254823476538927</v>
      </c>
      <c r="N1212" s="53" t="n">
        <f aca="true">NORMINV(RAND(),0,N$7)</f>
        <v>-0.227828761876041</v>
      </c>
      <c r="O1212" s="53" t="n">
        <f aca="false">SUM(J1212:N1212)</f>
        <v>-1.03463301652771</v>
      </c>
    </row>
    <row r="1213" customFormat="false" ht="15" hidden="false" customHeight="false" outlineLevel="0" collapsed="false">
      <c r="A1213" s="2" t="n">
        <v>1205</v>
      </c>
      <c r="B1213" s="53" t="n">
        <f aca="true">NORMINV(RAND(),0,B$7)</f>
        <v>-1.36149768136145</v>
      </c>
      <c r="C1213" s="53" t="n">
        <f aca="true">NORMINV(RAND(),0,C$7)</f>
        <v>-0.176138478475924</v>
      </c>
      <c r="D1213" s="53" t="n">
        <f aca="true">NORMINV(RAND(),0,D$7)</f>
        <v>1.16715535815398</v>
      </c>
      <c r="E1213" s="53" t="n">
        <f aca="true">NORMINV(RAND(),0,E$7)</f>
        <v>-0.450354167784194</v>
      </c>
      <c r="F1213" s="53" t="n">
        <f aca="true">NORMINV(RAND(),0,F$7)</f>
        <v>0.627078042398263</v>
      </c>
      <c r="G1213" s="53" t="n">
        <f aca="true">NORMINV(RAND(),0,G$7)</f>
        <v>0.115021564315612</v>
      </c>
      <c r="H1213" s="53" t="n">
        <f aca="true">NORMINV(RAND(),0,H$7)</f>
        <v>0.0157397425437926</v>
      </c>
      <c r="I1213" s="53" t="n">
        <f aca="false">SUM(B1213:H1213)</f>
        <v>-0.0629956202099223</v>
      </c>
      <c r="J1213" s="53" t="n">
        <f aca="true">NORMINV(RAND(),0,J$7)</f>
        <v>0.68988185827683</v>
      </c>
      <c r="K1213" s="53" t="n">
        <f aca="true">NORMINV(RAND(),0,K$7)</f>
        <v>-1.14251290276163</v>
      </c>
      <c r="L1213" s="53" t="n">
        <f aca="true">NORMINV(RAND(),0,L$7)</f>
        <v>-0.255395534828114</v>
      </c>
      <c r="M1213" s="53" t="n">
        <f aca="true">NORMINV(RAND(),0,M$7)</f>
        <v>0.417368226133429</v>
      </c>
      <c r="N1213" s="53" t="n">
        <f aca="true">NORMINV(RAND(),0,N$7)</f>
        <v>-0.164914467248501</v>
      </c>
      <c r="O1213" s="53" t="n">
        <f aca="false">SUM(J1213:N1213)</f>
        <v>-0.455572820427984</v>
      </c>
    </row>
    <row r="1214" customFormat="false" ht="15" hidden="false" customHeight="false" outlineLevel="0" collapsed="false">
      <c r="A1214" s="2" t="n">
        <v>1206</v>
      </c>
      <c r="B1214" s="53" t="n">
        <f aca="true">NORMINV(RAND(),0,B$7)</f>
        <v>-1.96830492180437</v>
      </c>
      <c r="C1214" s="53" t="n">
        <f aca="true">NORMINV(RAND(),0,C$7)</f>
        <v>-0.403953310206771</v>
      </c>
      <c r="D1214" s="53" t="n">
        <f aca="true">NORMINV(RAND(),0,D$7)</f>
        <v>1.90829868026348</v>
      </c>
      <c r="E1214" s="53" t="n">
        <f aca="true">NORMINV(RAND(),0,E$7)</f>
        <v>-0.199854786471394</v>
      </c>
      <c r="F1214" s="53" t="n">
        <f aca="true">NORMINV(RAND(),0,F$7)</f>
        <v>0.0990888671721803</v>
      </c>
      <c r="G1214" s="53" t="n">
        <f aca="true">NORMINV(RAND(),0,G$7)</f>
        <v>0.0469100866266512</v>
      </c>
      <c r="H1214" s="53" t="n">
        <f aca="true">NORMINV(RAND(),0,H$7)</f>
        <v>-0.0611414615834344</v>
      </c>
      <c r="I1214" s="53" t="n">
        <f aca="false">SUM(B1214:H1214)</f>
        <v>-0.578956846003654</v>
      </c>
      <c r="J1214" s="53" t="n">
        <f aca="true">NORMINV(RAND(),0,J$7)</f>
        <v>-0.123673706438158</v>
      </c>
      <c r="K1214" s="53" t="n">
        <f aca="true">NORMINV(RAND(),0,K$7)</f>
        <v>-0.925452935536443</v>
      </c>
      <c r="L1214" s="53" t="n">
        <f aca="true">NORMINV(RAND(),0,L$7)</f>
        <v>0.0827850905249822</v>
      </c>
      <c r="M1214" s="53" t="n">
        <f aca="true">NORMINV(RAND(),0,M$7)</f>
        <v>0.149987001805504</v>
      </c>
      <c r="N1214" s="53" t="n">
        <f aca="true">NORMINV(RAND(),0,N$7)</f>
        <v>-0.108928426198954</v>
      </c>
      <c r="O1214" s="53" t="n">
        <f aca="false">SUM(J1214:N1214)</f>
        <v>-0.925282975843068</v>
      </c>
    </row>
    <row r="1215" customFormat="false" ht="15" hidden="false" customHeight="false" outlineLevel="0" collapsed="false">
      <c r="A1215" s="2" t="n">
        <v>1207</v>
      </c>
      <c r="B1215" s="53" t="n">
        <f aca="true">NORMINV(RAND(),0,B$7)</f>
        <v>2.24355999867787</v>
      </c>
      <c r="C1215" s="53" t="n">
        <f aca="true">NORMINV(RAND(),0,C$7)</f>
        <v>2.8491747283894</v>
      </c>
      <c r="D1215" s="53" t="n">
        <f aca="true">NORMINV(RAND(),0,D$7)</f>
        <v>1.96031691287191</v>
      </c>
      <c r="E1215" s="53" t="n">
        <f aca="true">NORMINV(RAND(),0,E$7)</f>
        <v>0.27078012601291</v>
      </c>
      <c r="F1215" s="53" t="n">
        <f aca="true">NORMINV(RAND(),0,F$7)</f>
        <v>-0.0953767093183363</v>
      </c>
      <c r="G1215" s="53" t="n">
        <f aca="true">NORMINV(RAND(),0,G$7)</f>
        <v>0.66468346775825</v>
      </c>
      <c r="H1215" s="53" t="n">
        <f aca="true">NORMINV(RAND(),0,H$7)</f>
        <v>0.0455824718935039</v>
      </c>
      <c r="I1215" s="53" t="n">
        <f aca="false">SUM(B1215:H1215)</f>
        <v>7.9387209962855</v>
      </c>
      <c r="J1215" s="53" t="n">
        <f aca="true">NORMINV(RAND(),0,J$7)</f>
        <v>-2.84399252225789</v>
      </c>
      <c r="K1215" s="53" t="n">
        <f aca="true">NORMINV(RAND(),0,K$7)</f>
        <v>-0.888194043648653</v>
      </c>
      <c r="L1215" s="53" t="n">
        <f aca="true">NORMINV(RAND(),0,L$7)</f>
        <v>0.0300076050698779</v>
      </c>
      <c r="M1215" s="53" t="n">
        <f aca="true">NORMINV(RAND(),0,M$7)</f>
        <v>-0.307239437950214</v>
      </c>
      <c r="N1215" s="53" t="n">
        <f aca="true">NORMINV(RAND(),0,N$7)</f>
        <v>-0.347102437781773</v>
      </c>
      <c r="O1215" s="53" t="n">
        <f aca="false">SUM(J1215:N1215)</f>
        <v>-4.35652083656865</v>
      </c>
    </row>
    <row r="1216" customFormat="false" ht="15" hidden="false" customHeight="false" outlineLevel="0" collapsed="false">
      <c r="A1216" s="2" t="n">
        <v>1208</v>
      </c>
      <c r="B1216" s="53" t="n">
        <f aca="true">NORMINV(RAND(),0,B$7)</f>
        <v>-1.15171524809082</v>
      </c>
      <c r="C1216" s="53" t="n">
        <f aca="true">NORMINV(RAND(),0,C$7)</f>
        <v>-3.13231853444209</v>
      </c>
      <c r="D1216" s="53" t="n">
        <f aca="true">NORMINV(RAND(),0,D$7)</f>
        <v>1.83769052955769</v>
      </c>
      <c r="E1216" s="53" t="n">
        <f aca="true">NORMINV(RAND(),0,E$7)</f>
        <v>0.314220262350607</v>
      </c>
      <c r="F1216" s="53" t="n">
        <f aca="true">NORMINV(RAND(),0,F$7)</f>
        <v>0.814351597545129</v>
      </c>
      <c r="G1216" s="53" t="n">
        <f aca="true">NORMINV(RAND(),0,G$7)</f>
        <v>-0.277611044884382</v>
      </c>
      <c r="H1216" s="53" t="n">
        <f aca="true">NORMINV(RAND(),0,H$7)</f>
        <v>-0.422232582274455</v>
      </c>
      <c r="I1216" s="53" t="n">
        <f aca="false">SUM(B1216:H1216)</f>
        <v>-2.01761502023832</v>
      </c>
      <c r="J1216" s="53" t="n">
        <f aca="true">NORMINV(RAND(),0,J$7)</f>
        <v>0.226061163710779</v>
      </c>
      <c r="K1216" s="53" t="n">
        <f aca="true">NORMINV(RAND(),0,K$7)</f>
        <v>-1.23487640257839</v>
      </c>
      <c r="L1216" s="53" t="n">
        <f aca="true">NORMINV(RAND(),0,L$7)</f>
        <v>0.245066498870658</v>
      </c>
      <c r="M1216" s="53" t="n">
        <f aca="true">NORMINV(RAND(),0,M$7)</f>
        <v>-0.384011884629488</v>
      </c>
      <c r="N1216" s="53" t="n">
        <f aca="true">NORMINV(RAND(),0,N$7)</f>
        <v>-0.150079897197879</v>
      </c>
      <c r="O1216" s="53" t="n">
        <f aca="false">SUM(J1216:N1216)</f>
        <v>-1.29784052182432</v>
      </c>
    </row>
    <row r="1217" customFormat="false" ht="15" hidden="false" customHeight="false" outlineLevel="0" collapsed="false">
      <c r="A1217" s="2" t="n">
        <v>1209</v>
      </c>
      <c r="B1217" s="53" t="n">
        <f aca="true">NORMINV(RAND(),0,B$7)</f>
        <v>0.903355660083419</v>
      </c>
      <c r="C1217" s="53" t="n">
        <f aca="true">NORMINV(RAND(),0,C$7)</f>
        <v>0.340495371495622</v>
      </c>
      <c r="D1217" s="53" t="n">
        <f aca="true">NORMINV(RAND(),0,D$7)</f>
        <v>-0.459275301018259</v>
      </c>
      <c r="E1217" s="53" t="n">
        <f aca="true">NORMINV(RAND(),0,E$7)</f>
        <v>0.150695354034249</v>
      </c>
      <c r="F1217" s="53" t="n">
        <f aca="true">NORMINV(RAND(),0,F$7)</f>
        <v>-0.39746164650584</v>
      </c>
      <c r="G1217" s="53" t="n">
        <f aca="true">NORMINV(RAND(),0,G$7)</f>
        <v>0.413195465373946</v>
      </c>
      <c r="H1217" s="53" t="n">
        <f aca="true">NORMINV(RAND(),0,H$7)</f>
        <v>-0.101534044571315</v>
      </c>
      <c r="I1217" s="53" t="n">
        <f aca="false">SUM(B1217:H1217)</f>
        <v>0.849470858891821</v>
      </c>
      <c r="J1217" s="53" t="n">
        <f aca="true">NORMINV(RAND(),0,J$7)</f>
        <v>1.69597876505028</v>
      </c>
      <c r="K1217" s="53" t="n">
        <f aca="true">NORMINV(RAND(),0,K$7)</f>
        <v>-0.147155718909558</v>
      </c>
      <c r="L1217" s="53" t="n">
        <f aca="true">NORMINV(RAND(),0,L$7)</f>
        <v>0.0753665378594596</v>
      </c>
      <c r="M1217" s="53" t="n">
        <f aca="true">NORMINV(RAND(),0,M$7)</f>
        <v>0.237974853838521</v>
      </c>
      <c r="N1217" s="53" t="n">
        <f aca="true">NORMINV(RAND(),0,N$7)</f>
        <v>-0.0527260411007766</v>
      </c>
      <c r="O1217" s="53" t="n">
        <f aca="false">SUM(J1217:N1217)</f>
        <v>1.80943839673793</v>
      </c>
    </row>
    <row r="1218" customFormat="false" ht="15" hidden="false" customHeight="false" outlineLevel="0" collapsed="false">
      <c r="A1218" s="2" t="n">
        <v>1210</v>
      </c>
      <c r="B1218" s="53" t="n">
        <f aca="true">NORMINV(RAND(),0,B$7)</f>
        <v>0.455233965009653</v>
      </c>
      <c r="C1218" s="53" t="n">
        <f aca="true">NORMINV(RAND(),0,C$7)</f>
        <v>-0.650472436937657</v>
      </c>
      <c r="D1218" s="53" t="n">
        <f aca="true">NORMINV(RAND(),0,D$7)</f>
        <v>3.26565510716122</v>
      </c>
      <c r="E1218" s="53" t="n">
        <f aca="true">NORMINV(RAND(),0,E$7)</f>
        <v>-0.939008357972965</v>
      </c>
      <c r="F1218" s="53" t="n">
        <f aca="true">NORMINV(RAND(),0,F$7)</f>
        <v>0.416602114153056</v>
      </c>
      <c r="G1218" s="53" t="n">
        <f aca="true">NORMINV(RAND(),0,G$7)</f>
        <v>1.56468363959621</v>
      </c>
      <c r="H1218" s="53" t="n">
        <f aca="true">NORMINV(RAND(),0,H$7)</f>
        <v>-0.101188668980583</v>
      </c>
      <c r="I1218" s="53" t="n">
        <f aca="false">SUM(B1218:H1218)</f>
        <v>4.01150536202893</v>
      </c>
      <c r="J1218" s="53" t="n">
        <f aca="true">NORMINV(RAND(),0,J$7)</f>
        <v>2.61666963110383</v>
      </c>
      <c r="K1218" s="53" t="n">
        <f aca="true">NORMINV(RAND(),0,K$7)</f>
        <v>0.514788248771299</v>
      </c>
      <c r="L1218" s="53" t="n">
        <f aca="true">NORMINV(RAND(),0,L$7)</f>
        <v>0.0372313675451319</v>
      </c>
      <c r="M1218" s="53" t="n">
        <f aca="true">NORMINV(RAND(),0,M$7)</f>
        <v>0.306353468117426</v>
      </c>
      <c r="N1218" s="53" t="n">
        <f aca="true">NORMINV(RAND(),0,N$7)</f>
        <v>0.303798310626685</v>
      </c>
      <c r="O1218" s="53" t="n">
        <f aca="false">SUM(J1218:N1218)</f>
        <v>3.77884102616437</v>
      </c>
    </row>
    <row r="1219" customFormat="false" ht="15" hidden="false" customHeight="false" outlineLevel="0" collapsed="false">
      <c r="A1219" s="2" t="n">
        <v>1211</v>
      </c>
      <c r="B1219" s="53" t="n">
        <f aca="true">NORMINV(RAND(),0,B$7)</f>
        <v>-3.08074432979215</v>
      </c>
      <c r="C1219" s="53" t="n">
        <f aca="true">NORMINV(RAND(),0,C$7)</f>
        <v>0.302167266017748</v>
      </c>
      <c r="D1219" s="53" t="n">
        <f aca="true">NORMINV(RAND(),0,D$7)</f>
        <v>-1.48897469000444</v>
      </c>
      <c r="E1219" s="53" t="n">
        <f aca="true">NORMINV(RAND(),0,E$7)</f>
        <v>0.406288575874444</v>
      </c>
      <c r="F1219" s="53" t="n">
        <f aca="true">NORMINV(RAND(),0,F$7)</f>
        <v>-0.0810869564293567</v>
      </c>
      <c r="G1219" s="53" t="n">
        <f aca="true">NORMINV(RAND(),0,G$7)</f>
        <v>1.18113134138884</v>
      </c>
      <c r="H1219" s="53" t="n">
        <f aca="true">NORMINV(RAND(),0,H$7)</f>
        <v>-0.0781963890263578</v>
      </c>
      <c r="I1219" s="53" t="n">
        <f aca="false">SUM(B1219:H1219)</f>
        <v>-2.83941518197127</v>
      </c>
      <c r="J1219" s="53" t="n">
        <f aca="true">NORMINV(RAND(),0,J$7)</f>
        <v>0.749928720630155</v>
      </c>
      <c r="K1219" s="53" t="n">
        <f aca="true">NORMINV(RAND(),0,K$7)</f>
        <v>-0.352979525877029</v>
      </c>
      <c r="L1219" s="53" t="n">
        <f aca="true">NORMINV(RAND(),0,L$7)</f>
        <v>0.0223033002431679</v>
      </c>
      <c r="M1219" s="53" t="n">
        <f aca="true">NORMINV(RAND(),0,M$7)</f>
        <v>0.173108404343075</v>
      </c>
      <c r="N1219" s="53" t="n">
        <f aca="true">NORMINV(RAND(),0,N$7)</f>
        <v>0.31208556336971</v>
      </c>
      <c r="O1219" s="53" t="n">
        <f aca="false">SUM(J1219:N1219)</f>
        <v>0.904446462709079</v>
      </c>
    </row>
    <row r="1220" customFormat="false" ht="15" hidden="false" customHeight="false" outlineLevel="0" collapsed="false">
      <c r="A1220" s="2" t="n">
        <v>1212</v>
      </c>
      <c r="B1220" s="53" t="n">
        <f aca="true">NORMINV(RAND(),0,B$7)</f>
        <v>-0.185294015740126</v>
      </c>
      <c r="C1220" s="53" t="n">
        <f aca="true">NORMINV(RAND(),0,C$7)</f>
        <v>-0.0155706094600271</v>
      </c>
      <c r="D1220" s="53" t="n">
        <f aca="true">NORMINV(RAND(),0,D$7)</f>
        <v>3.19603714258028</v>
      </c>
      <c r="E1220" s="53" t="n">
        <f aca="true">NORMINV(RAND(),0,E$7)</f>
        <v>0.348004451691144</v>
      </c>
      <c r="F1220" s="53" t="n">
        <f aca="true">NORMINV(RAND(),0,F$7)</f>
        <v>-0.172941069770598</v>
      </c>
      <c r="G1220" s="53" t="n">
        <f aca="true">NORMINV(RAND(),0,G$7)</f>
        <v>1.83528963758378</v>
      </c>
      <c r="H1220" s="53" t="n">
        <f aca="true">NORMINV(RAND(),0,H$7)</f>
        <v>-0.0511478545454749</v>
      </c>
      <c r="I1220" s="53" t="n">
        <f aca="false">SUM(B1220:H1220)</f>
        <v>4.95437768233898</v>
      </c>
      <c r="J1220" s="53" t="n">
        <f aca="true">NORMINV(RAND(),0,J$7)</f>
        <v>0.636950244062754</v>
      </c>
      <c r="K1220" s="53" t="n">
        <f aca="true">NORMINV(RAND(),0,K$7)</f>
        <v>-0.41148050146692</v>
      </c>
      <c r="L1220" s="53" t="n">
        <f aca="true">NORMINV(RAND(),0,L$7)</f>
        <v>-0.497296123910993</v>
      </c>
      <c r="M1220" s="53" t="n">
        <f aca="true">NORMINV(RAND(),0,M$7)</f>
        <v>0.0150224080566172</v>
      </c>
      <c r="N1220" s="53" t="n">
        <f aca="true">NORMINV(RAND(),0,N$7)</f>
        <v>-0.488547571190776</v>
      </c>
      <c r="O1220" s="53" t="n">
        <f aca="false">SUM(J1220:N1220)</f>
        <v>-0.745351544449319</v>
      </c>
    </row>
    <row r="1221" customFormat="false" ht="15" hidden="false" customHeight="false" outlineLevel="0" collapsed="false">
      <c r="A1221" s="2" t="n">
        <v>1213</v>
      </c>
      <c r="B1221" s="53" t="n">
        <f aca="true">NORMINV(RAND(),0,B$7)</f>
        <v>-0.697160003971217</v>
      </c>
      <c r="C1221" s="53" t="n">
        <f aca="true">NORMINV(RAND(),0,C$7)</f>
        <v>-1.98543874079768</v>
      </c>
      <c r="D1221" s="53" t="n">
        <f aca="true">NORMINV(RAND(),0,D$7)</f>
        <v>0.564851284941282</v>
      </c>
      <c r="E1221" s="53" t="n">
        <f aca="true">NORMINV(RAND(),0,E$7)</f>
        <v>-0.129810443140141</v>
      </c>
      <c r="F1221" s="53" t="n">
        <f aca="true">NORMINV(RAND(),0,F$7)</f>
        <v>-0.152753263758733</v>
      </c>
      <c r="G1221" s="53" t="n">
        <f aca="true">NORMINV(RAND(),0,G$7)</f>
        <v>-0.77808763303746</v>
      </c>
      <c r="H1221" s="53" t="n">
        <f aca="true">NORMINV(RAND(),0,H$7)</f>
        <v>-0.489841399238425</v>
      </c>
      <c r="I1221" s="53" t="n">
        <f aca="false">SUM(B1221:H1221)</f>
        <v>-3.66824019900238</v>
      </c>
      <c r="J1221" s="53" t="n">
        <f aca="true">NORMINV(RAND(),0,J$7)</f>
        <v>-1.43048275384231</v>
      </c>
      <c r="K1221" s="53" t="n">
        <f aca="true">NORMINV(RAND(),0,K$7)</f>
        <v>0.592262910954585</v>
      </c>
      <c r="L1221" s="53" t="n">
        <f aca="true">NORMINV(RAND(),0,L$7)</f>
        <v>-0.292110603822413</v>
      </c>
      <c r="M1221" s="53" t="n">
        <f aca="true">NORMINV(RAND(),0,M$7)</f>
        <v>0.117438687024255</v>
      </c>
      <c r="N1221" s="53" t="n">
        <f aca="true">NORMINV(RAND(),0,N$7)</f>
        <v>-0.212569043482027</v>
      </c>
      <c r="O1221" s="53" t="n">
        <f aca="false">SUM(J1221:N1221)</f>
        <v>-1.22546080316791</v>
      </c>
    </row>
    <row r="1222" customFormat="false" ht="15" hidden="false" customHeight="false" outlineLevel="0" collapsed="false">
      <c r="A1222" s="2" t="n">
        <v>1214</v>
      </c>
      <c r="B1222" s="53" t="n">
        <f aca="true">NORMINV(RAND(),0,B$7)</f>
        <v>-0.0255746516264219</v>
      </c>
      <c r="C1222" s="53" t="n">
        <f aca="true">NORMINV(RAND(),0,C$7)</f>
        <v>-0.0830241631353456</v>
      </c>
      <c r="D1222" s="53" t="n">
        <f aca="true">NORMINV(RAND(),0,D$7)</f>
        <v>4.6091030938624</v>
      </c>
      <c r="E1222" s="53" t="n">
        <f aca="true">NORMINV(RAND(),0,E$7)</f>
        <v>0.365083436683896</v>
      </c>
      <c r="F1222" s="53" t="n">
        <f aca="true">NORMINV(RAND(),0,F$7)</f>
        <v>-0.0103874215174414</v>
      </c>
      <c r="G1222" s="53" t="n">
        <f aca="true">NORMINV(RAND(),0,G$7)</f>
        <v>0.437968953124834</v>
      </c>
      <c r="H1222" s="53" t="n">
        <f aca="true">NORMINV(RAND(),0,H$7)</f>
        <v>-0.693165778885545</v>
      </c>
      <c r="I1222" s="53" t="n">
        <f aca="false">SUM(B1222:H1222)</f>
        <v>4.60000346850638</v>
      </c>
      <c r="J1222" s="53" t="n">
        <f aca="true">NORMINV(RAND(),0,J$7)</f>
        <v>0.201163996492158</v>
      </c>
      <c r="K1222" s="53" t="n">
        <f aca="true">NORMINV(RAND(),0,K$7)</f>
        <v>-0.355916059748799</v>
      </c>
      <c r="L1222" s="53" t="n">
        <f aca="true">NORMINV(RAND(),0,L$7)</f>
        <v>0.0331987343018243</v>
      </c>
      <c r="M1222" s="53" t="n">
        <f aca="true">NORMINV(RAND(),0,M$7)</f>
        <v>0.0917602109976811</v>
      </c>
      <c r="N1222" s="53" t="n">
        <f aca="true">NORMINV(RAND(),0,N$7)</f>
        <v>0.177783920945686</v>
      </c>
      <c r="O1222" s="53" t="n">
        <f aca="false">SUM(J1222:N1222)</f>
        <v>0.14799080298855</v>
      </c>
    </row>
    <row r="1223" customFormat="false" ht="15" hidden="false" customHeight="false" outlineLevel="0" collapsed="false">
      <c r="A1223" s="2" t="n">
        <v>1215</v>
      </c>
      <c r="B1223" s="53" t="n">
        <f aca="true">NORMINV(RAND(),0,B$7)</f>
        <v>-0.16612999494067</v>
      </c>
      <c r="C1223" s="53" t="n">
        <f aca="true">NORMINV(RAND(),0,C$7)</f>
        <v>0.351847924304823</v>
      </c>
      <c r="D1223" s="53" t="n">
        <f aca="true">NORMINV(RAND(),0,D$7)</f>
        <v>2.0785895770833</v>
      </c>
      <c r="E1223" s="53" t="n">
        <f aca="true">NORMINV(RAND(),0,E$7)</f>
        <v>0.496518106564542</v>
      </c>
      <c r="F1223" s="53" t="n">
        <f aca="true">NORMINV(RAND(),0,F$7)</f>
        <v>-0.328282437355081</v>
      </c>
      <c r="G1223" s="53" t="n">
        <f aca="true">NORMINV(RAND(),0,G$7)</f>
        <v>1.59466720826639</v>
      </c>
      <c r="H1223" s="53" t="n">
        <f aca="true">NORMINV(RAND(),0,H$7)</f>
        <v>-0.0578008684694335</v>
      </c>
      <c r="I1223" s="53" t="n">
        <f aca="false">SUM(B1223:H1223)</f>
        <v>3.96940951545387</v>
      </c>
      <c r="J1223" s="53" t="n">
        <f aca="true">NORMINV(RAND(),0,J$7)</f>
        <v>-1.21534683202444</v>
      </c>
      <c r="K1223" s="53" t="n">
        <f aca="true">NORMINV(RAND(),0,K$7)</f>
        <v>-0.535840991473431</v>
      </c>
      <c r="L1223" s="53" t="n">
        <f aca="true">NORMINV(RAND(),0,L$7)</f>
        <v>0.023160270034813</v>
      </c>
      <c r="M1223" s="53" t="n">
        <f aca="true">NORMINV(RAND(),0,M$7)</f>
        <v>-0.00635482232097911</v>
      </c>
      <c r="N1223" s="53" t="n">
        <f aca="true">NORMINV(RAND(),0,N$7)</f>
        <v>-0.312602246995788</v>
      </c>
      <c r="O1223" s="53" t="n">
        <f aca="false">SUM(J1223:N1223)</f>
        <v>-2.04698462277982</v>
      </c>
    </row>
    <row r="1224" customFormat="false" ht="15" hidden="false" customHeight="false" outlineLevel="0" collapsed="false">
      <c r="A1224" s="2" t="n">
        <v>1216</v>
      </c>
      <c r="B1224" s="53" t="n">
        <f aca="true">NORMINV(RAND(),0,B$7)</f>
        <v>0.164473836879708</v>
      </c>
      <c r="C1224" s="53" t="n">
        <f aca="true">NORMINV(RAND(),0,C$7)</f>
        <v>0.416808659803017</v>
      </c>
      <c r="D1224" s="53" t="n">
        <f aca="true">NORMINV(RAND(),0,D$7)</f>
        <v>-2.04459137515589</v>
      </c>
      <c r="E1224" s="53" t="n">
        <f aca="true">NORMINV(RAND(),0,E$7)</f>
        <v>0.591846176430668</v>
      </c>
      <c r="F1224" s="53" t="n">
        <f aca="true">NORMINV(RAND(),0,F$7)</f>
        <v>-0.0068742908453465</v>
      </c>
      <c r="G1224" s="53" t="n">
        <f aca="true">NORMINV(RAND(),0,G$7)</f>
        <v>-2.01688243511319</v>
      </c>
      <c r="H1224" s="53" t="n">
        <f aca="true">NORMINV(RAND(),0,H$7)</f>
        <v>-0.00745183757151256</v>
      </c>
      <c r="I1224" s="53" t="n">
        <f aca="false">SUM(B1224:H1224)</f>
        <v>-2.90267126557254</v>
      </c>
      <c r="J1224" s="53" t="n">
        <f aca="true">NORMINV(RAND(),0,J$7)</f>
        <v>2.89878497194519</v>
      </c>
      <c r="K1224" s="53" t="n">
        <f aca="true">NORMINV(RAND(),0,K$7)</f>
        <v>0.931756895118652</v>
      </c>
      <c r="L1224" s="53" t="n">
        <f aca="true">NORMINV(RAND(),0,L$7)</f>
        <v>-0.363082573047804</v>
      </c>
      <c r="M1224" s="53" t="n">
        <f aca="true">NORMINV(RAND(),0,M$7)</f>
        <v>-0.0345641527340705</v>
      </c>
      <c r="N1224" s="53" t="n">
        <f aca="true">NORMINV(RAND(),0,N$7)</f>
        <v>0.0169060664837903</v>
      </c>
      <c r="O1224" s="53" t="n">
        <f aca="false">SUM(J1224:N1224)</f>
        <v>3.44980120776575</v>
      </c>
    </row>
    <row r="1225" customFormat="false" ht="15" hidden="false" customHeight="false" outlineLevel="0" collapsed="false">
      <c r="A1225" s="2" t="n">
        <v>1217</v>
      </c>
      <c r="B1225" s="53" t="n">
        <f aca="true">NORMINV(RAND(),0,B$7)</f>
        <v>1.92901893176034</v>
      </c>
      <c r="C1225" s="53" t="n">
        <f aca="true">NORMINV(RAND(),0,C$7)</f>
        <v>0.0937402313470966</v>
      </c>
      <c r="D1225" s="53" t="n">
        <f aca="true">NORMINV(RAND(),0,D$7)</f>
        <v>-1.92972081168179</v>
      </c>
      <c r="E1225" s="53" t="n">
        <f aca="true">NORMINV(RAND(),0,E$7)</f>
        <v>-0.0952687941776843</v>
      </c>
      <c r="F1225" s="53" t="n">
        <f aca="true">NORMINV(RAND(),0,F$7)</f>
        <v>0.073653056677588</v>
      </c>
      <c r="G1225" s="53" t="n">
        <f aca="true">NORMINV(RAND(),0,G$7)</f>
        <v>-1.39851702524187</v>
      </c>
      <c r="H1225" s="53" t="n">
        <f aca="true">NORMINV(RAND(),0,H$7)</f>
        <v>0.305431540680112</v>
      </c>
      <c r="I1225" s="53" t="n">
        <f aca="false">SUM(B1225:H1225)</f>
        <v>-1.0216628706362</v>
      </c>
      <c r="J1225" s="53" t="n">
        <f aca="true">NORMINV(RAND(),0,J$7)</f>
        <v>-2.28265531111768</v>
      </c>
      <c r="K1225" s="53" t="n">
        <f aca="true">NORMINV(RAND(),0,K$7)</f>
        <v>0.791413040298189</v>
      </c>
      <c r="L1225" s="53" t="n">
        <f aca="true">NORMINV(RAND(),0,L$7)</f>
        <v>0.13053933854387</v>
      </c>
      <c r="M1225" s="53" t="n">
        <f aca="true">NORMINV(RAND(),0,M$7)</f>
        <v>0.0202649647417407</v>
      </c>
      <c r="N1225" s="53" t="n">
        <f aca="true">NORMINV(RAND(),0,N$7)</f>
        <v>-0.405818597954924</v>
      </c>
      <c r="O1225" s="53" t="n">
        <f aca="false">SUM(J1225:N1225)</f>
        <v>-1.74625656548881</v>
      </c>
    </row>
    <row r="1226" customFormat="false" ht="15" hidden="false" customHeight="false" outlineLevel="0" collapsed="false">
      <c r="A1226" s="2" t="n">
        <v>1218</v>
      </c>
      <c r="B1226" s="53" t="n">
        <f aca="true">NORMINV(RAND(),0,B$7)</f>
        <v>-1.23276354329243</v>
      </c>
      <c r="C1226" s="53" t="n">
        <f aca="true">NORMINV(RAND(),0,C$7)</f>
        <v>-0.441264196485289</v>
      </c>
      <c r="D1226" s="53" t="n">
        <f aca="true">NORMINV(RAND(),0,D$7)</f>
        <v>-0.343743527457899</v>
      </c>
      <c r="E1226" s="53" t="n">
        <f aca="true">NORMINV(RAND(),0,E$7)</f>
        <v>-0.326367604418839</v>
      </c>
      <c r="F1226" s="53" t="n">
        <f aca="true">NORMINV(RAND(),0,F$7)</f>
        <v>-0.264646407246172</v>
      </c>
      <c r="G1226" s="53" t="n">
        <f aca="true">NORMINV(RAND(),0,G$7)</f>
        <v>0.103251063167732</v>
      </c>
      <c r="H1226" s="53" t="n">
        <f aca="true">NORMINV(RAND(),0,H$7)</f>
        <v>-0.138194082106965</v>
      </c>
      <c r="I1226" s="53" t="n">
        <f aca="false">SUM(B1226:H1226)</f>
        <v>-2.64372829783986</v>
      </c>
      <c r="J1226" s="53" t="n">
        <f aca="true">NORMINV(RAND(),0,J$7)</f>
        <v>2.81655387598128</v>
      </c>
      <c r="K1226" s="53" t="n">
        <f aca="true">NORMINV(RAND(),0,K$7)</f>
        <v>-0.114797107078461</v>
      </c>
      <c r="L1226" s="53" t="n">
        <f aca="true">NORMINV(RAND(),0,L$7)</f>
        <v>0.0419690584758864</v>
      </c>
      <c r="M1226" s="53" t="n">
        <f aca="true">NORMINV(RAND(),0,M$7)</f>
        <v>-0.0860560221987568</v>
      </c>
      <c r="N1226" s="53" t="n">
        <f aca="true">NORMINV(RAND(),0,N$7)</f>
        <v>0.397198174182757</v>
      </c>
      <c r="O1226" s="53" t="n">
        <f aca="false">SUM(J1226:N1226)</f>
        <v>3.05486797936271</v>
      </c>
    </row>
    <row r="1227" customFormat="false" ht="15" hidden="false" customHeight="false" outlineLevel="0" collapsed="false">
      <c r="A1227" s="2" t="n">
        <v>1219</v>
      </c>
      <c r="B1227" s="53" t="n">
        <f aca="true">NORMINV(RAND(),0,B$7)</f>
        <v>-0.196461287626984</v>
      </c>
      <c r="C1227" s="53" t="n">
        <f aca="true">NORMINV(RAND(),0,C$7)</f>
        <v>1.31453801073539</v>
      </c>
      <c r="D1227" s="53" t="n">
        <f aca="true">NORMINV(RAND(),0,D$7)</f>
        <v>-3.49192537879328</v>
      </c>
      <c r="E1227" s="53" t="n">
        <f aca="true">NORMINV(RAND(),0,E$7)</f>
        <v>-0.0588065168539573</v>
      </c>
      <c r="F1227" s="53" t="n">
        <f aca="true">NORMINV(RAND(),0,F$7)</f>
        <v>0.158933794908311</v>
      </c>
      <c r="G1227" s="53" t="n">
        <f aca="true">NORMINV(RAND(),0,G$7)</f>
        <v>-0.572037533882308</v>
      </c>
      <c r="H1227" s="53" t="n">
        <f aca="true">NORMINV(RAND(),0,H$7)</f>
        <v>-0.208986177471749</v>
      </c>
      <c r="I1227" s="53" t="n">
        <f aca="false">SUM(B1227:H1227)</f>
        <v>-3.05474508898457</v>
      </c>
      <c r="J1227" s="53" t="n">
        <f aca="true">NORMINV(RAND(),0,J$7)</f>
        <v>0.829006270239343</v>
      </c>
      <c r="K1227" s="53" t="n">
        <f aca="true">NORMINV(RAND(),0,K$7)</f>
        <v>1.04202161935279</v>
      </c>
      <c r="L1227" s="53" t="n">
        <f aca="true">NORMINV(RAND(),0,L$7)</f>
        <v>0.0534257639366576</v>
      </c>
      <c r="M1227" s="53" t="n">
        <f aca="true">NORMINV(RAND(),0,M$7)</f>
        <v>-0.133330608412494</v>
      </c>
      <c r="N1227" s="53" t="n">
        <f aca="true">NORMINV(RAND(),0,N$7)</f>
        <v>0.201560934168281</v>
      </c>
      <c r="O1227" s="53" t="n">
        <f aca="false">SUM(J1227:N1227)</f>
        <v>1.99268397928458</v>
      </c>
    </row>
    <row r="1228" customFormat="false" ht="15" hidden="false" customHeight="false" outlineLevel="0" collapsed="false">
      <c r="A1228" s="2" t="n">
        <v>1220</v>
      </c>
      <c r="B1228" s="53" t="n">
        <f aca="true">NORMINV(RAND(),0,B$7)</f>
        <v>-0.0604807164300835</v>
      </c>
      <c r="C1228" s="53" t="n">
        <f aca="true">NORMINV(RAND(),0,C$7)</f>
        <v>2.16207307321088</v>
      </c>
      <c r="D1228" s="53" t="n">
        <f aca="true">NORMINV(RAND(),0,D$7)</f>
        <v>-0.155133593774978</v>
      </c>
      <c r="E1228" s="53" t="n">
        <f aca="true">NORMINV(RAND(),0,E$7)</f>
        <v>0.382280393505362</v>
      </c>
      <c r="F1228" s="53" t="n">
        <f aca="true">NORMINV(RAND(),0,F$7)</f>
        <v>0.34155175454321</v>
      </c>
      <c r="G1228" s="53" t="n">
        <f aca="true">NORMINV(RAND(),0,G$7)</f>
        <v>-0.96358213375271</v>
      </c>
      <c r="H1228" s="53" t="n">
        <f aca="true">NORMINV(RAND(),0,H$7)</f>
        <v>0.681693951958532</v>
      </c>
      <c r="I1228" s="53" t="n">
        <f aca="false">SUM(B1228:H1228)</f>
        <v>2.38840272926022</v>
      </c>
      <c r="J1228" s="53" t="n">
        <f aca="true">NORMINV(RAND(),0,J$7)</f>
        <v>0.216869692172774</v>
      </c>
      <c r="K1228" s="53" t="n">
        <f aca="true">NORMINV(RAND(),0,K$7)</f>
        <v>-1.09994124638123</v>
      </c>
      <c r="L1228" s="53" t="n">
        <f aca="true">NORMINV(RAND(),0,L$7)</f>
        <v>-0.0521877989419283</v>
      </c>
      <c r="M1228" s="53" t="n">
        <f aca="true">NORMINV(RAND(),0,M$7)</f>
        <v>0.0817383465962324</v>
      </c>
      <c r="N1228" s="53" t="n">
        <f aca="true">NORMINV(RAND(),0,N$7)</f>
        <v>0.108551882159222</v>
      </c>
      <c r="O1228" s="53" t="n">
        <f aca="false">SUM(J1228:N1228)</f>
        <v>-0.744969124394929</v>
      </c>
    </row>
    <row r="1229" customFormat="false" ht="15" hidden="false" customHeight="false" outlineLevel="0" collapsed="false">
      <c r="A1229" s="2" t="n">
        <v>1221</v>
      </c>
      <c r="B1229" s="53" t="n">
        <f aca="true">NORMINV(RAND(),0,B$7)</f>
        <v>-1.33452713507719</v>
      </c>
      <c r="C1229" s="53" t="n">
        <f aca="true">NORMINV(RAND(),0,C$7)</f>
        <v>0.747794395865713</v>
      </c>
      <c r="D1229" s="53" t="n">
        <f aca="true">NORMINV(RAND(),0,D$7)</f>
        <v>-1.01815047877066</v>
      </c>
      <c r="E1229" s="53" t="n">
        <f aca="true">NORMINV(RAND(),0,E$7)</f>
        <v>0.084033478940818</v>
      </c>
      <c r="F1229" s="53" t="n">
        <f aca="true">NORMINV(RAND(),0,F$7)</f>
        <v>0.0403641587182943</v>
      </c>
      <c r="G1229" s="53" t="n">
        <f aca="true">NORMINV(RAND(),0,G$7)</f>
        <v>0.234661641560179</v>
      </c>
      <c r="H1229" s="53" t="n">
        <f aca="true">NORMINV(RAND(),0,H$7)</f>
        <v>-0.155470581849488</v>
      </c>
      <c r="I1229" s="53" t="n">
        <f aca="false">SUM(B1229:H1229)</f>
        <v>-1.40129452061234</v>
      </c>
      <c r="J1229" s="53" t="n">
        <f aca="true">NORMINV(RAND(),0,J$7)</f>
        <v>-3.27952125680337</v>
      </c>
      <c r="K1229" s="53" t="n">
        <f aca="true">NORMINV(RAND(),0,K$7)</f>
        <v>1.2040994887964</v>
      </c>
      <c r="L1229" s="53" t="n">
        <f aca="true">NORMINV(RAND(),0,L$7)</f>
        <v>0.107780967681997</v>
      </c>
      <c r="M1229" s="53" t="n">
        <f aca="true">NORMINV(RAND(),0,M$7)</f>
        <v>0.135577390619715</v>
      </c>
      <c r="N1229" s="53" t="n">
        <f aca="true">NORMINV(RAND(),0,N$7)</f>
        <v>0.0490000306718141</v>
      </c>
      <c r="O1229" s="53" t="n">
        <f aca="false">SUM(J1229:N1229)</f>
        <v>-1.78306337903345</v>
      </c>
    </row>
    <row r="1230" customFormat="false" ht="15" hidden="false" customHeight="false" outlineLevel="0" collapsed="false">
      <c r="A1230" s="2" t="n">
        <v>1222</v>
      </c>
      <c r="B1230" s="53" t="n">
        <f aca="true">NORMINV(RAND(),0,B$7)</f>
        <v>-0.389160716608816</v>
      </c>
      <c r="C1230" s="53" t="n">
        <f aca="true">NORMINV(RAND(),0,C$7)</f>
        <v>-2.03456107808884</v>
      </c>
      <c r="D1230" s="53" t="n">
        <f aca="true">NORMINV(RAND(),0,D$7)</f>
        <v>1.3020354562348</v>
      </c>
      <c r="E1230" s="53" t="n">
        <f aca="true">NORMINV(RAND(),0,E$7)</f>
        <v>-0.0990868197518492</v>
      </c>
      <c r="F1230" s="53" t="n">
        <f aca="true">NORMINV(RAND(),0,F$7)</f>
        <v>-0.669855644444433</v>
      </c>
      <c r="G1230" s="53" t="n">
        <f aca="true">NORMINV(RAND(),0,G$7)</f>
        <v>-0.469860240117885</v>
      </c>
      <c r="H1230" s="53" t="n">
        <f aca="true">NORMINV(RAND(),0,H$7)</f>
        <v>-0.623391450048835</v>
      </c>
      <c r="I1230" s="53" t="n">
        <f aca="false">SUM(B1230:H1230)</f>
        <v>-2.98388049282586</v>
      </c>
      <c r="J1230" s="53" t="n">
        <f aca="true">NORMINV(RAND(),0,J$7)</f>
        <v>-1.79574107009519</v>
      </c>
      <c r="K1230" s="53" t="n">
        <f aca="true">NORMINV(RAND(),0,K$7)</f>
        <v>-0.367086893667423</v>
      </c>
      <c r="L1230" s="53" t="n">
        <f aca="true">NORMINV(RAND(),0,L$7)</f>
        <v>0.0517730187246082</v>
      </c>
      <c r="M1230" s="53" t="n">
        <f aca="true">NORMINV(RAND(),0,M$7)</f>
        <v>0.182311695210479</v>
      </c>
      <c r="N1230" s="53" t="n">
        <f aca="true">NORMINV(RAND(),0,N$7)</f>
        <v>-0.0232384086220726</v>
      </c>
      <c r="O1230" s="53" t="n">
        <f aca="false">SUM(J1230:N1230)</f>
        <v>-1.9519816584496</v>
      </c>
    </row>
    <row r="1231" customFormat="false" ht="15" hidden="false" customHeight="false" outlineLevel="0" collapsed="false">
      <c r="A1231" s="2" t="n">
        <v>1223</v>
      </c>
      <c r="B1231" s="53" t="n">
        <f aca="true">NORMINV(RAND(),0,B$7)</f>
        <v>3.03547766534455</v>
      </c>
      <c r="C1231" s="53" t="n">
        <f aca="true">NORMINV(RAND(),0,C$7)</f>
        <v>0.851109542162881</v>
      </c>
      <c r="D1231" s="53" t="n">
        <f aca="true">NORMINV(RAND(),0,D$7)</f>
        <v>-3.285041469656</v>
      </c>
      <c r="E1231" s="53" t="n">
        <f aca="true">NORMINV(RAND(),0,E$7)</f>
        <v>0.367635009753198</v>
      </c>
      <c r="F1231" s="53" t="n">
        <f aca="true">NORMINV(RAND(),0,F$7)</f>
        <v>0.177306554632932</v>
      </c>
      <c r="G1231" s="53" t="n">
        <f aca="true">NORMINV(RAND(),0,G$7)</f>
        <v>-0.849055627017098</v>
      </c>
      <c r="H1231" s="53" t="n">
        <f aca="true">NORMINV(RAND(),0,H$7)</f>
        <v>0.319659116146515</v>
      </c>
      <c r="I1231" s="53" t="n">
        <f aca="false">SUM(B1231:H1231)</f>
        <v>0.617090791366973</v>
      </c>
      <c r="J1231" s="53" t="n">
        <f aca="true">NORMINV(RAND(),0,J$7)</f>
        <v>0.0976895600262692</v>
      </c>
      <c r="K1231" s="53" t="n">
        <f aca="true">NORMINV(RAND(),0,K$7)</f>
        <v>0.00496740336596345</v>
      </c>
      <c r="L1231" s="53" t="n">
        <f aca="true">NORMINV(RAND(),0,L$7)</f>
        <v>0.0981912817649227</v>
      </c>
      <c r="M1231" s="53" t="n">
        <f aca="true">NORMINV(RAND(),0,M$7)</f>
        <v>0.034868096659944</v>
      </c>
      <c r="N1231" s="53" t="n">
        <f aca="true">NORMINV(RAND(),0,N$7)</f>
        <v>-0.320322645580059</v>
      </c>
      <c r="O1231" s="53" t="n">
        <f aca="false">SUM(J1231:N1231)</f>
        <v>-0.0846063037629597</v>
      </c>
    </row>
    <row r="1232" customFormat="false" ht="15" hidden="false" customHeight="false" outlineLevel="0" collapsed="false">
      <c r="A1232" s="2" t="n">
        <v>1224</v>
      </c>
      <c r="B1232" s="53" t="n">
        <f aca="true">NORMINV(RAND(),0,B$7)</f>
        <v>1.06488327316625</v>
      </c>
      <c r="C1232" s="53" t="n">
        <f aca="true">NORMINV(RAND(),0,C$7)</f>
        <v>1.17579035436553</v>
      </c>
      <c r="D1232" s="53" t="n">
        <f aca="true">NORMINV(RAND(),0,D$7)</f>
        <v>-0.0364260581208909</v>
      </c>
      <c r="E1232" s="53" t="n">
        <f aca="true">NORMINV(RAND(),0,E$7)</f>
        <v>0.101077851842953</v>
      </c>
      <c r="F1232" s="53" t="n">
        <f aca="true">NORMINV(RAND(),0,F$7)</f>
        <v>0.15693409816017</v>
      </c>
      <c r="G1232" s="53" t="n">
        <f aca="true">NORMINV(RAND(),0,G$7)</f>
        <v>1.28561013982018</v>
      </c>
      <c r="H1232" s="53" t="n">
        <f aca="true">NORMINV(RAND(),0,H$7)</f>
        <v>-0.305854684797424</v>
      </c>
      <c r="I1232" s="53" t="n">
        <f aca="false">SUM(B1232:H1232)</f>
        <v>3.44201497443676</v>
      </c>
      <c r="J1232" s="53" t="n">
        <f aca="true">NORMINV(RAND(),0,J$7)</f>
        <v>0.960504193130016</v>
      </c>
      <c r="K1232" s="53" t="n">
        <f aca="true">NORMINV(RAND(),0,K$7)</f>
        <v>-0.85255782058733</v>
      </c>
      <c r="L1232" s="53" t="n">
        <f aca="true">NORMINV(RAND(),0,L$7)</f>
        <v>-0.184738341577147</v>
      </c>
      <c r="M1232" s="53" t="n">
        <f aca="true">NORMINV(RAND(),0,M$7)</f>
        <v>0.0107792644355119</v>
      </c>
      <c r="N1232" s="53" t="n">
        <f aca="true">NORMINV(RAND(),0,N$7)</f>
        <v>0.00946472038411262</v>
      </c>
      <c r="O1232" s="53" t="n">
        <f aca="false">SUM(J1232:N1232)</f>
        <v>-0.0565479842148362</v>
      </c>
    </row>
    <row r="1233" customFormat="false" ht="15" hidden="false" customHeight="false" outlineLevel="0" collapsed="false">
      <c r="A1233" s="2" t="n">
        <v>1225</v>
      </c>
      <c r="B1233" s="53" t="n">
        <f aca="true">NORMINV(RAND(),0,B$7)</f>
        <v>0.00165775545105903</v>
      </c>
      <c r="C1233" s="53" t="n">
        <f aca="true">NORMINV(RAND(),0,C$7)</f>
        <v>1.69959686347343</v>
      </c>
      <c r="D1233" s="53" t="n">
        <f aca="true">NORMINV(RAND(),0,D$7)</f>
        <v>3.19351346055767</v>
      </c>
      <c r="E1233" s="53" t="n">
        <f aca="true">NORMINV(RAND(),0,E$7)</f>
        <v>0.195428919762801</v>
      </c>
      <c r="F1233" s="53" t="n">
        <f aca="true">NORMINV(RAND(),0,F$7)</f>
        <v>0.246868420255909</v>
      </c>
      <c r="G1233" s="53" t="n">
        <f aca="true">NORMINV(RAND(),0,G$7)</f>
        <v>-0.310532444128448</v>
      </c>
      <c r="H1233" s="53" t="n">
        <f aca="true">NORMINV(RAND(),0,H$7)</f>
        <v>-0.0846314867361924</v>
      </c>
      <c r="I1233" s="53" t="n">
        <f aca="false">SUM(B1233:H1233)</f>
        <v>4.94190148863623</v>
      </c>
      <c r="J1233" s="53" t="n">
        <f aca="true">NORMINV(RAND(),0,J$7)</f>
        <v>0.495327142704256</v>
      </c>
      <c r="K1233" s="53" t="n">
        <f aca="true">NORMINV(RAND(),0,K$7)</f>
        <v>0.18560950504372</v>
      </c>
      <c r="L1233" s="53" t="n">
        <f aca="true">NORMINV(RAND(),0,L$7)</f>
        <v>0.575233551174016</v>
      </c>
      <c r="M1233" s="53" t="n">
        <f aca="true">NORMINV(RAND(),0,M$7)</f>
        <v>0.485861646100224</v>
      </c>
      <c r="N1233" s="53" t="n">
        <f aca="true">NORMINV(RAND(),0,N$7)</f>
        <v>0.395616630085786</v>
      </c>
      <c r="O1233" s="53" t="n">
        <f aca="false">SUM(J1233:N1233)</f>
        <v>2.137648475108</v>
      </c>
    </row>
    <row r="1234" customFormat="false" ht="15" hidden="false" customHeight="false" outlineLevel="0" collapsed="false">
      <c r="A1234" s="2" t="n">
        <v>1226</v>
      </c>
      <c r="B1234" s="53" t="n">
        <f aca="true">NORMINV(RAND(),0,B$7)</f>
        <v>-2.33332323142736</v>
      </c>
      <c r="C1234" s="53" t="n">
        <f aca="true">NORMINV(RAND(),0,C$7)</f>
        <v>2.76679345070397</v>
      </c>
      <c r="D1234" s="53" t="n">
        <f aca="true">NORMINV(RAND(),0,D$7)</f>
        <v>0.0816968768050873</v>
      </c>
      <c r="E1234" s="53" t="n">
        <f aca="true">NORMINV(RAND(),0,E$7)</f>
        <v>0.414279549874924</v>
      </c>
      <c r="F1234" s="53" t="n">
        <f aca="true">NORMINV(RAND(),0,F$7)</f>
        <v>-0.219387479483144</v>
      </c>
      <c r="G1234" s="53" t="n">
        <f aca="true">NORMINV(RAND(),0,G$7)</f>
        <v>-1.71588960236761</v>
      </c>
      <c r="H1234" s="53" t="n">
        <f aca="true">NORMINV(RAND(),0,H$7)</f>
        <v>-0.371914348404184</v>
      </c>
      <c r="I1234" s="53" t="n">
        <f aca="false">SUM(B1234:H1234)</f>
        <v>-1.37774478429831</v>
      </c>
      <c r="J1234" s="53" t="n">
        <f aca="true">NORMINV(RAND(),0,J$7)</f>
        <v>-0.265438060248968</v>
      </c>
      <c r="K1234" s="53" t="n">
        <f aca="true">NORMINV(RAND(),0,K$7)</f>
        <v>-0.808921849283195</v>
      </c>
      <c r="L1234" s="53" t="n">
        <f aca="true">NORMINV(RAND(),0,L$7)</f>
        <v>0.695649711327578</v>
      </c>
      <c r="M1234" s="53" t="n">
        <f aca="true">NORMINV(RAND(),0,M$7)</f>
        <v>-0.180708051769821</v>
      </c>
      <c r="N1234" s="53" t="n">
        <f aca="true">NORMINV(RAND(),0,N$7)</f>
        <v>-0.464271867245601</v>
      </c>
      <c r="O1234" s="53" t="n">
        <f aca="false">SUM(J1234:N1234)</f>
        <v>-1.02369011722001</v>
      </c>
    </row>
    <row r="1235" customFormat="false" ht="15" hidden="false" customHeight="false" outlineLevel="0" collapsed="false">
      <c r="A1235" s="2" t="n">
        <v>1227</v>
      </c>
      <c r="B1235" s="53" t="n">
        <f aca="true">NORMINV(RAND(),0,B$7)</f>
        <v>-0.415751383282364</v>
      </c>
      <c r="C1235" s="53" t="n">
        <f aca="true">NORMINV(RAND(),0,C$7)</f>
        <v>-1.14873460855381</v>
      </c>
      <c r="D1235" s="53" t="n">
        <f aca="true">NORMINV(RAND(),0,D$7)</f>
        <v>-1.06529803903176</v>
      </c>
      <c r="E1235" s="53" t="n">
        <f aca="true">NORMINV(RAND(),0,E$7)</f>
        <v>0.0561373176450609</v>
      </c>
      <c r="F1235" s="53" t="n">
        <f aca="true">NORMINV(RAND(),0,F$7)</f>
        <v>-0.321519536515797</v>
      </c>
      <c r="G1235" s="53" t="n">
        <f aca="true">NORMINV(RAND(),0,G$7)</f>
        <v>-0.793110362994381</v>
      </c>
      <c r="H1235" s="53" t="n">
        <f aca="true">NORMINV(RAND(),0,H$7)</f>
        <v>0.547173580099653</v>
      </c>
      <c r="I1235" s="53" t="n">
        <f aca="false">SUM(B1235:H1235)</f>
        <v>-3.1411030326334</v>
      </c>
      <c r="J1235" s="53" t="n">
        <f aca="true">NORMINV(RAND(),0,J$7)</f>
        <v>0.686697221345637</v>
      </c>
      <c r="K1235" s="53" t="n">
        <f aca="true">NORMINV(RAND(),0,K$7)</f>
        <v>0.717098432151632</v>
      </c>
      <c r="L1235" s="53" t="n">
        <f aca="true">NORMINV(RAND(),0,L$7)</f>
        <v>-0.0481799621648863</v>
      </c>
      <c r="M1235" s="53" t="n">
        <f aca="true">NORMINV(RAND(),0,M$7)</f>
        <v>-0.214631784290712</v>
      </c>
      <c r="N1235" s="53" t="n">
        <f aca="true">NORMINV(RAND(),0,N$7)</f>
        <v>-0.320947976532988</v>
      </c>
      <c r="O1235" s="53" t="n">
        <f aca="false">SUM(J1235:N1235)</f>
        <v>0.820035930508682</v>
      </c>
    </row>
    <row r="1236" customFormat="false" ht="15" hidden="false" customHeight="false" outlineLevel="0" collapsed="false">
      <c r="A1236" s="2" t="n">
        <v>1228</v>
      </c>
      <c r="B1236" s="53" t="n">
        <f aca="true">NORMINV(RAND(),0,B$7)</f>
        <v>2.92604079740723</v>
      </c>
      <c r="C1236" s="53" t="n">
        <f aca="true">NORMINV(RAND(),0,C$7)</f>
        <v>0.567741149247561</v>
      </c>
      <c r="D1236" s="53" t="n">
        <f aca="true">NORMINV(RAND(),0,D$7)</f>
        <v>1.52104404930302</v>
      </c>
      <c r="E1236" s="53" t="n">
        <f aca="true">NORMINV(RAND(),0,E$7)</f>
        <v>-0.0867299087462641</v>
      </c>
      <c r="F1236" s="53" t="n">
        <f aca="true">NORMINV(RAND(),0,F$7)</f>
        <v>0.302431877226634</v>
      </c>
      <c r="G1236" s="53" t="n">
        <f aca="true">NORMINV(RAND(),0,G$7)</f>
        <v>-0.00760606496852156</v>
      </c>
      <c r="H1236" s="53" t="n">
        <f aca="true">NORMINV(RAND(),0,H$7)</f>
        <v>-0.0384067031196937</v>
      </c>
      <c r="I1236" s="53" t="n">
        <f aca="false">SUM(B1236:H1236)</f>
        <v>5.18451519634996</v>
      </c>
      <c r="J1236" s="53" t="n">
        <f aca="true">NORMINV(RAND(),0,J$7)</f>
        <v>0.948322333523516</v>
      </c>
      <c r="K1236" s="53" t="n">
        <f aca="true">NORMINV(RAND(),0,K$7)</f>
        <v>0.889503574925318</v>
      </c>
      <c r="L1236" s="53" t="n">
        <f aca="true">NORMINV(RAND(),0,L$7)</f>
        <v>-0.190679857745138</v>
      </c>
      <c r="M1236" s="53" t="n">
        <f aca="true">NORMINV(RAND(),0,M$7)</f>
        <v>0.297179545781601</v>
      </c>
      <c r="N1236" s="53" t="n">
        <f aca="true">NORMINV(RAND(),0,N$7)</f>
        <v>0.292016670031982</v>
      </c>
      <c r="O1236" s="53" t="n">
        <f aca="false">SUM(J1236:N1236)</f>
        <v>2.23634226651728</v>
      </c>
    </row>
    <row r="1237" customFormat="false" ht="15" hidden="false" customHeight="false" outlineLevel="0" collapsed="false">
      <c r="A1237" s="2" t="n">
        <v>1229</v>
      </c>
      <c r="B1237" s="53" t="n">
        <f aca="true">NORMINV(RAND(),0,B$7)</f>
        <v>-0.562513432507705</v>
      </c>
      <c r="C1237" s="53" t="n">
        <f aca="true">NORMINV(RAND(),0,C$7)</f>
        <v>-0.833403220867257</v>
      </c>
      <c r="D1237" s="53" t="n">
        <f aca="true">NORMINV(RAND(),0,D$7)</f>
        <v>0.74407717953695</v>
      </c>
      <c r="E1237" s="53" t="n">
        <f aca="true">NORMINV(RAND(),0,E$7)</f>
        <v>-0.247204185409914</v>
      </c>
      <c r="F1237" s="53" t="n">
        <f aca="true">NORMINV(RAND(),0,F$7)</f>
        <v>0.051580581881156</v>
      </c>
      <c r="G1237" s="53" t="n">
        <f aca="true">NORMINV(RAND(),0,G$7)</f>
        <v>0.844664357855572</v>
      </c>
      <c r="H1237" s="53" t="n">
        <f aca="true">NORMINV(RAND(),0,H$7)</f>
        <v>-0.157846544315318</v>
      </c>
      <c r="I1237" s="53" t="n">
        <f aca="false">SUM(B1237:H1237)</f>
        <v>-0.160645263826516</v>
      </c>
      <c r="J1237" s="53" t="n">
        <f aca="true">NORMINV(RAND(),0,J$7)</f>
        <v>1.80308423081047</v>
      </c>
      <c r="K1237" s="53" t="n">
        <f aca="true">NORMINV(RAND(),0,K$7)</f>
        <v>-0.577319609736244</v>
      </c>
      <c r="L1237" s="53" t="n">
        <f aca="true">NORMINV(RAND(),0,L$7)</f>
        <v>0.104087406002406</v>
      </c>
      <c r="M1237" s="53" t="n">
        <f aca="true">NORMINV(RAND(),0,M$7)</f>
        <v>-0.139311920582649</v>
      </c>
      <c r="N1237" s="53" t="n">
        <f aca="true">NORMINV(RAND(),0,N$7)</f>
        <v>0.033864743290792</v>
      </c>
      <c r="O1237" s="53" t="n">
        <f aca="false">SUM(J1237:N1237)</f>
        <v>1.22440484978478</v>
      </c>
    </row>
    <row r="1238" customFormat="false" ht="15" hidden="false" customHeight="false" outlineLevel="0" collapsed="false">
      <c r="A1238" s="2" t="n">
        <v>1230</v>
      </c>
      <c r="B1238" s="53" t="n">
        <f aca="true">NORMINV(RAND(),0,B$7)</f>
        <v>2.34839452468802</v>
      </c>
      <c r="C1238" s="53" t="n">
        <f aca="true">NORMINV(RAND(),0,C$7)</f>
        <v>0.914115566210104</v>
      </c>
      <c r="D1238" s="53" t="n">
        <f aca="true">NORMINV(RAND(),0,D$7)</f>
        <v>1.37966080405697</v>
      </c>
      <c r="E1238" s="53" t="n">
        <f aca="true">NORMINV(RAND(),0,E$7)</f>
        <v>0.929627835897594</v>
      </c>
      <c r="F1238" s="53" t="n">
        <f aca="true">NORMINV(RAND(),0,F$7)</f>
        <v>-0.304954519744328</v>
      </c>
      <c r="G1238" s="53" t="n">
        <f aca="true">NORMINV(RAND(),0,G$7)</f>
        <v>-0.58685447882565</v>
      </c>
      <c r="H1238" s="53" t="n">
        <f aca="true">NORMINV(RAND(),0,H$7)</f>
        <v>0.276744443733182</v>
      </c>
      <c r="I1238" s="53" t="n">
        <f aca="false">SUM(B1238:H1238)</f>
        <v>4.9567341760159</v>
      </c>
      <c r="J1238" s="53" t="n">
        <f aca="true">NORMINV(RAND(),0,J$7)</f>
        <v>-2.95578433372404</v>
      </c>
      <c r="K1238" s="53" t="n">
        <f aca="true">NORMINV(RAND(),0,K$7)</f>
        <v>-0.141144466807327</v>
      </c>
      <c r="L1238" s="53" t="n">
        <f aca="true">NORMINV(RAND(),0,L$7)</f>
        <v>0.812624393505955</v>
      </c>
      <c r="M1238" s="53" t="n">
        <f aca="true">NORMINV(RAND(),0,M$7)</f>
        <v>0.00470801947112101</v>
      </c>
      <c r="N1238" s="53" t="n">
        <f aca="true">NORMINV(RAND(),0,N$7)</f>
        <v>-0.397195707408496</v>
      </c>
      <c r="O1238" s="53" t="n">
        <f aca="false">SUM(J1238:N1238)</f>
        <v>-2.67679209496278</v>
      </c>
    </row>
    <row r="1239" customFormat="false" ht="15" hidden="false" customHeight="false" outlineLevel="0" collapsed="false">
      <c r="A1239" s="2" t="n">
        <v>1231</v>
      </c>
      <c r="B1239" s="53" t="n">
        <f aca="true">NORMINV(RAND(),0,B$7)</f>
        <v>0.185504243215582</v>
      </c>
      <c r="C1239" s="53" t="n">
        <f aca="true">NORMINV(RAND(),0,C$7)</f>
        <v>0.204310992599463</v>
      </c>
      <c r="D1239" s="53" t="n">
        <f aca="true">NORMINV(RAND(),0,D$7)</f>
        <v>0.687434529038456</v>
      </c>
      <c r="E1239" s="53" t="n">
        <f aca="true">NORMINV(RAND(),0,E$7)</f>
        <v>-0.142735470138472</v>
      </c>
      <c r="F1239" s="53" t="n">
        <f aca="true">NORMINV(RAND(),0,F$7)</f>
        <v>0.00062369204832212</v>
      </c>
      <c r="G1239" s="53" t="n">
        <f aca="true">NORMINV(RAND(),0,G$7)</f>
        <v>1.4877974666075</v>
      </c>
      <c r="H1239" s="53" t="n">
        <f aca="true">NORMINV(RAND(),0,H$7)</f>
        <v>-0.125153777435499</v>
      </c>
      <c r="I1239" s="53" t="n">
        <f aca="false">SUM(B1239:H1239)</f>
        <v>2.29778167593535</v>
      </c>
      <c r="J1239" s="53" t="n">
        <f aca="true">NORMINV(RAND(),0,J$7)</f>
        <v>0.656419346567</v>
      </c>
      <c r="K1239" s="53" t="n">
        <f aca="true">NORMINV(RAND(),0,K$7)</f>
        <v>-0.796947342363546</v>
      </c>
      <c r="L1239" s="53" t="n">
        <f aca="true">NORMINV(RAND(),0,L$7)</f>
        <v>-0.364475728886017</v>
      </c>
      <c r="M1239" s="53" t="n">
        <f aca="true">NORMINV(RAND(),0,M$7)</f>
        <v>0.158300472487113</v>
      </c>
      <c r="N1239" s="53" t="n">
        <f aca="true">NORMINV(RAND(),0,N$7)</f>
        <v>-0.452637052983412</v>
      </c>
      <c r="O1239" s="53" t="n">
        <f aca="false">SUM(J1239:N1239)</f>
        <v>-0.799340305178862</v>
      </c>
    </row>
    <row r="1240" customFormat="false" ht="15" hidden="false" customHeight="false" outlineLevel="0" collapsed="false">
      <c r="A1240" s="2" t="n">
        <v>1232</v>
      </c>
      <c r="B1240" s="53" t="n">
        <f aca="true">NORMINV(RAND(),0,B$7)</f>
        <v>0.720473655850408</v>
      </c>
      <c r="C1240" s="53" t="n">
        <f aca="true">NORMINV(RAND(),0,C$7)</f>
        <v>0.429801489730246</v>
      </c>
      <c r="D1240" s="53" t="n">
        <f aca="true">NORMINV(RAND(),0,D$7)</f>
        <v>-0.724928450763657</v>
      </c>
      <c r="E1240" s="53" t="n">
        <f aca="true">NORMINV(RAND(),0,E$7)</f>
        <v>-0.415406342430409</v>
      </c>
      <c r="F1240" s="53" t="n">
        <f aca="true">NORMINV(RAND(),0,F$7)</f>
        <v>0.176042662428809</v>
      </c>
      <c r="G1240" s="53" t="n">
        <f aca="true">NORMINV(RAND(),0,G$7)</f>
        <v>-0.0782362460208831</v>
      </c>
      <c r="H1240" s="53" t="n">
        <f aca="true">NORMINV(RAND(),0,H$7)</f>
        <v>-0.130106380442097</v>
      </c>
      <c r="I1240" s="53" t="n">
        <f aca="false">SUM(B1240:H1240)</f>
        <v>-0.0223596116475835</v>
      </c>
      <c r="J1240" s="53" t="n">
        <f aca="true">NORMINV(RAND(),0,J$7)</f>
        <v>0.556411521292533</v>
      </c>
      <c r="K1240" s="53" t="n">
        <f aca="true">NORMINV(RAND(),0,K$7)</f>
        <v>-0.542525812145349</v>
      </c>
      <c r="L1240" s="53" t="n">
        <f aca="true">NORMINV(RAND(),0,L$7)</f>
        <v>-0.313922792469739</v>
      </c>
      <c r="M1240" s="53" t="n">
        <f aca="true">NORMINV(RAND(),0,M$7)</f>
        <v>0.156810085234956</v>
      </c>
      <c r="N1240" s="53" t="n">
        <f aca="true">NORMINV(RAND(),0,N$7)</f>
        <v>0.0301597760839053</v>
      </c>
      <c r="O1240" s="53" t="n">
        <f aca="false">SUM(J1240:N1240)</f>
        <v>-0.113067222003694</v>
      </c>
    </row>
    <row r="1241" customFormat="false" ht="15" hidden="false" customHeight="false" outlineLevel="0" collapsed="false">
      <c r="A1241" s="2" t="n">
        <v>1233</v>
      </c>
      <c r="B1241" s="53" t="n">
        <f aca="true">NORMINV(RAND(),0,B$7)</f>
        <v>-0.669194435234106</v>
      </c>
      <c r="C1241" s="53" t="n">
        <f aca="true">NORMINV(RAND(),0,C$7)</f>
        <v>-0.0796753850700092</v>
      </c>
      <c r="D1241" s="53" t="n">
        <f aca="true">NORMINV(RAND(),0,D$7)</f>
        <v>-1.26703607956515</v>
      </c>
      <c r="E1241" s="53" t="n">
        <f aca="true">NORMINV(RAND(),0,E$7)</f>
        <v>0.569930322951407</v>
      </c>
      <c r="F1241" s="53" t="n">
        <f aca="true">NORMINV(RAND(),0,F$7)</f>
        <v>0.0861612820761099</v>
      </c>
      <c r="G1241" s="53" t="n">
        <f aca="true">NORMINV(RAND(),0,G$7)</f>
        <v>-0.0325751788595872</v>
      </c>
      <c r="H1241" s="53" t="n">
        <f aca="true">NORMINV(RAND(),0,H$7)</f>
        <v>-0.274200234684637</v>
      </c>
      <c r="I1241" s="53" t="n">
        <f aca="false">SUM(B1241:H1241)</f>
        <v>-1.66658970838597</v>
      </c>
      <c r="J1241" s="53" t="n">
        <f aca="true">NORMINV(RAND(),0,J$7)</f>
        <v>0.592978683698543</v>
      </c>
      <c r="K1241" s="53" t="n">
        <f aca="true">NORMINV(RAND(),0,K$7)</f>
        <v>-1.11895955959323</v>
      </c>
      <c r="L1241" s="53" t="n">
        <f aca="true">NORMINV(RAND(),0,L$7)</f>
        <v>-0.376212861939558</v>
      </c>
      <c r="M1241" s="53" t="n">
        <f aca="true">NORMINV(RAND(),0,M$7)</f>
        <v>0.173645584397187</v>
      </c>
      <c r="N1241" s="53" t="n">
        <f aca="true">NORMINV(RAND(),0,N$7)</f>
        <v>0.130563156670248</v>
      </c>
      <c r="O1241" s="53" t="n">
        <f aca="false">SUM(J1241:N1241)</f>
        <v>-0.597984996766809</v>
      </c>
    </row>
    <row r="1242" customFormat="false" ht="15" hidden="false" customHeight="false" outlineLevel="0" collapsed="false">
      <c r="A1242" s="2" t="n">
        <v>1234</v>
      </c>
      <c r="B1242" s="53" t="n">
        <f aca="true">NORMINV(RAND(),0,B$7)</f>
        <v>-0.167890218702526</v>
      </c>
      <c r="C1242" s="53" t="n">
        <f aca="true">NORMINV(RAND(),0,C$7)</f>
        <v>-0.513840707342135</v>
      </c>
      <c r="D1242" s="53" t="n">
        <f aca="true">NORMINV(RAND(),0,D$7)</f>
        <v>-1.76392298661621</v>
      </c>
      <c r="E1242" s="53" t="n">
        <f aca="true">NORMINV(RAND(),0,E$7)</f>
        <v>0.739966871976596</v>
      </c>
      <c r="F1242" s="53" t="n">
        <f aca="true">NORMINV(RAND(),0,F$7)</f>
        <v>-0.191674322930979</v>
      </c>
      <c r="G1242" s="53" t="n">
        <f aca="true">NORMINV(RAND(),0,G$7)</f>
        <v>-2.59956346845863</v>
      </c>
      <c r="H1242" s="53" t="n">
        <f aca="true">NORMINV(RAND(),0,H$7)</f>
        <v>0.32121000290371</v>
      </c>
      <c r="I1242" s="53" t="n">
        <f aca="false">SUM(B1242:H1242)</f>
        <v>-4.17571482917017</v>
      </c>
      <c r="J1242" s="53" t="n">
        <f aca="true">NORMINV(RAND(),0,J$7)</f>
        <v>0.787698479974436</v>
      </c>
      <c r="K1242" s="53" t="n">
        <f aca="true">NORMINV(RAND(),0,K$7)</f>
        <v>0.00108488328099157</v>
      </c>
      <c r="L1242" s="53" t="n">
        <f aca="true">NORMINV(RAND(),0,L$7)</f>
        <v>0.5489442892586</v>
      </c>
      <c r="M1242" s="53" t="n">
        <f aca="true">NORMINV(RAND(),0,M$7)</f>
        <v>-0.220491351449327</v>
      </c>
      <c r="N1242" s="53" t="n">
        <f aca="true">NORMINV(RAND(),0,N$7)</f>
        <v>-0.239197825525634</v>
      </c>
      <c r="O1242" s="53" t="n">
        <f aca="false">SUM(J1242:N1242)</f>
        <v>0.878038475539067</v>
      </c>
    </row>
    <row r="1243" customFormat="false" ht="15" hidden="false" customHeight="false" outlineLevel="0" collapsed="false">
      <c r="A1243" s="2" t="n">
        <v>1235</v>
      </c>
      <c r="B1243" s="53" t="n">
        <f aca="true">NORMINV(RAND(),0,B$7)</f>
        <v>-1.06917797486728</v>
      </c>
      <c r="C1243" s="53" t="n">
        <f aca="true">NORMINV(RAND(),0,C$7)</f>
        <v>0.999924948378453</v>
      </c>
      <c r="D1243" s="53" t="n">
        <f aca="true">NORMINV(RAND(),0,D$7)</f>
        <v>0.94757559396714</v>
      </c>
      <c r="E1243" s="53" t="n">
        <f aca="true">NORMINV(RAND(),0,E$7)</f>
        <v>-0.292125619402106</v>
      </c>
      <c r="F1243" s="53" t="n">
        <f aca="true">NORMINV(RAND(),0,F$7)</f>
        <v>0.210743847568919</v>
      </c>
      <c r="G1243" s="53" t="n">
        <f aca="true">NORMINV(RAND(),0,G$7)</f>
        <v>0.849833093656813</v>
      </c>
      <c r="H1243" s="53" t="n">
        <f aca="true">NORMINV(RAND(),0,H$7)</f>
        <v>-0.153254075235731</v>
      </c>
      <c r="I1243" s="53" t="n">
        <f aca="false">SUM(B1243:H1243)</f>
        <v>1.49351981406621</v>
      </c>
      <c r="J1243" s="53" t="n">
        <f aca="true">NORMINV(RAND(),0,J$7)</f>
        <v>2.68775748011859</v>
      </c>
      <c r="K1243" s="53" t="n">
        <f aca="true">NORMINV(RAND(),0,K$7)</f>
        <v>-0.343940738918182</v>
      </c>
      <c r="L1243" s="53" t="n">
        <f aca="true">NORMINV(RAND(),0,L$7)</f>
        <v>0.00504857074254217</v>
      </c>
      <c r="M1243" s="53" t="n">
        <f aca="true">NORMINV(RAND(),0,M$7)</f>
        <v>0.130189540406845</v>
      </c>
      <c r="N1243" s="53" t="n">
        <f aca="true">NORMINV(RAND(),0,N$7)</f>
        <v>0.304413606381326</v>
      </c>
      <c r="O1243" s="53" t="n">
        <f aca="false">SUM(J1243:N1243)</f>
        <v>2.78346845873112</v>
      </c>
    </row>
    <row r="1244" customFormat="false" ht="15" hidden="false" customHeight="false" outlineLevel="0" collapsed="false">
      <c r="A1244" s="2" t="n">
        <v>1236</v>
      </c>
      <c r="B1244" s="53" t="n">
        <f aca="true">NORMINV(RAND(),0,B$7)</f>
        <v>2.91907269569893</v>
      </c>
      <c r="C1244" s="53" t="n">
        <f aca="true">NORMINV(RAND(),0,C$7)</f>
        <v>0.516103356373014</v>
      </c>
      <c r="D1244" s="53" t="n">
        <f aca="true">NORMINV(RAND(),0,D$7)</f>
        <v>0.621071168612111</v>
      </c>
      <c r="E1244" s="53" t="n">
        <f aca="true">NORMINV(RAND(),0,E$7)</f>
        <v>-0.957836018761158</v>
      </c>
      <c r="F1244" s="53" t="n">
        <f aca="true">NORMINV(RAND(),0,F$7)</f>
        <v>0.168753998767436</v>
      </c>
      <c r="G1244" s="53" t="n">
        <f aca="true">NORMINV(RAND(),0,G$7)</f>
        <v>-1.39984120465709</v>
      </c>
      <c r="H1244" s="53" t="n">
        <f aca="true">NORMINV(RAND(),0,H$7)</f>
        <v>0.170908755727705</v>
      </c>
      <c r="I1244" s="53" t="n">
        <f aca="false">SUM(B1244:H1244)</f>
        <v>2.03823275176095</v>
      </c>
      <c r="J1244" s="53" t="n">
        <f aca="true">NORMINV(RAND(),0,J$7)</f>
        <v>1.15578947458893</v>
      </c>
      <c r="K1244" s="53" t="n">
        <f aca="true">NORMINV(RAND(),0,K$7)</f>
        <v>-1.28444342397963</v>
      </c>
      <c r="L1244" s="53" t="n">
        <f aca="true">NORMINV(RAND(),0,L$7)</f>
        <v>0.0485792682614005</v>
      </c>
      <c r="M1244" s="53" t="n">
        <f aca="true">NORMINV(RAND(),0,M$7)</f>
        <v>0.111064938506558</v>
      </c>
      <c r="N1244" s="53" t="n">
        <f aca="true">NORMINV(RAND(),0,N$7)</f>
        <v>-0.0521797392485223</v>
      </c>
      <c r="O1244" s="53" t="n">
        <f aca="false">SUM(J1244:N1244)</f>
        <v>-0.0211894818712611</v>
      </c>
    </row>
    <row r="1245" customFormat="false" ht="15" hidden="false" customHeight="false" outlineLevel="0" collapsed="false">
      <c r="A1245" s="2" t="n">
        <v>1237</v>
      </c>
      <c r="B1245" s="53" t="n">
        <f aca="true">NORMINV(RAND(),0,B$7)</f>
        <v>-0.324369743454103</v>
      </c>
      <c r="C1245" s="53" t="n">
        <f aca="true">NORMINV(RAND(),0,C$7)</f>
        <v>-1.02914550948355</v>
      </c>
      <c r="D1245" s="53" t="n">
        <f aca="true">NORMINV(RAND(),0,D$7)</f>
        <v>-0.673878204226421</v>
      </c>
      <c r="E1245" s="53" t="n">
        <f aca="true">NORMINV(RAND(),0,E$7)</f>
        <v>0.497983806741447</v>
      </c>
      <c r="F1245" s="53" t="n">
        <f aca="true">NORMINV(RAND(),0,F$7)</f>
        <v>-0.0201269717085416</v>
      </c>
      <c r="G1245" s="53" t="n">
        <f aca="true">NORMINV(RAND(),0,G$7)</f>
        <v>-1.12062567914164</v>
      </c>
      <c r="H1245" s="53" t="n">
        <f aca="true">NORMINV(RAND(),0,H$7)</f>
        <v>-0.555859668193066</v>
      </c>
      <c r="I1245" s="53" t="n">
        <f aca="false">SUM(B1245:H1245)</f>
        <v>-3.22602196946587</v>
      </c>
      <c r="J1245" s="53" t="n">
        <f aca="true">NORMINV(RAND(),0,J$7)</f>
        <v>-2.02272134785982</v>
      </c>
      <c r="K1245" s="53" t="n">
        <f aca="true">NORMINV(RAND(),0,K$7)</f>
        <v>-0.170330081427724</v>
      </c>
      <c r="L1245" s="53" t="n">
        <f aca="true">NORMINV(RAND(),0,L$7)</f>
        <v>0.416304041517615</v>
      </c>
      <c r="M1245" s="53" t="n">
        <f aca="true">NORMINV(RAND(),0,M$7)</f>
        <v>-0.155855028560948</v>
      </c>
      <c r="N1245" s="53" t="n">
        <f aca="true">NORMINV(RAND(),0,N$7)</f>
        <v>0.302318284406734</v>
      </c>
      <c r="O1245" s="53" t="n">
        <f aca="false">SUM(J1245:N1245)</f>
        <v>-1.63028413192415</v>
      </c>
    </row>
    <row r="1246" customFormat="false" ht="15" hidden="false" customHeight="false" outlineLevel="0" collapsed="false">
      <c r="A1246" s="2" t="n">
        <v>1238</v>
      </c>
      <c r="B1246" s="53" t="n">
        <f aca="true">NORMINV(RAND(),0,B$7)</f>
        <v>-1.15194943032091</v>
      </c>
      <c r="C1246" s="53" t="n">
        <f aca="true">NORMINV(RAND(),0,C$7)</f>
        <v>0.740900816083545</v>
      </c>
      <c r="D1246" s="53" t="n">
        <f aca="true">NORMINV(RAND(),0,D$7)</f>
        <v>-0.515773103271472</v>
      </c>
      <c r="E1246" s="53" t="n">
        <f aca="true">NORMINV(RAND(),0,E$7)</f>
        <v>-0.323389114825904</v>
      </c>
      <c r="F1246" s="53" t="n">
        <f aca="true">NORMINV(RAND(),0,F$7)</f>
        <v>-0.013649675607283</v>
      </c>
      <c r="G1246" s="53" t="n">
        <f aca="true">NORMINV(RAND(),0,G$7)</f>
        <v>0.730502025774373</v>
      </c>
      <c r="H1246" s="53" t="n">
        <f aca="true">NORMINV(RAND(),0,H$7)</f>
        <v>0.553409712703331</v>
      </c>
      <c r="I1246" s="53" t="n">
        <f aca="false">SUM(B1246:H1246)</f>
        <v>0.0200512305356784</v>
      </c>
      <c r="J1246" s="53" t="n">
        <f aca="true">NORMINV(RAND(),0,J$7)</f>
        <v>0.855690371914812</v>
      </c>
      <c r="K1246" s="53" t="n">
        <f aca="true">NORMINV(RAND(),0,K$7)</f>
        <v>-0.916182664223767</v>
      </c>
      <c r="L1246" s="53" t="n">
        <f aca="true">NORMINV(RAND(),0,L$7)</f>
        <v>0.0197031737858903</v>
      </c>
      <c r="M1246" s="53" t="n">
        <f aca="true">NORMINV(RAND(),0,M$7)</f>
        <v>-0.0135926651512865</v>
      </c>
      <c r="N1246" s="53" t="n">
        <f aca="true">NORMINV(RAND(),0,N$7)</f>
        <v>0.248065461279578</v>
      </c>
      <c r="O1246" s="53" t="n">
        <f aca="false">SUM(J1246:N1246)</f>
        <v>0.193683677605227</v>
      </c>
    </row>
    <row r="1247" customFormat="false" ht="15" hidden="false" customHeight="false" outlineLevel="0" collapsed="false">
      <c r="A1247" s="2" t="n">
        <v>1239</v>
      </c>
      <c r="B1247" s="53" t="n">
        <f aca="true">NORMINV(RAND(),0,B$7)</f>
        <v>-0.811912578179316</v>
      </c>
      <c r="C1247" s="53" t="n">
        <f aca="true">NORMINV(RAND(),0,C$7)</f>
        <v>-0.108557010725747</v>
      </c>
      <c r="D1247" s="53" t="n">
        <f aca="true">NORMINV(RAND(),0,D$7)</f>
        <v>1.20520967326888</v>
      </c>
      <c r="E1247" s="53" t="n">
        <f aca="true">NORMINV(RAND(),0,E$7)</f>
        <v>-0.0747306590736944</v>
      </c>
      <c r="F1247" s="53" t="n">
        <f aca="true">NORMINV(RAND(),0,F$7)</f>
        <v>0.0358480347934005</v>
      </c>
      <c r="G1247" s="53" t="n">
        <f aca="true">NORMINV(RAND(),0,G$7)</f>
        <v>0.592209369937954</v>
      </c>
      <c r="H1247" s="53" t="n">
        <f aca="true">NORMINV(RAND(),0,H$7)</f>
        <v>0.450726605356216</v>
      </c>
      <c r="I1247" s="53" t="n">
        <f aca="false">SUM(B1247:H1247)</f>
        <v>1.28879343537769</v>
      </c>
      <c r="J1247" s="53" t="n">
        <f aca="true">NORMINV(RAND(),0,J$7)</f>
        <v>-0.490496953003172</v>
      </c>
      <c r="K1247" s="53" t="n">
        <f aca="true">NORMINV(RAND(),0,K$7)</f>
        <v>-0.727959090649903</v>
      </c>
      <c r="L1247" s="53" t="n">
        <f aca="true">NORMINV(RAND(),0,L$7)</f>
        <v>-0.312842252731381</v>
      </c>
      <c r="M1247" s="53" t="n">
        <f aca="true">NORMINV(RAND(),0,M$7)</f>
        <v>0.0638387143490301</v>
      </c>
      <c r="N1247" s="53" t="n">
        <f aca="true">NORMINV(RAND(),0,N$7)</f>
        <v>-0.0299069855883372</v>
      </c>
      <c r="O1247" s="53" t="n">
        <f aca="false">SUM(J1247:N1247)</f>
        <v>-1.49736656762376</v>
      </c>
    </row>
    <row r="1248" customFormat="false" ht="15" hidden="false" customHeight="false" outlineLevel="0" collapsed="false">
      <c r="A1248" s="2" t="n">
        <v>1240</v>
      </c>
      <c r="B1248" s="53" t="n">
        <f aca="true">NORMINV(RAND(),0,B$7)</f>
        <v>0.36633195395395</v>
      </c>
      <c r="C1248" s="53" t="n">
        <f aca="true">NORMINV(RAND(),0,C$7)</f>
        <v>4.13716734164367</v>
      </c>
      <c r="D1248" s="53" t="n">
        <f aca="true">NORMINV(RAND(),0,D$7)</f>
        <v>2.32909444429639</v>
      </c>
      <c r="E1248" s="53" t="n">
        <f aca="true">NORMINV(RAND(),0,E$7)</f>
        <v>-0.0812973589682686</v>
      </c>
      <c r="F1248" s="53" t="n">
        <f aca="true">NORMINV(RAND(),0,F$7)</f>
        <v>0.307695038309988</v>
      </c>
      <c r="G1248" s="53" t="n">
        <f aca="true">NORMINV(RAND(),0,G$7)</f>
        <v>-1.72347526035055</v>
      </c>
      <c r="H1248" s="53" t="n">
        <f aca="true">NORMINV(RAND(),0,H$7)</f>
        <v>0.232421932486873</v>
      </c>
      <c r="I1248" s="53" t="n">
        <f aca="false">SUM(B1248:H1248)</f>
        <v>5.56793809137205</v>
      </c>
      <c r="J1248" s="53" t="n">
        <f aca="true">NORMINV(RAND(),0,J$7)</f>
        <v>0.688713824992511</v>
      </c>
      <c r="K1248" s="53" t="n">
        <f aca="true">NORMINV(RAND(),0,K$7)</f>
        <v>0.368509326429682</v>
      </c>
      <c r="L1248" s="53" t="n">
        <f aca="true">NORMINV(RAND(),0,L$7)</f>
        <v>-0.574664156064584</v>
      </c>
      <c r="M1248" s="53" t="n">
        <f aca="true">NORMINV(RAND(),0,M$7)</f>
        <v>0.37886356967229</v>
      </c>
      <c r="N1248" s="53" t="n">
        <f aca="true">NORMINV(RAND(),0,N$7)</f>
        <v>0.475719786571676</v>
      </c>
      <c r="O1248" s="53" t="n">
        <f aca="false">SUM(J1248:N1248)</f>
        <v>1.33714235160158</v>
      </c>
    </row>
    <row r="1249" customFormat="false" ht="15" hidden="false" customHeight="false" outlineLevel="0" collapsed="false">
      <c r="A1249" s="2" t="n">
        <v>1241</v>
      </c>
      <c r="B1249" s="53" t="n">
        <f aca="true">NORMINV(RAND(),0,B$7)</f>
        <v>1.23753690452726</v>
      </c>
      <c r="C1249" s="53" t="n">
        <f aca="true">NORMINV(RAND(),0,C$7)</f>
        <v>-2.38588134455473</v>
      </c>
      <c r="D1249" s="53" t="n">
        <f aca="true">NORMINV(RAND(),0,D$7)</f>
        <v>2.58505954291185</v>
      </c>
      <c r="E1249" s="53" t="n">
        <f aca="true">NORMINV(RAND(),0,E$7)</f>
        <v>0.422586247776619</v>
      </c>
      <c r="F1249" s="53" t="n">
        <f aca="true">NORMINV(RAND(),0,F$7)</f>
        <v>0.150487439494338</v>
      </c>
      <c r="G1249" s="53" t="n">
        <f aca="true">NORMINV(RAND(),0,G$7)</f>
        <v>0.0854695610429647</v>
      </c>
      <c r="H1249" s="53" t="n">
        <f aca="true">NORMINV(RAND(),0,H$7)</f>
        <v>0.288325062530814</v>
      </c>
      <c r="I1249" s="53" t="n">
        <f aca="false">SUM(B1249:H1249)</f>
        <v>2.38358341372912</v>
      </c>
      <c r="J1249" s="53" t="n">
        <f aca="true">NORMINV(RAND(),0,J$7)</f>
        <v>-2.30595515388856</v>
      </c>
      <c r="K1249" s="53" t="n">
        <f aca="true">NORMINV(RAND(),0,K$7)</f>
        <v>-0.28183127323555</v>
      </c>
      <c r="L1249" s="53" t="n">
        <f aca="true">NORMINV(RAND(),0,L$7)</f>
        <v>-0.345188629984545</v>
      </c>
      <c r="M1249" s="53" t="n">
        <f aca="true">NORMINV(RAND(),0,M$7)</f>
        <v>0.410105307182807</v>
      </c>
      <c r="N1249" s="53" t="n">
        <f aca="true">NORMINV(RAND(),0,N$7)</f>
        <v>0.0887605210337332</v>
      </c>
      <c r="O1249" s="53" t="n">
        <f aca="false">SUM(J1249:N1249)</f>
        <v>-2.43410922889212</v>
      </c>
    </row>
    <row r="1250" customFormat="false" ht="15" hidden="false" customHeight="false" outlineLevel="0" collapsed="false">
      <c r="A1250" s="2" t="n">
        <v>1242</v>
      </c>
      <c r="B1250" s="53" t="n">
        <f aca="true">NORMINV(RAND(),0,B$7)</f>
        <v>-0.342152529658305</v>
      </c>
      <c r="C1250" s="53" t="n">
        <f aca="true">NORMINV(RAND(),0,C$7)</f>
        <v>1.84534320258188</v>
      </c>
      <c r="D1250" s="53" t="n">
        <f aca="true">NORMINV(RAND(),0,D$7)</f>
        <v>1.8010075197465</v>
      </c>
      <c r="E1250" s="53" t="n">
        <f aca="true">NORMINV(RAND(),0,E$7)</f>
        <v>-0.305189671757559</v>
      </c>
      <c r="F1250" s="53" t="n">
        <f aca="true">NORMINV(RAND(),0,F$7)</f>
        <v>0.112436891852521</v>
      </c>
      <c r="G1250" s="53" t="n">
        <f aca="true">NORMINV(RAND(),0,G$7)</f>
        <v>1.19848652744257</v>
      </c>
      <c r="H1250" s="53" t="n">
        <f aca="true">NORMINV(RAND(),0,H$7)</f>
        <v>-0.219675702319547</v>
      </c>
      <c r="I1250" s="53" t="n">
        <f aca="false">SUM(B1250:H1250)</f>
        <v>4.09025623788806</v>
      </c>
      <c r="J1250" s="53" t="n">
        <f aca="true">NORMINV(RAND(),0,J$7)</f>
        <v>1.23953156824985</v>
      </c>
      <c r="K1250" s="53" t="n">
        <f aca="true">NORMINV(RAND(),0,K$7)</f>
        <v>0.062958717454503</v>
      </c>
      <c r="L1250" s="53" t="n">
        <f aca="true">NORMINV(RAND(),0,L$7)</f>
        <v>0.134823477511154</v>
      </c>
      <c r="M1250" s="53" t="n">
        <f aca="true">NORMINV(RAND(),0,M$7)</f>
        <v>-0.147228055095188</v>
      </c>
      <c r="N1250" s="53" t="n">
        <f aca="true">NORMINV(RAND(),0,N$7)</f>
        <v>-0.581032955258173</v>
      </c>
      <c r="O1250" s="53" t="n">
        <f aca="false">SUM(J1250:N1250)</f>
        <v>0.709052752862148</v>
      </c>
    </row>
    <row r="1251" customFormat="false" ht="15" hidden="false" customHeight="false" outlineLevel="0" collapsed="false">
      <c r="A1251" s="2" t="n">
        <v>1243</v>
      </c>
      <c r="B1251" s="53" t="n">
        <f aca="true">NORMINV(RAND(),0,B$7)</f>
        <v>2.15453743024439</v>
      </c>
      <c r="C1251" s="53" t="n">
        <f aca="true">NORMINV(RAND(),0,C$7)</f>
        <v>1.18293227119496</v>
      </c>
      <c r="D1251" s="53" t="n">
        <f aca="true">NORMINV(RAND(),0,D$7)</f>
        <v>0.542949261765333</v>
      </c>
      <c r="E1251" s="53" t="n">
        <f aca="true">NORMINV(RAND(),0,E$7)</f>
        <v>0.125774286075334</v>
      </c>
      <c r="F1251" s="53" t="n">
        <f aca="true">NORMINV(RAND(),0,F$7)</f>
        <v>-0.385140624318325</v>
      </c>
      <c r="G1251" s="53" t="n">
        <f aca="true">NORMINV(RAND(),0,G$7)</f>
        <v>-1.58174831243447</v>
      </c>
      <c r="H1251" s="53" t="n">
        <f aca="true">NORMINV(RAND(),0,H$7)</f>
        <v>0.269220763204983</v>
      </c>
      <c r="I1251" s="53" t="n">
        <f aca="false">SUM(B1251:H1251)</f>
        <v>2.30852507573221</v>
      </c>
      <c r="J1251" s="53" t="n">
        <f aca="true">NORMINV(RAND(),0,J$7)</f>
        <v>4.03188696358373</v>
      </c>
      <c r="K1251" s="53" t="n">
        <f aca="true">NORMINV(RAND(),0,K$7)</f>
        <v>-1.85870791430607</v>
      </c>
      <c r="L1251" s="53" t="n">
        <f aca="true">NORMINV(RAND(),0,L$7)</f>
        <v>0.007017615992668</v>
      </c>
      <c r="M1251" s="53" t="n">
        <f aca="true">NORMINV(RAND(),0,M$7)</f>
        <v>-0.186903658157251</v>
      </c>
      <c r="N1251" s="53" t="n">
        <f aca="true">NORMINV(RAND(),0,N$7)</f>
        <v>0.279677863991004</v>
      </c>
      <c r="O1251" s="53" t="n">
        <f aca="false">SUM(J1251:N1251)</f>
        <v>2.27297087110408</v>
      </c>
    </row>
    <row r="1252" customFormat="false" ht="15" hidden="false" customHeight="false" outlineLevel="0" collapsed="false">
      <c r="A1252" s="2" t="n">
        <v>1244</v>
      </c>
      <c r="B1252" s="53" t="n">
        <f aca="true">NORMINV(RAND(),0,B$7)</f>
        <v>0.114734274287802</v>
      </c>
      <c r="C1252" s="53" t="n">
        <f aca="true">NORMINV(RAND(),0,C$7)</f>
        <v>1.89797616333111</v>
      </c>
      <c r="D1252" s="53" t="n">
        <f aca="true">NORMINV(RAND(),0,D$7)</f>
        <v>1.0986993947582</v>
      </c>
      <c r="E1252" s="53" t="n">
        <f aca="true">NORMINV(RAND(),0,E$7)</f>
        <v>0.372660108026262</v>
      </c>
      <c r="F1252" s="53" t="n">
        <f aca="true">NORMINV(RAND(),0,F$7)</f>
        <v>-0.41993395642166</v>
      </c>
      <c r="G1252" s="53" t="n">
        <f aca="true">NORMINV(RAND(),0,G$7)</f>
        <v>-1.20615313068487</v>
      </c>
      <c r="H1252" s="53" t="n">
        <f aca="true">NORMINV(RAND(),0,H$7)</f>
        <v>0.172846225154625</v>
      </c>
      <c r="I1252" s="53" t="n">
        <f aca="false">SUM(B1252:H1252)</f>
        <v>2.03082907845148</v>
      </c>
      <c r="J1252" s="53" t="n">
        <f aca="true">NORMINV(RAND(),0,J$7)</f>
        <v>-1.45640627366466</v>
      </c>
      <c r="K1252" s="53" t="n">
        <f aca="true">NORMINV(RAND(),0,K$7)</f>
        <v>-0.37816770062816</v>
      </c>
      <c r="L1252" s="53" t="n">
        <f aca="true">NORMINV(RAND(),0,L$7)</f>
        <v>0.0398042532864149</v>
      </c>
      <c r="M1252" s="53" t="n">
        <f aca="true">NORMINV(RAND(),0,M$7)</f>
        <v>0.0454605946601763</v>
      </c>
      <c r="N1252" s="53" t="n">
        <f aca="true">NORMINV(RAND(),0,N$7)</f>
        <v>-0.0610466328956149</v>
      </c>
      <c r="O1252" s="53" t="n">
        <f aca="false">SUM(J1252:N1252)</f>
        <v>-1.81035575924185</v>
      </c>
    </row>
    <row r="1253" customFormat="false" ht="15" hidden="false" customHeight="false" outlineLevel="0" collapsed="false">
      <c r="A1253" s="2" t="n">
        <v>1245</v>
      </c>
      <c r="B1253" s="53" t="n">
        <f aca="true">NORMINV(RAND(),0,B$7)</f>
        <v>1.60489920941355</v>
      </c>
      <c r="C1253" s="53" t="n">
        <f aca="true">NORMINV(RAND(),0,C$7)</f>
        <v>-0.495133621137701</v>
      </c>
      <c r="D1253" s="53" t="n">
        <f aca="true">NORMINV(RAND(),0,D$7)</f>
        <v>0.393844533788574</v>
      </c>
      <c r="E1253" s="53" t="n">
        <f aca="true">NORMINV(RAND(),0,E$7)</f>
        <v>0.0445379401152249</v>
      </c>
      <c r="F1253" s="53" t="n">
        <f aca="true">NORMINV(RAND(),0,F$7)</f>
        <v>0.158157175698665</v>
      </c>
      <c r="G1253" s="53" t="n">
        <f aca="true">NORMINV(RAND(),0,G$7)</f>
        <v>1.17374947177285</v>
      </c>
      <c r="H1253" s="53" t="n">
        <f aca="true">NORMINV(RAND(),0,H$7)</f>
        <v>0.0206777674362201</v>
      </c>
      <c r="I1253" s="53" t="n">
        <f aca="false">SUM(B1253:H1253)</f>
        <v>2.90073247708738</v>
      </c>
      <c r="J1253" s="53" t="n">
        <f aca="true">NORMINV(RAND(),0,J$7)</f>
        <v>-1.09302230473107</v>
      </c>
      <c r="K1253" s="53" t="n">
        <f aca="true">NORMINV(RAND(),0,K$7)</f>
        <v>-0.00395615604903967</v>
      </c>
      <c r="L1253" s="53" t="n">
        <f aca="true">NORMINV(RAND(),0,L$7)</f>
        <v>0.122727267911393</v>
      </c>
      <c r="M1253" s="53" t="n">
        <f aca="true">NORMINV(RAND(),0,M$7)</f>
        <v>0.333218623851933</v>
      </c>
      <c r="N1253" s="53" t="n">
        <f aca="true">NORMINV(RAND(),0,N$7)</f>
        <v>0.273683652677059</v>
      </c>
      <c r="O1253" s="53" t="n">
        <f aca="false">SUM(J1253:N1253)</f>
        <v>-0.367348916339728</v>
      </c>
    </row>
    <row r="1254" customFormat="false" ht="15" hidden="false" customHeight="false" outlineLevel="0" collapsed="false">
      <c r="A1254" s="2" t="n">
        <v>1246</v>
      </c>
      <c r="B1254" s="53" t="n">
        <f aca="true">NORMINV(RAND(),0,B$7)</f>
        <v>-1.14131197233872</v>
      </c>
      <c r="C1254" s="53" t="n">
        <f aca="true">NORMINV(RAND(),0,C$7)</f>
        <v>1.27596656438164</v>
      </c>
      <c r="D1254" s="53" t="n">
        <f aca="true">NORMINV(RAND(),0,D$7)</f>
        <v>-0.713233474432799</v>
      </c>
      <c r="E1254" s="53" t="n">
        <f aca="true">NORMINV(RAND(),0,E$7)</f>
        <v>0.412190929006643</v>
      </c>
      <c r="F1254" s="53" t="n">
        <f aca="true">NORMINV(RAND(),0,F$7)</f>
        <v>-0.133953311266829</v>
      </c>
      <c r="G1254" s="53" t="n">
        <f aca="true">NORMINV(RAND(),0,G$7)</f>
        <v>0.714745617460055</v>
      </c>
      <c r="H1254" s="53" t="n">
        <f aca="true">NORMINV(RAND(),0,H$7)</f>
        <v>0.284030669134337</v>
      </c>
      <c r="I1254" s="53" t="n">
        <f aca="false">SUM(B1254:H1254)</f>
        <v>0.698435021944331</v>
      </c>
      <c r="J1254" s="53" t="n">
        <f aca="true">NORMINV(RAND(),0,J$7)</f>
        <v>-0.773081930951998</v>
      </c>
      <c r="K1254" s="53" t="n">
        <f aca="true">NORMINV(RAND(),0,K$7)</f>
        <v>0.701870975165159</v>
      </c>
      <c r="L1254" s="53" t="n">
        <f aca="true">NORMINV(RAND(),0,L$7)</f>
        <v>0.565593982440293</v>
      </c>
      <c r="M1254" s="53" t="n">
        <f aca="true">NORMINV(RAND(),0,M$7)</f>
        <v>-0.0261159684649688</v>
      </c>
      <c r="N1254" s="53" t="n">
        <f aca="true">NORMINV(RAND(),0,N$7)</f>
        <v>-0.226937346555133</v>
      </c>
      <c r="O1254" s="53" t="n">
        <f aca="false">SUM(J1254:N1254)</f>
        <v>0.241329711633353</v>
      </c>
    </row>
    <row r="1255" customFormat="false" ht="15" hidden="false" customHeight="false" outlineLevel="0" collapsed="false">
      <c r="A1255" s="2" t="n">
        <v>1247</v>
      </c>
      <c r="B1255" s="53" t="n">
        <f aca="true">NORMINV(RAND(),0,B$7)</f>
        <v>1.92645129667431</v>
      </c>
      <c r="C1255" s="53" t="n">
        <f aca="true">NORMINV(RAND(),0,C$7)</f>
        <v>-2.056884689803</v>
      </c>
      <c r="D1255" s="53" t="n">
        <f aca="true">NORMINV(RAND(),0,D$7)</f>
        <v>2.63899152888036</v>
      </c>
      <c r="E1255" s="53" t="n">
        <f aca="true">NORMINV(RAND(),0,E$7)</f>
        <v>-0.230451983262129</v>
      </c>
      <c r="F1255" s="53" t="n">
        <f aca="true">NORMINV(RAND(),0,F$7)</f>
        <v>-0.0439102151210097</v>
      </c>
      <c r="G1255" s="53" t="n">
        <f aca="true">NORMINV(RAND(),0,G$7)</f>
        <v>-1.26963286853486</v>
      </c>
      <c r="H1255" s="53" t="n">
        <f aca="true">NORMINV(RAND(),0,H$7)</f>
        <v>0.601584791888579</v>
      </c>
      <c r="I1255" s="53" t="n">
        <f aca="false">SUM(B1255:H1255)</f>
        <v>1.56614786072225</v>
      </c>
      <c r="J1255" s="53" t="n">
        <f aca="true">NORMINV(RAND(),0,J$7)</f>
        <v>-6.08447248403792</v>
      </c>
      <c r="K1255" s="53" t="n">
        <f aca="true">NORMINV(RAND(),0,K$7)</f>
        <v>-0.41305554321852</v>
      </c>
      <c r="L1255" s="53" t="n">
        <f aca="true">NORMINV(RAND(),0,L$7)</f>
        <v>0.222204910873109</v>
      </c>
      <c r="M1255" s="53" t="n">
        <f aca="true">NORMINV(RAND(),0,M$7)</f>
        <v>-0.185545640816528</v>
      </c>
      <c r="N1255" s="53" t="n">
        <f aca="true">NORMINV(RAND(),0,N$7)</f>
        <v>0.466279397573863</v>
      </c>
      <c r="O1255" s="53" t="n">
        <f aca="false">SUM(J1255:N1255)</f>
        <v>-5.994589359626</v>
      </c>
    </row>
    <row r="1256" customFormat="false" ht="15" hidden="false" customHeight="false" outlineLevel="0" collapsed="false">
      <c r="A1256" s="2" t="n">
        <v>1248</v>
      </c>
      <c r="B1256" s="53" t="n">
        <f aca="true">NORMINV(RAND(),0,B$7)</f>
        <v>-0.140376668260906</v>
      </c>
      <c r="C1256" s="53" t="n">
        <f aca="true">NORMINV(RAND(),0,C$7)</f>
        <v>1.23148730540084</v>
      </c>
      <c r="D1256" s="53" t="n">
        <f aca="true">NORMINV(RAND(),0,D$7)</f>
        <v>0.308630384044083</v>
      </c>
      <c r="E1256" s="53" t="n">
        <f aca="true">NORMINV(RAND(),0,E$7)</f>
        <v>0.444391531375625</v>
      </c>
      <c r="F1256" s="53" t="n">
        <f aca="true">NORMINV(RAND(),0,F$7)</f>
        <v>-0.271697065375624</v>
      </c>
      <c r="G1256" s="53" t="n">
        <f aca="true">NORMINV(RAND(),0,G$7)</f>
        <v>-1.8905784521088</v>
      </c>
      <c r="H1256" s="53" t="n">
        <f aca="true">NORMINV(RAND(),0,H$7)</f>
        <v>-0.0424218399711339</v>
      </c>
      <c r="I1256" s="53" t="n">
        <f aca="false">SUM(B1256:H1256)</f>
        <v>-0.360564804895915</v>
      </c>
      <c r="J1256" s="53" t="n">
        <f aca="true">NORMINV(RAND(),0,J$7)</f>
        <v>2.65859244903392</v>
      </c>
      <c r="K1256" s="53" t="n">
        <f aca="true">NORMINV(RAND(),0,K$7)</f>
        <v>1.19629881348487</v>
      </c>
      <c r="L1256" s="53" t="n">
        <f aca="true">NORMINV(RAND(),0,L$7)</f>
        <v>-0.250244029956418</v>
      </c>
      <c r="M1256" s="53" t="n">
        <f aca="true">NORMINV(RAND(),0,M$7)</f>
        <v>-0.0432595022483605</v>
      </c>
      <c r="N1256" s="53" t="n">
        <f aca="true">NORMINV(RAND(),0,N$7)</f>
        <v>0.494535432858436</v>
      </c>
      <c r="O1256" s="53" t="n">
        <f aca="false">SUM(J1256:N1256)</f>
        <v>4.05592316317246</v>
      </c>
    </row>
    <row r="1257" customFormat="false" ht="15" hidden="false" customHeight="false" outlineLevel="0" collapsed="false">
      <c r="A1257" s="2" t="n">
        <v>1249</v>
      </c>
      <c r="B1257" s="53" t="n">
        <f aca="true">NORMINV(RAND(),0,B$7)</f>
        <v>1.38799967688407</v>
      </c>
      <c r="C1257" s="53" t="n">
        <f aca="true">NORMINV(RAND(),0,C$7)</f>
        <v>-0.38621629806358</v>
      </c>
      <c r="D1257" s="53" t="n">
        <f aca="true">NORMINV(RAND(),0,D$7)</f>
        <v>-0.503466602577969</v>
      </c>
      <c r="E1257" s="53" t="n">
        <f aca="true">NORMINV(RAND(),0,E$7)</f>
        <v>-0.257051076070164</v>
      </c>
      <c r="F1257" s="53" t="n">
        <f aca="true">NORMINV(RAND(),0,F$7)</f>
        <v>-0.0667181736788996</v>
      </c>
      <c r="G1257" s="53" t="n">
        <f aca="true">NORMINV(RAND(),0,G$7)</f>
        <v>0.871442965516365</v>
      </c>
      <c r="H1257" s="53" t="n">
        <f aca="true">NORMINV(RAND(),0,H$7)</f>
        <v>-0.200971278752735</v>
      </c>
      <c r="I1257" s="53" t="n">
        <f aca="false">SUM(B1257:H1257)</f>
        <v>0.845019213257085</v>
      </c>
      <c r="J1257" s="53" t="n">
        <f aca="true">NORMINV(RAND(),0,J$7)</f>
        <v>-0.0434489953859114</v>
      </c>
      <c r="K1257" s="53" t="n">
        <f aca="true">NORMINV(RAND(),0,K$7)</f>
        <v>0.181144414045251</v>
      </c>
      <c r="L1257" s="53" t="n">
        <f aca="true">NORMINV(RAND(),0,L$7)</f>
        <v>0.408134353407921</v>
      </c>
      <c r="M1257" s="53" t="n">
        <f aca="true">NORMINV(RAND(),0,M$7)</f>
        <v>-0.424720978936135</v>
      </c>
      <c r="N1257" s="53" t="n">
        <f aca="true">NORMINV(RAND(),0,N$7)</f>
        <v>-0.264963172426504</v>
      </c>
      <c r="O1257" s="53" t="n">
        <f aca="false">SUM(J1257:N1257)</f>
        <v>-0.143854379295378</v>
      </c>
    </row>
    <row r="1258" customFormat="false" ht="15" hidden="false" customHeight="false" outlineLevel="0" collapsed="false">
      <c r="A1258" s="2" t="n">
        <v>1250</v>
      </c>
      <c r="B1258" s="53" t="n">
        <f aca="true">NORMINV(RAND(),0,B$7)</f>
        <v>2.51103152472788</v>
      </c>
      <c r="C1258" s="53" t="n">
        <f aca="true">NORMINV(RAND(),0,C$7)</f>
        <v>0.259042196925922</v>
      </c>
      <c r="D1258" s="53" t="n">
        <f aca="true">NORMINV(RAND(),0,D$7)</f>
        <v>-0.0262940549063076</v>
      </c>
      <c r="E1258" s="53" t="n">
        <f aca="true">NORMINV(RAND(),0,E$7)</f>
        <v>-0.166339178173219</v>
      </c>
      <c r="F1258" s="53" t="n">
        <f aca="true">NORMINV(RAND(),0,F$7)</f>
        <v>0.361965687363457</v>
      </c>
      <c r="G1258" s="53" t="n">
        <f aca="true">NORMINV(RAND(),0,G$7)</f>
        <v>-1.38608955352524</v>
      </c>
      <c r="H1258" s="53" t="n">
        <f aca="true">NORMINV(RAND(),0,H$7)</f>
        <v>0.665340308821987</v>
      </c>
      <c r="I1258" s="53" t="n">
        <f aca="false">SUM(B1258:H1258)</f>
        <v>2.21865693123448</v>
      </c>
      <c r="J1258" s="53" t="n">
        <f aca="true">NORMINV(RAND(),0,J$7)</f>
        <v>-0.183033783180187</v>
      </c>
      <c r="K1258" s="53" t="n">
        <f aca="true">NORMINV(RAND(),0,K$7)</f>
        <v>0.746780427669395</v>
      </c>
      <c r="L1258" s="53" t="n">
        <f aca="true">NORMINV(RAND(),0,L$7)</f>
        <v>0.129965441035927</v>
      </c>
      <c r="M1258" s="53" t="n">
        <f aca="true">NORMINV(RAND(),0,M$7)</f>
        <v>-0.00276030778103322</v>
      </c>
      <c r="N1258" s="53" t="n">
        <f aca="true">NORMINV(RAND(),0,N$7)</f>
        <v>-0.023616453341669</v>
      </c>
      <c r="O1258" s="53" t="n">
        <f aca="false">SUM(J1258:N1258)</f>
        <v>0.667335324402433</v>
      </c>
    </row>
    <row r="1259" customFormat="false" ht="15" hidden="false" customHeight="false" outlineLevel="0" collapsed="false">
      <c r="A1259" s="2" t="n">
        <v>1251</v>
      </c>
      <c r="B1259" s="53" t="n">
        <f aca="true">NORMINV(RAND(),0,B$7)</f>
        <v>-0.424519166387178</v>
      </c>
      <c r="C1259" s="53" t="n">
        <f aca="true">NORMINV(RAND(),0,C$7)</f>
        <v>1.40237054404483</v>
      </c>
      <c r="D1259" s="53" t="n">
        <f aca="true">NORMINV(RAND(),0,D$7)</f>
        <v>-1.49258585998778</v>
      </c>
      <c r="E1259" s="53" t="n">
        <f aca="true">NORMINV(RAND(),0,E$7)</f>
        <v>-0.123757733318859</v>
      </c>
      <c r="F1259" s="53" t="n">
        <f aca="true">NORMINV(RAND(),0,F$7)</f>
        <v>-0.751519528820169</v>
      </c>
      <c r="G1259" s="53" t="n">
        <f aca="true">NORMINV(RAND(),0,G$7)</f>
        <v>0.147960375701972</v>
      </c>
      <c r="H1259" s="53" t="n">
        <f aca="true">NORMINV(RAND(),0,H$7)</f>
        <v>-0.00590881485369834</v>
      </c>
      <c r="I1259" s="53" t="n">
        <f aca="false">SUM(B1259:H1259)</f>
        <v>-1.24796018362088</v>
      </c>
      <c r="J1259" s="53" t="n">
        <f aca="true">NORMINV(RAND(),0,J$7)</f>
        <v>1.55206734003842</v>
      </c>
      <c r="K1259" s="53" t="n">
        <f aca="true">NORMINV(RAND(),0,K$7)</f>
        <v>0.535064091847683</v>
      </c>
      <c r="L1259" s="53" t="n">
        <f aca="true">NORMINV(RAND(),0,L$7)</f>
        <v>0.518301248690406</v>
      </c>
      <c r="M1259" s="53" t="n">
        <f aca="true">NORMINV(RAND(),0,M$7)</f>
        <v>-0.166840953157635</v>
      </c>
      <c r="N1259" s="53" t="n">
        <f aca="true">NORMINV(RAND(),0,N$7)</f>
        <v>0.537804047404785</v>
      </c>
      <c r="O1259" s="53" t="n">
        <f aca="false">SUM(J1259:N1259)</f>
        <v>2.97639577482365</v>
      </c>
    </row>
    <row r="1260" customFormat="false" ht="15" hidden="false" customHeight="false" outlineLevel="0" collapsed="false">
      <c r="A1260" s="2" t="n">
        <v>1252</v>
      </c>
      <c r="B1260" s="53" t="n">
        <f aca="true">NORMINV(RAND(),0,B$7)</f>
        <v>-1.04368539807103</v>
      </c>
      <c r="C1260" s="53" t="n">
        <f aca="true">NORMINV(RAND(),0,C$7)</f>
        <v>-0.989440159066046</v>
      </c>
      <c r="D1260" s="53" t="n">
        <f aca="true">NORMINV(RAND(),0,D$7)</f>
        <v>-1.91664791023813</v>
      </c>
      <c r="E1260" s="53" t="n">
        <f aca="true">NORMINV(RAND(),0,E$7)</f>
        <v>0.141557596775253</v>
      </c>
      <c r="F1260" s="53" t="n">
        <f aca="true">NORMINV(RAND(),0,F$7)</f>
        <v>0.246001728243679</v>
      </c>
      <c r="G1260" s="53" t="n">
        <f aca="true">NORMINV(RAND(),0,G$7)</f>
        <v>-1.24835414497465</v>
      </c>
      <c r="H1260" s="53" t="n">
        <f aca="true">NORMINV(RAND(),0,H$7)</f>
        <v>-0.386665762867417</v>
      </c>
      <c r="I1260" s="53" t="n">
        <f aca="false">SUM(B1260:H1260)</f>
        <v>-5.19723405019835</v>
      </c>
      <c r="J1260" s="53" t="n">
        <f aca="true">NORMINV(RAND(),0,J$7)</f>
        <v>2.42228798706172</v>
      </c>
      <c r="K1260" s="53" t="n">
        <f aca="true">NORMINV(RAND(),0,K$7)</f>
        <v>0.777982559295528</v>
      </c>
      <c r="L1260" s="53" t="n">
        <f aca="true">NORMINV(RAND(),0,L$7)</f>
        <v>0.26827624861878</v>
      </c>
      <c r="M1260" s="53" t="n">
        <f aca="true">NORMINV(RAND(),0,M$7)</f>
        <v>-0.109926789985316</v>
      </c>
      <c r="N1260" s="53" t="n">
        <f aca="true">NORMINV(RAND(),0,N$7)</f>
        <v>-0.0364563690267016</v>
      </c>
      <c r="O1260" s="53" t="n">
        <f aca="false">SUM(J1260:N1260)</f>
        <v>3.32216363596401</v>
      </c>
    </row>
    <row r="1261" customFormat="false" ht="15" hidden="false" customHeight="false" outlineLevel="0" collapsed="false">
      <c r="A1261" s="2" t="n">
        <v>1253</v>
      </c>
      <c r="B1261" s="53" t="n">
        <f aca="true">NORMINV(RAND(),0,B$7)</f>
        <v>0.0818750005308657</v>
      </c>
      <c r="C1261" s="53" t="n">
        <f aca="true">NORMINV(RAND(),0,C$7)</f>
        <v>1.8342253599191</v>
      </c>
      <c r="D1261" s="53" t="n">
        <f aca="true">NORMINV(RAND(),0,D$7)</f>
        <v>2.5409475892572</v>
      </c>
      <c r="E1261" s="53" t="n">
        <f aca="true">NORMINV(RAND(),0,E$7)</f>
        <v>-0.317260127708526</v>
      </c>
      <c r="F1261" s="53" t="n">
        <f aca="true">NORMINV(RAND(),0,F$7)</f>
        <v>-0.471123474658208</v>
      </c>
      <c r="G1261" s="53" t="n">
        <f aca="true">NORMINV(RAND(),0,G$7)</f>
        <v>0.162177018285057</v>
      </c>
      <c r="H1261" s="53" t="n">
        <f aca="true">NORMINV(RAND(),0,H$7)</f>
        <v>-0.38671547206262</v>
      </c>
      <c r="I1261" s="53" t="n">
        <f aca="false">SUM(B1261:H1261)</f>
        <v>3.44412589356286</v>
      </c>
      <c r="J1261" s="53" t="n">
        <f aca="true">NORMINV(RAND(),0,J$7)</f>
        <v>0.559321559229067</v>
      </c>
      <c r="K1261" s="53" t="n">
        <f aca="true">NORMINV(RAND(),0,K$7)</f>
        <v>-0.074658093820976</v>
      </c>
      <c r="L1261" s="53" t="n">
        <f aca="true">NORMINV(RAND(),0,L$7)</f>
        <v>0.512054996120035</v>
      </c>
      <c r="M1261" s="53" t="n">
        <f aca="true">NORMINV(RAND(),0,M$7)</f>
        <v>0.112018690621556</v>
      </c>
      <c r="N1261" s="53" t="n">
        <f aca="true">NORMINV(RAND(),0,N$7)</f>
        <v>-0.176858821503913</v>
      </c>
      <c r="O1261" s="53" t="n">
        <f aca="false">SUM(J1261:N1261)</f>
        <v>0.931878330645769</v>
      </c>
    </row>
    <row r="1262" customFormat="false" ht="15" hidden="false" customHeight="false" outlineLevel="0" collapsed="false">
      <c r="A1262" s="2" t="n">
        <v>1254</v>
      </c>
      <c r="B1262" s="53" t="n">
        <f aca="true">NORMINV(RAND(),0,B$7)</f>
        <v>1.90483419801453</v>
      </c>
      <c r="C1262" s="53" t="n">
        <f aca="true">NORMINV(RAND(),0,C$7)</f>
        <v>-0.357156117273439</v>
      </c>
      <c r="D1262" s="53" t="n">
        <f aca="true">NORMINV(RAND(),0,D$7)</f>
        <v>-0.123001925816992</v>
      </c>
      <c r="E1262" s="53" t="n">
        <f aca="true">NORMINV(RAND(),0,E$7)</f>
        <v>0.160948496424943</v>
      </c>
      <c r="F1262" s="53" t="n">
        <f aca="true">NORMINV(RAND(),0,F$7)</f>
        <v>-0.209457664334644</v>
      </c>
      <c r="G1262" s="53" t="n">
        <f aca="true">NORMINV(RAND(),0,G$7)</f>
        <v>-2.68371451582546</v>
      </c>
      <c r="H1262" s="53" t="n">
        <f aca="true">NORMINV(RAND(),0,H$7)</f>
        <v>0.133416799155784</v>
      </c>
      <c r="I1262" s="53" t="n">
        <f aca="false">SUM(B1262:H1262)</f>
        <v>-1.17413072965528</v>
      </c>
      <c r="J1262" s="53" t="n">
        <f aca="true">NORMINV(RAND(),0,J$7)</f>
        <v>-2.18035307354542</v>
      </c>
      <c r="K1262" s="53" t="n">
        <f aca="true">NORMINV(RAND(),0,K$7)</f>
        <v>0.272937728127821</v>
      </c>
      <c r="L1262" s="53" t="n">
        <f aca="true">NORMINV(RAND(),0,L$7)</f>
        <v>-0.307412944461078</v>
      </c>
      <c r="M1262" s="53" t="n">
        <f aca="true">NORMINV(RAND(),0,M$7)</f>
        <v>-0.0733584885195779</v>
      </c>
      <c r="N1262" s="53" t="n">
        <f aca="true">NORMINV(RAND(),0,N$7)</f>
        <v>0.0718335323758102</v>
      </c>
      <c r="O1262" s="53" t="n">
        <f aca="false">SUM(J1262:N1262)</f>
        <v>-2.21635324602245</v>
      </c>
    </row>
    <row r="1263" customFormat="false" ht="15" hidden="false" customHeight="false" outlineLevel="0" collapsed="false">
      <c r="A1263" s="2" t="n">
        <v>1255</v>
      </c>
      <c r="B1263" s="53" t="n">
        <f aca="true">NORMINV(RAND(),0,B$7)</f>
        <v>-1.27327287212955</v>
      </c>
      <c r="C1263" s="53" t="n">
        <f aca="true">NORMINV(RAND(),0,C$7)</f>
        <v>-0.341828319878585</v>
      </c>
      <c r="D1263" s="53" t="n">
        <f aca="true">NORMINV(RAND(),0,D$7)</f>
        <v>2.74318620739789</v>
      </c>
      <c r="E1263" s="53" t="n">
        <f aca="true">NORMINV(RAND(),0,E$7)</f>
        <v>0.45132618684011</v>
      </c>
      <c r="F1263" s="53" t="n">
        <f aca="true">NORMINV(RAND(),0,F$7)</f>
        <v>-0.302412913749144</v>
      </c>
      <c r="G1263" s="53" t="n">
        <f aca="true">NORMINV(RAND(),0,G$7)</f>
        <v>1.90345856445521</v>
      </c>
      <c r="H1263" s="53" t="n">
        <f aca="true">NORMINV(RAND(),0,H$7)</f>
        <v>0.157017313145268</v>
      </c>
      <c r="I1263" s="53" t="n">
        <f aca="false">SUM(B1263:H1263)</f>
        <v>3.33747416608119</v>
      </c>
      <c r="J1263" s="53" t="n">
        <f aca="true">NORMINV(RAND(),0,J$7)</f>
        <v>0.322837356455549</v>
      </c>
      <c r="K1263" s="53" t="n">
        <f aca="true">NORMINV(RAND(),0,K$7)</f>
        <v>0.689110897958781</v>
      </c>
      <c r="L1263" s="53" t="n">
        <f aca="true">NORMINV(RAND(),0,L$7)</f>
        <v>0.0546526409215175</v>
      </c>
      <c r="M1263" s="53" t="n">
        <f aca="true">NORMINV(RAND(),0,M$7)</f>
        <v>0.416108182247503</v>
      </c>
      <c r="N1263" s="53" t="n">
        <f aca="true">NORMINV(RAND(),0,N$7)</f>
        <v>0.169003252561225</v>
      </c>
      <c r="O1263" s="53" t="n">
        <f aca="false">SUM(J1263:N1263)</f>
        <v>1.65171233014457</v>
      </c>
    </row>
    <row r="1264" customFormat="false" ht="15" hidden="false" customHeight="false" outlineLevel="0" collapsed="false">
      <c r="A1264" s="2" t="n">
        <v>1256</v>
      </c>
      <c r="B1264" s="53" t="n">
        <f aca="true">NORMINV(RAND(),0,B$7)</f>
        <v>3.50782831939189</v>
      </c>
      <c r="C1264" s="53" t="n">
        <f aca="true">NORMINV(RAND(),0,C$7)</f>
        <v>1.698580480615</v>
      </c>
      <c r="D1264" s="53" t="n">
        <f aca="true">NORMINV(RAND(),0,D$7)</f>
        <v>-1.21322009719083</v>
      </c>
      <c r="E1264" s="53" t="n">
        <f aca="true">NORMINV(RAND(),0,E$7)</f>
        <v>0.101672316931885</v>
      </c>
      <c r="F1264" s="53" t="n">
        <f aca="true">NORMINV(RAND(),0,F$7)</f>
        <v>-0.447923847113418</v>
      </c>
      <c r="G1264" s="53" t="n">
        <f aca="true">NORMINV(RAND(),0,G$7)</f>
        <v>-0.517320997664718</v>
      </c>
      <c r="H1264" s="53" t="n">
        <f aca="true">NORMINV(RAND(),0,H$7)</f>
        <v>0.414082178663624</v>
      </c>
      <c r="I1264" s="53" t="n">
        <f aca="false">SUM(B1264:H1264)</f>
        <v>3.54369835363344</v>
      </c>
      <c r="J1264" s="53" t="n">
        <f aca="true">NORMINV(RAND(),0,J$7)</f>
        <v>-3.85769919988257</v>
      </c>
      <c r="K1264" s="53" t="n">
        <f aca="true">NORMINV(RAND(),0,K$7)</f>
        <v>0.342521131018586</v>
      </c>
      <c r="L1264" s="53" t="n">
        <f aca="true">NORMINV(RAND(),0,L$7)</f>
        <v>0.288480481211934</v>
      </c>
      <c r="M1264" s="53" t="n">
        <f aca="true">NORMINV(RAND(),0,M$7)</f>
        <v>0.0474272786658645</v>
      </c>
      <c r="N1264" s="53" t="n">
        <f aca="true">NORMINV(RAND(),0,N$7)</f>
        <v>-0.0722986984650948</v>
      </c>
      <c r="O1264" s="53" t="n">
        <f aca="false">SUM(J1264:N1264)</f>
        <v>-3.25156900745128</v>
      </c>
    </row>
    <row r="1265" customFormat="false" ht="15" hidden="false" customHeight="false" outlineLevel="0" collapsed="false">
      <c r="A1265" s="2" t="n">
        <v>1257</v>
      </c>
      <c r="B1265" s="53" t="n">
        <f aca="true">NORMINV(RAND(),0,B$7)</f>
        <v>1.27038446266098</v>
      </c>
      <c r="C1265" s="53" t="n">
        <f aca="true">NORMINV(RAND(),0,C$7)</f>
        <v>1.32733714884909</v>
      </c>
      <c r="D1265" s="53" t="n">
        <f aca="true">NORMINV(RAND(),0,D$7)</f>
        <v>0.93907394956751</v>
      </c>
      <c r="E1265" s="53" t="n">
        <f aca="true">NORMINV(RAND(),0,E$7)</f>
        <v>0.386909632369939</v>
      </c>
      <c r="F1265" s="53" t="n">
        <f aca="true">NORMINV(RAND(),0,F$7)</f>
        <v>-0.00727901292898165</v>
      </c>
      <c r="G1265" s="53" t="n">
        <f aca="true">NORMINV(RAND(),0,G$7)</f>
        <v>-0.273029284395563</v>
      </c>
      <c r="H1265" s="53" t="n">
        <f aca="true">NORMINV(RAND(),0,H$7)</f>
        <v>0.273892496484802</v>
      </c>
      <c r="I1265" s="53" t="n">
        <f aca="false">SUM(B1265:H1265)</f>
        <v>3.91728939260778</v>
      </c>
      <c r="J1265" s="53" t="n">
        <f aca="true">NORMINV(RAND(),0,J$7)</f>
        <v>0.51033691845595</v>
      </c>
      <c r="K1265" s="53" t="n">
        <f aca="true">NORMINV(RAND(),0,K$7)</f>
        <v>0.156721561895914</v>
      </c>
      <c r="L1265" s="53" t="n">
        <f aca="true">NORMINV(RAND(),0,L$7)</f>
        <v>0.405794177934972</v>
      </c>
      <c r="M1265" s="53" t="n">
        <f aca="true">NORMINV(RAND(),0,M$7)</f>
        <v>0.107480225680715</v>
      </c>
      <c r="N1265" s="53" t="n">
        <f aca="true">NORMINV(RAND(),0,N$7)</f>
        <v>-0.139961170396413</v>
      </c>
      <c r="O1265" s="53" t="n">
        <f aca="false">SUM(J1265:N1265)</f>
        <v>1.04037171357114</v>
      </c>
    </row>
    <row r="1266" customFormat="false" ht="15" hidden="false" customHeight="false" outlineLevel="0" collapsed="false">
      <c r="A1266" s="2" t="n">
        <v>1258</v>
      </c>
      <c r="B1266" s="53" t="n">
        <f aca="true">NORMINV(RAND(),0,B$7)</f>
        <v>2.28718095788661</v>
      </c>
      <c r="C1266" s="53" t="n">
        <f aca="true">NORMINV(RAND(),0,C$7)</f>
        <v>0.715336336560286</v>
      </c>
      <c r="D1266" s="53" t="n">
        <f aca="true">NORMINV(RAND(),0,D$7)</f>
        <v>-0.716365966491341</v>
      </c>
      <c r="E1266" s="53" t="n">
        <f aca="true">NORMINV(RAND(),0,E$7)</f>
        <v>-0.0380914961848951</v>
      </c>
      <c r="F1266" s="53" t="n">
        <f aca="true">NORMINV(RAND(),0,F$7)</f>
        <v>0.181074391089982</v>
      </c>
      <c r="G1266" s="53" t="n">
        <f aca="true">NORMINV(RAND(),0,G$7)</f>
        <v>0.196354709137643</v>
      </c>
      <c r="H1266" s="53" t="n">
        <f aca="true">NORMINV(RAND(),0,H$7)</f>
        <v>0.61720643842611</v>
      </c>
      <c r="I1266" s="53" t="n">
        <f aca="false">SUM(B1266:H1266)</f>
        <v>3.2426953704244</v>
      </c>
      <c r="J1266" s="53" t="n">
        <f aca="true">NORMINV(RAND(),0,J$7)</f>
        <v>-2.24851544202508</v>
      </c>
      <c r="K1266" s="53" t="n">
        <f aca="true">NORMINV(RAND(),0,K$7)</f>
        <v>-0.31674909983564</v>
      </c>
      <c r="L1266" s="53" t="n">
        <f aca="true">NORMINV(RAND(),0,L$7)</f>
        <v>-0.171809869943603</v>
      </c>
      <c r="M1266" s="53" t="n">
        <f aca="true">NORMINV(RAND(),0,M$7)</f>
        <v>0.119516114137066</v>
      </c>
      <c r="N1266" s="53" t="n">
        <f aca="true">NORMINV(RAND(),0,N$7)</f>
        <v>-0.218347429048179</v>
      </c>
      <c r="O1266" s="53" t="n">
        <f aca="false">SUM(J1266:N1266)</f>
        <v>-2.83590572671543</v>
      </c>
    </row>
    <row r="1267" customFormat="false" ht="15" hidden="false" customHeight="false" outlineLevel="0" collapsed="false">
      <c r="A1267" s="2" t="n">
        <v>1259</v>
      </c>
      <c r="B1267" s="53" t="n">
        <f aca="true">NORMINV(RAND(),0,B$7)</f>
        <v>-2.34231480781224</v>
      </c>
      <c r="C1267" s="53" t="n">
        <f aca="true">NORMINV(RAND(),0,C$7)</f>
        <v>0.580518426367969</v>
      </c>
      <c r="D1267" s="53" t="n">
        <f aca="true">NORMINV(RAND(),0,D$7)</f>
        <v>1.57614026236782</v>
      </c>
      <c r="E1267" s="53" t="n">
        <f aca="true">NORMINV(RAND(),0,E$7)</f>
        <v>0.0302625777346014</v>
      </c>
      <c r="F1267" s="53" t="n">
        <f aca="true">NORMINV(RAND(),0,F$7)</f>
        <v>0.28822127052171</v>
      </c>
      <c r="G1267" s="53" t="n">
        <f aca="true">NORMINV(RAND(),0,G$7)</f>
        <v>1.22565710469411</v>
      </c>
      <c r="H1267" s="53" t="n">
        <f aca="true">NORMINV(RAND(),0,H$7)</f>
        <v>-0.144459688233962</v>
      </c>
      <c r="I1267" s="53" t="n">
        <f aca="false">SUM(B1267:H1267)</f>
        <v>1.21402514564001</v>
      </c>
      <c r="J1267" s="53" t="n">
        <f aca="true">NORMINV(RAND(),0,J$7)</f>
        <v>0.443383085936714</v>
      </c>
      <c r="K1267" s="53" t="n">
        <f aca="true">NORMINV(RAND(),0,K$7)</f>
        <v>-0.246382198443348</v>
      </c>
      <c r="L1267" s="53" t="n">
        <f aca="true">NORMINV(RAND(),0,L$7)</f>
        <v>-0.343421558034105</v>
      </c>
      <c r="M1267" s="53" t="n">
        <f aca="true">NORMINV(RAND(),0,M$7)</f>
        <v>0.0547397172905883</v>
      </c>
      <c r="N1267" s="53" t="n">
        <f aca="true">NORMINV(RAND(),0,N$7)</f>
        <v>0.392419958198122</v>
      </c>
      <c r="O1267" s="53" t="n">
        <f aca="false">SUM(J1267:N1267)</f>
        <v>0.300739004947971</v>
      </c>
    </row>
    <row r="1268" customFormat="false" ht="15" hidden="false" customHeight="false" outlineLevel="0" collapsed="false">
      <c r="A1268" s="2" t="n">
        <v>1260</v>
      </c>
      <c r="B1268" s="53" t="n">
        <f aca="true">NORMINV(RAND(),0,B$7)</f>
        <v>1.6308950526277</v>
      </c>
      <c r="C1268" s="53" t="n">
        <f aca="true">NORMINV(RAND(),0,C$7)</f>
        <v>1.94442896037295</v>
      </c>
      <c r="D1268" s="53" t="n">
        <f aca="true">NORMINV(RAND(),0,D$7)</f>
        <v>0.35200917357011</v>
      </c>
      <c r="E1268" s="53" t="n">
        <f aca="true">NORMINV(RAND(),0,E$7)</f>
        <v>-0.0515558854078273</v>
      </c>
      <c r="F1268" s="53" t="n">
        <f aca="true">NORMINV(RAND(),0,F$7)</f>
        <v>-0.158106169645614</v>
      </c>
      <c r="G1268" s="53" t="n">
        <f aca="true">NORMINV(RAND(),0,G$7)</f>
        <v>-0.449570418551174</v>
      </c>
      <c r="H1268" s="53" t="n">
        <f aca="true">NORMINV(RAND(),0,H$7)</f>
        <v>0.185950858704498</v>
      </c>
      <c r="I1268" s="53" t="n">
        <f aca="false">SUM(B1268:H1268)</f>
        <v>3.45405157167065</v>
      </c>
      <c r="J1268" s="53" t="n">
        <f aca="true">NORMINV(RAND(),0,J$7)</f>
        <v>0.93969914125191</v>
      </c>
      <c r="K1268" s="53" t="n">
        <f aca="true">NORMINV(RAND(),0,K$7)</f>
        <v>-0.910401725316627</v>
      </c>
      <c r="L1268" s="53" t="n">
        <f aca="true">NORMINV(RAND(),0,L$7)</f>
        <v>0.259157894968403</v>
      </c>
      <c r="M1268" s="53" t="n">
        <f aca="true">NORMINV(RAND(),0,M$7)</f>
        <v>0.0670664591503637</v>
      </c>
      <c r="N1268" s="53" t="n">
        <f aca="true">NORMINV(RAND(),0,N$7)</f>
        <v>-0.70734940176201</v>
      </c>
      <c r="O1268" s="53" t="n">
        <f aca="false">SUM(J1268:N1268)</f>
        <v>-0.35182763170796</v>
      </c>
    </row>
    <row r="1269" customFormat="false" ht="15" hidden="false" customHeight="false" outlineLevel="0" collapsed="false">
      <c r="A1269" s="2" t="n">
        <v>1261</v>
      </c>
      <c r="B1269" s="53" t="n">
        <f aca="true">NORMINV(RAND(),0,B$7)</f>
        <v>0.523906487415349</v>
      </c>
      <c r="C1269" s="53" t="n">
        <f aca="true">NORMINV(RAND(),0,C$7)</f>
        <v>2.15615558148902</v>
      </c>
      <c r="D1269" s="53" t="n">
        <f aca="true">NORMINV(RAND(),0,D$7)</f>
        <v>0.352735908233522</v>
      </c>
      <c r="E1269" s="53" t="n">
        <f aca="true">NORMINV(RAND(),0,E$7)</f>
        <v>-0.417927921039912</v>
      </c>
      <c r="F1269" s="53" t="n">
        <f aca="true">NORMINV(RAND(),0,F$7)</f>
        <v>0.372872633763354</v>
      </c>
      <c r="G1269" s="53" t="n">
        <f aca="true">NORMINV(RAND(),0,G$7)</f>
        <v>-0.0698809816312015</v>
      </c>
      <c r="H1269" s="53" t="n">
        <f aca="true">NORMINV(RAND(),0,H$7)</f>
        <v>-0.280499660546365</v>
      </c>
      <c r="I1269" s="53" t="n">
        <f aca="false">SUM(B1269:H1269)</f>
        <v>2.63736204768377</v>
      </c>
      <c r="J1269" s="53" t="n">
        <f aca="true">NORMINV(RAND(),0,J$7)</f>
        <v>1.20767718331728</v>
      </c>
      <c r="K1269" s="53" t="n">
        <f aca="true">NORMINV(RAND(),0,K$7)</f>
        <v>-0.883320372567353</v>
      </c>
      <c r="L1269" s="53" t="n">
        <f aca="true">NORMINV(RAND(),0,L$7)</f>
        <v>0.325904371684659</v>
      </c>
      <c r="M1269" s="53" t="n">
        <f aca="true">NORMINV(RAND(),0,M$7)</f>
        <v>-0.234576709682094</v>
      </c>
      <c r="N1269" s="53" t="n">
        <f aca="true">NORMINV(RAND(),0,N$7)</f>
        <v>0.257276778789734</v>
      </c>
      <c r="O1269" s="53" t="n">
        <f aca="false">SUM(J1269:N1269)</f>
        <v>0.672961251542224</v>
      </c>
    </row>
    <row r="1270" customFormat="false" ht="15" hidden="false" customHeight="false" outlineLevel="0" collapsed="false">
      <c r="A1270" s="2" t="n">
        <v>1262</v>
      </c>
      <c r="B1270" s="53" t="n">
        <f aca="true">NORMINV(RAND(),0,B$7)</f>
        <v>1.29766761616131</v>
      </c>
      <c r="C1270" s="53" t="n">
        <f aca="true">NORMINV(RAND(),0,C$7)</f>
        <v>0.373078238608709</v>
      </c>
      <c r="D1270" s="53" t="n">
        <f aca="true">NORMINV(RAND(),0,D$7)</f>
        <v>-1.46325478605375</v>
      </c>
      <c r="E1270" s="53" t="n">
        <f aca="true">NORMINV(RAND(),0,E$7)</f>
        <v>0.0679617207672233</v>
      </c>
      <c r="F1270" s="53" t="n">
        <f aca="true">NORMINV(RAND(),0,F$7)</f>
        <v>-0.257401541505894</v>
      </c>
      <c r="G1270" s="53" t="n">
        <f aca="true">NORMINV(RAND(),0,G$7)</f>
        <v>0.398579512274153</v>
      </c>
      <c r="H1270" s="53" t="n">
        <f aca="true">NORMINV(RAND(),0,H$7)</f>
        <v>-0.39513703725008</v>
      </c>
      <c r="I1270" s="53" t="n">
        <f aca="false">SUM(B1270:H1270)</f>
        <v>0.0214937230016717</v>
      </c>
      <c r="J1270" s="53" t="n">
        <f aca="true">NORMINV(RAND(),0,J$7)</f>
        <v>0.0479947711752851</v>
      </c>
      <c r="K1270" s="53" t="n">
        <f aca="true">NORMINV(RAND(),0,K$7)</f>
        <v>-0.356917964116722</v>
      </c>
      <c r="L1270" s="53" t="n">
        <f aca="true">NORMINV(RAND(),0,L$7)</f>
        <v>-0.0768359744650295</v>
      </c>
      <c r="M1270" s="53" t="n">
        <f aca="true">NORMINV(RAND(),0,M$7)</f>
        <v>-0.397993066085727</v>
      </c>
      <c r="N1270" s="53" t="n">
        <f aca="true">NORMINV(RAND(),0,N$7)</f>
        <v>0.425112823476542</v>
      </c>
      <c r="O1270" s="53" t="n">
        <f aca="false">SUM(J1270:N1270)</f>
        <v>-0.358639410015652</v>
      </c>
    </row>
    <row r="1271" customFormat="false" ht="15" hidden="false" customHeight="false" outlineLevel="0" collapsed="false">
      <c r="A1271" s="2" t="n">
        <v>1263</v>
      </c>
      <c r="B1271" s="53" t="n">
        <f aca="true">NORMINV(RAND(),0,B$7)</f>
        <v>-0.369530275347378</v>
      </c>
      <c r="C1271" s="53" t="n">
        <f aca="true">NORMINV(RAND(),0,C$7)</f>
        <v>-0.394906918361728</v>
      </c>
      <c r="D1271" s="53" t="n">
        <f aca="true">NORMINV(RAND(),0,D$7)</f>
        <v>0.572261715780444</v>
      </c>
      <c r="E1271" s="53" t="n">
        <f aca="true">NORMINV(RAND(),0,E$7)</f>
        <v>-0.465719192004978</v>
      </c>
      <c r="F1271" s="53" t="n">
        <f aca="true">NORMINV(RAND(),0,F$7)</f>
        <v>-0.0514228500095838</v>
      </c>
      <c r="G1271" s="53" t="n">
        <f aca="true">NORMINV(RAND(),0,G$7)</f>
        <v>1.43717426181355</v>
      </c>
      <c r="H1271" s="53" t="n">
        <f aca="true">NORMINV(RAND(),0,H$7)</f>
        <v>-0.490009544139347</v>
      </c>
      <c r="I1271" s="53" t="n">
        <f aca="false">SUM(B1271:H1271)</f>
        <v>0.237847197730981</v>
      </c>
      <c r="J1271" s="53" t="n">
        <f aca="true">NORMINV(RAND(),0,J$7)</f>
        <v>5.04671563286242</v>
      </c>
      <c r="K1271" s="53" t="n">
        <f aca="true">NORMINV(RAND(),0,K$7)</f>
        <v>-0.082662229123739</v>
      </c>
      <c r="L1271" s="53" t="n">
        <f aca="true">NORMINV(RAND(),0,L$7)</f>
        <v>0.139532873828767</v>
      </c>
      <c r="M1271" s="53" t="n">
        <f aca="true">NORMINV(RAND(),0,M$7)</f>
        <v>-0.125588895722214</v>
      </c>
      <c r="N1271" s="53" t="n">
        <f aca="true">NORMINV(RAND(),0,N$7)</f>
        <v>-0.50900834498177</v>
      </c>
      <c r="O1271" s="53" t="n">
        <f aca="false">SUM(J1271:N1271)</f>
        <v>4.46898903686346</v>
      </c>
    </row>
    <row r="1272" customFormat="false" ht="15" hidden="false" customHeight="false" outlineLevel="0" collapsed="false">
      <c r="A1272" s="2" t="n">
        <v>1264</v>
      </c>
      <c r="B1272" s="53" t="n">
        <f aca="true">NORMINV(RAND(),0,B$7)</f>
        <v>-2.11579031275934</v>
      </c>
      <c r="C1272" s="53" t="n">
        <f aca="true">NORMINV(RAND(),0,C$7)</f>
        <v>3.31737679051203</v>
      </c>
      <c r="D1272" s="53" t="n">
        <f aca="true">NORMINV(RAND(),0,D$7)</f>
        <v>1.52883082073321</v>
      </c>
      <c r="E1272" s="53" t="n">
        <f aca="true">NORMINV(RAND(),0,E$7)</f>
        <v>0.171574617559535</v>
      </c>
      <c r="F1272" s="53" t="n">
        <f aca="true">NORMINV(RAND(),0,F$7)</f>
        <v>-0.424109597109842</v>
      </c>
      <c r="G1272" s="53" t="n">
        <f aca="true">NORMINV(RAND(),0,G$7)</f>
        <v>-0.699705751968936</v>
      </c>
      <c r="H1272" s="53" t="n">
        <f aca="true">NORMINV(RAND(),0,H$7)</f>
        <v>0.159686171998326</v>
      </c>
      <c r="I1272" s="53" t="n">
        <f aca="false">SUM(B1272:H1272)</f>
        <v>1.93786273896498</v>
      </c>
      <c r="J1272" s="53" t="n">
        <f aca="true">NORMINV(RAND(),0,J$7)</f>
        <v>0.867261839945366</v>
      </c>
      <c r="K1272" s="53" t="n">
        <f aca="true">NORMINV(RAND(),0,K$7)</f>
        <v>-0.69651186336347</v>
      </c>
      <c r="L1272" s="53" t="n">
        <f aca="true">NORMINV(RAND(),0,L$7)</f>
        <v>-0.212134728340324</v>
      </c>
      <c r="M1272" s="53" t="n">
        <f aca="true">NORMINV(RAND(),0,M$7)</f>
        <v>-0.233455058807027</v>
      </c>
      <c r="N1272" s="53" t="n">
        <f aca="true">NORMINV(RAND(),0,N$7)</f>
        <v>-0.346815585250207</v>
      </c>
      <c r="O1272" s="53" t="n">
        <f aca="false">SUM(J1272:N1272)</f>
        <v>-0.621655395815662</v>
      </c>
    </row>
    <row r="1273" customFormat="false" ht="15" hidden="false" customHeight="false" outlineLevel="0" collapsed="false">
      <c r="A1273" s="2" t="n">
        <v>1265</v>
      </c>
      <c r="B1273" s="53" t="n">
        <f aca="true">NORMINV(RAND(),0,B$7)</f>
        <v>-0.765048386465386</v>
      </c>
      <c r="C1273" s="53" t="n">
        <f aca="true">NORMINV(RAND(),0,C$7)</f>
        <v>-0.161535087364314</v>
      </c>
      <c r="D1273" s="53" t="n">
        <f aca="true">NORMINV(RAND(),0,D$7)</f>
        <v>-1.03282413696304</v>
      </c>
      <c r="E1273" s="53" t="n">
        <f aca="true">NORMINV(RAND(),0,E$7)</f>
        <v>-0.57005202388156</v>
      </c>
      <c r="F1273" s="53" t="n">
        <f aca="true">NORMINV(RAND(),0,F$7)</f>
        <v>0.0223358428525541</v>
      </c>
      <c r="G1273" s="53" t="n">
        <f aca="true">NORMINV(RAND(),0,G$7)</f>
        <v>-4.21774035873656</v>
      </c>
      <c r="H1273" s="53" t="n">
        <f aca="true">NORMINV(RAND(),0,H$7)</f>
        <v>-0.62029591326784</v>
      </c>
      <c r="I1273" s="53" t="n">
        <f aca="false">SUM(B1273:H1273)</f>
        <v>-7.34516006382614</v>
      </c>
      <c r="J1273" s="53" t="n">
        <f aca="true">NORMINV(RAND(),0,J$7)</f>
        <v>0.47236118431352</v>
      </c>
      <c r="K1273" s="53" t="n">
        <f aca="true">NORMINV(RAND(),0,K$7)</f>
        <v>-0.304561127807963</v>
      </c>
      <c r="L1273" s="53" t="n">
        <f aca="true">NORMINV(RAND(),0,L$7)</f>
        <v>0.149602563475571</v>
      </c>
      <c r="M1273" s="53" t="n">
        <f aca="true">NORMINV(RAND(),0,M$7)</f>
        <v>-0.149040676743455</v>
      </c>
      <c r="N1273" s="53" t="n">
        <f aca="true">NORMINV(RAND(),0,N$7)</f>
        <v>-0.521712730039996</v>
      </c>
      <c r="O1273" s="53" t="n">
        <f aca="false">SUM(J1273:N1273)</f>
        <v>-0.353350786802323</v>
      </c>
    </row>
    <row r="1274" customFormat="false" ht="15" hidden="false" customHeight="false" outlineLevel="0" collapsed="false">
      <c r="A1274" s="2" t="n">
        <v>1266</v>
      </c>
      <c r="B1274" s="53" t="n">
        <f aca="true">NORMINV(RAND(),0,B$7)</f>
        <v>2.02172919227878</v>
      </c>
      <c r="C1274" s="53" t="n">
        <f aca="true">NORMINV(RAND(),0,C$7)</f>
        <v>0.287457383137416</v>
      </c>
      <c r="D1274" s="53" t="n">
        <f aca="true">NORMINV(RAND(),0,D$7)</f>
        <v>2.98355959326555</v>
      </c>
      <c r="E1274" s="53" t="n">
        <f aca="true">NORMINV(RAND(),0,E$7)</f>
        <v>0.457529753974225</v>
      </c>
      <c r="F1274" s="53" t="n">
        <f aca="true">NORMINV(RAND(),0,F$7)</f>
        <v>-0.73306258343493</v>
      </c>
      <c r="G1274" s="53" t="n">
        <f aca="true">NORMINV(RAND(),0,G$7)</f>
        <v>-0.988398855704794</v>
      </c>
      <c r="H1274" s="53" t="n">
        <f aca="true">NORMINV(RAND(),0,H$7)</f>
        <v>-0.0774345969470938</v>
      </c>
      <c r="I1274" s="53" t="n">
        <f aca="false">SUM(B1274:H1274)</f>
        <v>3.95137988656915</v>
      </c>
      <c r="J1274" s="53" t="n">
        <f aca="true">NORMINV(RAND(),0,J$7)</f>
        <v>2.17253635593689</v>
      </c>
      <c r="K1274" s="53" t="n">
        <f aca="true">NORMINV(RAND(),0,K$7)</f>
        <v>-1.36319163925947</v>
      </c>
      <c r="L1274" s="53" t="n">
        <f aca="true">NORMINV(RAND(),0,L$7)</f>
        <v>0.861535480050105</v>
      </c>
      <c r="M1274" s="53" t="n">
        <f aca="true">NORMINV(RAND(),0,M$7)</f>
        <v>-0.601496071467488</v>
      </c>
      <c r="N1274" s="53" t="n">
        <f aca="true">NORMINV(RAND(),0,N$7)</f>
        <v>-0.699797132323479</v>
      </c>
      <c r="O1274" s="53" t="n">
        <f aca="false">SUM(J1274:N1274)</f>
        <v>0.369586992936556</v>
      </c>
    </row>
    <row r="1275" customFormat="false" ht="15" hidden="false" customHeight="false" outlineLevel="0" collapsed="false">
      <c r="A1275" s="2" t="n">
        <v>1267</v>
      </c>
      <c r="B1275" s="53" t="n">
        <f aca="true">NORMINV(RAND(),0,B$7)</f>
        <v>-0.709210739260985</v>
      </c>
      <c r="C1275" s="53" t="n">
        <f aca="true">NORMINV(RAND(),0,C$7)</f>
        <v>0.23550284417715</v>
      </c>
      <c r="D1275" s="53" t="n">
        <f aca="true">NORMINV(RAND(),0,D$7)</f>
        <v>-1.0497811804786</v>
      </c>
      <c r="E1275" s="53" t="n">
        <f aca="true">NORMINV(RAND(),0,E$7)</f>
        <v>-0.53114455410323</v>
      </c>
      <c r="F1275" s="53" t="n">
        <f aca="true">NORMINV(RAND(),0,F$7)</f>
        <v>-0.161432265870384</v>
      </c>
      <c r="G1275" s="53" t="n">
        <f aca="true">NORMINV(RAND(),0,G$7)</f>
        <v>-1.93553430098863</v>
      </c>
      <c r="H1275" s="53" t="n">
        <f aca="true">NORMINV(RAND(),0,H$7)</f>
        <v>-0.508058937856417</v>
      </c>
      <c r="I1275" s="53" t="n">
        <f aca="false">SUM(B1275:H1275)</f>
        <v>-4.6596591343811</v>
      </c>
      <c r="J1275" s="53" t="n">
        <f aca="true">NORMINV(RAND(),0,J$7)</f>
        <v>-0.471667171724642</v>
      </c>
      <c r="K1275" s="53" t="n">
        <f aca="true">NORMINV(RAND(),0,K$7)</f>
        <v>-1.26349145997996</v>
      </c>
      <c r="L1275" s="53" t="n">
        <f aca="true">NORMINV(RAND(),0,L$7)</f>
        <v>-0.066556875408027</v>
      </c>
      <c r="M1275" s="53" t="n">
        <f aca="true">NORMINV(RAND(),0,M$7)</f>
        <v>-0.0372314239315103</v>
      </c>
      <c r="N1275" s="53" t="n">
        <f aca="true">NORMINV(RAND(),0,N$7)</f>
        <v>0.29846902346032</v>
      </c>
      <c r="O1275" s="53" t="n">
        <f aca="false">SUM(J1275:N1275)</f>
        <v>-1.54047790758382</v>
      </c>
    </row>
    <row r="1276" customFormat="false" ht="15" hidden="false" customHeight="false" outlineLevel="0" collapsed="false">
      <c r="A1276" s="2" t="n">
        <v>1268</v>
      </c>
      <c r="B1276" s="53" t="n">
        <f aca="true">NORMINV(RAND(),0,B$7)</f>
        <v>0.954127375498126</v>
      </c>
      <c r="C1276" s="53" t="n">
        <f aca="true">NORMINV(RAND(),0,C$7)</f>
        <v>-1.94314745483261</v>
      </c>
      <c r="D1276" s="53" t="n">
        <f aca="true">NORMINV(RAND(),0,D$7)</f>
        <v>1.25420876649583</v>
      </c>
      <c r="E1276" s="53" t="n">
        <f aca="true">NORMINV(RAND(),0,E$7)</f>
        <v>-0.574436670131089</v>
      </c>
      <c r="F1276" s="53" t="n">
        <f aca="true">NORMINV(RAND(),0,F$7)</f>
        <v>0.417349395890615</v>
      </c>
      <c r="G1276" s="53" t="n">
        <f aca="true">NORMINV(RAND(),0,G$7)</f>
        <v>1.65698701774555</v>
      </c>
      <c r="H1276" s="53" t="n">
        <f aca="true">NORMINV(RAND(),0,H$7)</f>
        <v>-0.518838552897476</v>
      </c>
      <c r="I1276" s="53" t="n">
        <f aca="false">SUM(B1276:H1276)</f>
        <v>1.24624987776894</v>
      </c>
      <c r="J1276" s="53" t="n">
        <f aca="true">NORMINV(RAND(),0,J$7)</f>
        <v>2.26717555600657</v>
      </c>
      <c r="K1276" s="53" t="n">
        <f aca="true">NORMINV(RAND(),0,K$7)</f>
        <v>0.6227290818987</v>
      </c>
      <c r="L1276" s="53" t="n">
        <f aca="true">NORMINV(RAND(),0,L$7)</f>
        <v>-0.0744602804047726</v>
      </c>
      <c r="M1276" s="53" t="n">
        <f aca="true">NORMINV(RAND(),0,M$7)</f>
        <v>-0.076349910079381</v>
      </c>
      <c r="N1276" s="53" t="n">
        <f aca="true">NORMINV(RAND(),0,N$7)</f>
        <v>0.587171848464473</v>
      </c>
      <c r="O1276" s="53" t="n">
        <f aca="false">SUM(J1276:N1276)</f>
        <v>3.32626629588559</v>
      </c>
    </row>
    <row r="1277" customFormat="false" ht="15" hidden="false" customHeight="false" outlineLevel="0" collapsed="false">
      <c r="A1277" s="2" t="n">
        <v>1269</v>
      </c>
      <c r="B1277" s="53" t="n">
        <f aca="true">NORMINV(RAND(),0,B$7)</f>
        <v>-0.593581089082333</v>
      </c>
      <c r="C1277" s="53" t="n">
        <f aca="true">NORMINV(RAND(),0,C$7)</f>
        <v>0.859063656179981</v>
      </c>
      <c r="D1277" s="53" t="n">
        <f aca="true">NORMINV(RAND(),0,D$7)</f>
        <v>-0.326579183693579</v>
      </c>
      <c r="E1277" s="53" t="n">
        <f aca="true">NORMINV(RAND(),0,E$7)</f>
        <v>-0.25266595861976</v>
      </c>
      <c r="F1277" s="53" t="n">
        <f aca="true">NORMINV(RAND(),0,F$7)</f>
        <v>-0.12286858967145</v>
      </c>
      <c r="G1277" s="53" t="n">
        <f aca="true">NORMINV(RAND(),0,G$7)</f>
        <v>1.36167310352591</v>
      </c>
      <c r="H1277" s="53" t="n">
        <f aca="true">NORMINV(RAND(),0,H$7)</f>
        <v>-0.498589399036015</v>
      </c>
      <c r="I1277" s="53" t="n">
        <f aca="false">SUM(B1277:H1277)</f>
        <v>0.426452539602755</v>
      </c>
      <c r="J1277" s="53" t="n">
        <f aca="true">NORMINV(RAND(),0,J$7)</f>
        <v>4.66230394993723</v>
      </c>
      <c r="K1277" s="53" t="n">
        <f aca="true">NORMINV(RAND(),0,K$7)</f>
        <v>0.886599573223698</v>
      </c>
      <c r="L1277" s="53" t="n">
        <f aca="true">NORMINV(RAND(),0,L$7)</f>
        <v>0.0179874507107585</v>
      </c>
      <c r="M1277" s="53" t="n">
        <f aca="true">NORMINV(RAND(),0,M$7)</f>
        <v>-0.0519986439186161</v>
      </c>
      <c r="N1277" s="53" t="n">
        <f aca="true">NORMINV(RAND(),0,N$7)</f>
        <v>-0.139735522668799</v>
      </c>
      <c r="O1277" s="53" t="n">
        <f aca="false">SUM(J1277:N1277)</f>
        <v>5.37515680728427</v>
      </c>
    </row>
    <row r="1278" customFormat="false" ht="15" hidden="false" customHeight="false" outlineLevel="0" collapsed="false">
      <c r="A1278" s="2" t="n">
        <v>1270</v>
      </c>
      <c r="B1278" s="53" t="n">
        <f aca="true">NORMINV(RAND(),0,B$7)</f>
        <v>0.160029134113385</v>
      </c>
      <c r="C1278" s="53" t="n">
        <f aca="true">NORMINV(RAND(),0,C$7)</f>
        <v>-0.239254015985587</v>
      </c>
      <c r="D1278" s="53" t="n">
        <f aca="true">NORMINV(RAND(),0,D$7)</f>
        <v>1.69284336177407</v>
      </c>
      <c r="E1278" s="53" t="n">
        <f aca="true">NORMINV(RAND(),0,E$7)</f>
        <v>-0.127612288413785</v>
      </c>
      <c r="F1278" s="53" t="n">
        <f aca="true">NORMINV(RAND(),0,F$7)</f>
        <v>-0.127105811958972</v>
      </c>
      <c r="G1278" s="53" t="n">
        <f aca="true">NORMINV(RAND(),0,G$7)</f>
        <v>-2.24648341277761</v>
      </c>
      <c r="H1278" s="53" t="n">
        <f aca="true">NORMINV(RAND(),0,H$7)</f>
        <v>0.736573342545636</v>
      </c>
      <c r="I1278" s="53" t="n">
        <f aca="false">SUM(B1278:H1278)</f>
        <v>-0.151009690702855</v>
      </c>
      <c r="J1278" s="53" t="n">
        <f aca="true">NORMINV(RAND(),0,J$7)</f>
        <v>-1.63240413883647</v>
      </c>
      <c r="K1278" s="53" t="n">
        <f aca="true">NORMINV(RAND(),0,K$7)</f>
        <v>0.206884563050344</v>
      </c>
      <c r="L1278" s="53" t="n">
        <f aca="true">NORMINV(RAND(),0,L$7)</f>
        <v>0.00926714114146788</v>
      </c>
      <c r="M1278" s="53" t="n">
        <f aca="true">NORMINV(RAND(),0,M$7)</f>
        <v>0.166811000098984</v>
      </c>
      <c r="N1278" s="53" t="n">
        <f aca="true">NORMINV(RAND(),0,N$7)</f>
        <v>0.017872899391804</v>
      </c>
      <c r="O1278" s="53" t="n">
        <f aca="false">SUM(J1278:N1278)</f>
        <v>-1.23156853515387</v>
      </c>
    </row>
    <row r="1279" customFormat="false" ht="15" hidden="false" customHeight="false" outlineLevel="0" collapsed="false">
      <c r="A1279" s="2" t="n">
        <v>1271</v>
      </c>
      <c r="B1279" s="53" t="n">
        <f aca="true">NORMINV(RAND(),0,B$7)</f>
        <v>0.177430324472895</v>
      </c>
      <c r="C1279" s="53" t="n">
        <f aca="true">NORMINV(RAND(),0,C$7)</f>
        <v>0.863025327198078</v>
      </c>
      <c r="D1279" s="53" t="n">
        <f aca="true">NORMINV(RAND(),0,D$7)</f>
        <v>-1.83742317021079</v>
      </c>
      <c r="E1279" s="53" t="n">
        <f aca="true">NORMINV(RAND(),0,E$7)</f>
        <v>0.276531233255647</v>
      </c>
      <c r="F1279" s="53" t="n">
        <f aca="true">NORMINV(RAND(),0,F$7)</f>
        <v>-0.494936257268417</v>
      </c>
      <c r="G1279" s="53" t="n">
        <f aca="true">NORMINV(RAND(),0,G$7)</f>
        <v>-0.301997391776634</v>
      </c>
      <c r="H1279" s="53" t="n">
        <f aca="true">NORMINV(RAND(),0,H$7)</f>
        <v>0.40539884839458</v>
      </c>
      <c r="I1279" s="53" t="n">
        <f aca="false">SUM(B1279:H1279)</f>
        <v>-0.911971085934636</v>
      </c>
      <c r="J1279" s="53" t="n">
        <f aca="true">NORMINV(RAND(),0,J$7)</f>
        <v>-2.50090807069791</v>
      </c>
      <c r="K1279" s="53" t="n">
        <f aca="true">NORMINV(RAND(),0,K$7)</f>
        <v>-0.0470641045232073</v>
      </c>
      <c r="L1279" s="53" t="n">
        <f aca="true">NORMINV(RAND(),0,L$7)</f>
        <v>0.21613269186979</v>
      </c>
      <c r="M1279" s="53" t="n">
        <f aca="true">NORMINV(RAND(),0,M$7)</f>
        <v>-0.173831358100231</v>
      </c>
      <c r="N1279" s="53" t="n">
        <f aca="true">NORMINV(RAND(),0,N$7)</f>
        <v>-0.416144793423561</v>
      </c>
      <c r="O1279" s="53" t="n">
        <f aca="false">SUM(J1279:N1279)</f>
        <v>-2.92181563487512</v>
      </c>
    </row>
    <row r="1280" customFormat="false" ht="15" hidden="false" customHeight="false" outlineLevel="0" collapsed="false">
      <c r="A1280" s="2" t="n">
        <v>1272</v>
      </c>
      <c r="B1280" s="53" t="n">
        <f aca="true">NORMINV(RAND(),0,B$7)</f>
        <v>1.54867793634387</v>
      </c>
      <c r="C1280" s="53" t="n">
        <f aca="true">NORMINV(RAND(),0,C$7)</f>
        <v>-2.67416618071552</v>
      </c>
      <c r="D1280" s="53" t="n">
        <f aca="true">NORMINV(RAND(),0,D$7)</f>
        <v>-1.25270873622085</v>
      </c>
      <c r="E1280" s="53" t="n">
        <f aca="true">NORMINV(RAND(),0,E$7)</f>
        <v>-0.0548188793511031</v>
      </c>
      <c r="F1280" s="53" t="n">
        <f aca="true">NORMINV(RAND(),0,F$7)</f>
        <v>-0.241564885486893</v>
      </c>
      <c r="G1280" s="53" t="n">
        <f aca="true">NORMINV(RAND(),0,G$7)</f>
        <v>0.200304152737772</v>
      </c>
      <c r="H1280" s="53" t="n">
        <f aca="true">NORMINV(RAND(),0,H$7)</f>
        <v>0.0522156343014019</v>
      </c>
      <c r="I1280" s="53" t="n">
        <f aca="false">SUM(B1280:H1280)</f>
        <v>-2.42206095839133</v>
      </c>
      <c r="J1280" s="53" t="n">
        <f aca="true">NORMINV(RAND(),0,J$7)</f>
        <v>-2.80625497085043</v>
      </c>
      <c r="K1280" s="53" t="n">
        <f aca="true">NORMINV(RAND(),0,K$7)</f>
        <v>-1.01939033971144</v>
      </c>
      <c r="L1280" s="53" t="n">
        <f aca="true">NORMINV(RAND(),0,L$7)</f>
        <v>-0.264284569103585</v>
      </c>
      <c r="M1280" s="53" t="n">
        <f aca="true">NORMINV(RAND(),0,M$7)</f>
        <v>0.394726949211438</v>
      </c>
      <c r="N1280" s="53" t="n">
        <f aca="true">NORMINV(RAND(),0,N$7)</f>
        <v>0.0176235824578822</v>
      </c>
      <c r="O1280" s="53" t="n">
        <f aca="false">SUM(J1280:N1280)</f>
        <v>-3.67757934799613</v>
      </c>
    </row>
    <row r="1281" customFormat="false" ht="15" hidden="false" customHeight="false" outlineLevel="0" collapsed="false">
      <c r="A1281" s="2" t="n">
        <v>1273</v>
      </c>
      <c r="B1281" s="53" t="n">
        <f aca="true">NORMINV(RAND(),0,B$7)</f>
        <v>-2.17944980749679</v>
      </c>
      <c r="C1281" s="53" t="n">
        <f aca="true">NORMINV(RAND(),0,C$7)</f>
        <v>0.366791788975928</v>
      </c>
      <c r="D1281" s="53" t="n">
        <f aca="true">NORMINV(RAND(),0,D$7)</f>
        <v>-2.47473281600741</v>
      </c>
      <c r="E1281" s="53" t="n">
        <f aca="true">NORMINV(RAND(),0,E$7)</f>
        <v>0.559211819662593</v>
      </c>
      <c r="F1281" s="53" t="n">
        <f aca="true">NORMINV(RAND(),0,F$7)</f>
        <v>-0.173311663625213</v>
      </c>
      <c r="G1281" s="53" t="n">
        <f aca="true">NORMINV(RAND(),0,G$7)</f>
        <v>-0.951376851901914</v>
      </c>
      <c r="H1281" s="53" t="n">
        <f aca="true">NORMINV(RAND(),0,H$7)</f>
        <v>0.213284950825662</v>
      </c>
      <c r="I1281" s="53" t="n">
        <f aca="false">SUM(B1281:H1281)</f>
        <v>-4.63958257956714</v>
      </c>
      <c r="J1281" s="53" t="n">
        <f aca="true">NORMINV(RAND(),0,J$7)</f>
        <v>0.339019337771547</v>
      </c>
      <c r="K1281" s="53" t="n">
        <f aca="true">NORMINV(RAND(),0,K$7)</f>
        <v>-1.85544204051218</v>
      </c>
      <c r="L1281" s="53" t="n">
        <f aca="true">NORMINV(RAND(),0,L$7)</f>
        <v>-0.793897770824401</v>
      </c>
      <c r="M1281" s="53" t="n">
        <f aca="true">NORMINV(RAND(),0,M$7)</f>
        <v>-0.019657991458955</v>
      </c>
      <c r="N1281" s="53" t="n">
        <f aca="true">NORMINV(RAND(),0,N$7)</f>
        <v>0.330300112311532</v>
      </c>
      <c r="O1281" s="53" t="n">
        <f aca="false">SUM(J1281:N1281)</f>
        <v>-1.99967835271245</v>
      </c>
    </row>
    <row r="1282" customFormat="false" ht="15" hidden="false" customHeight="false" outlineLevel="0" collapsed="false">
      <c r="A1282" s="2" t="n">
        <v>1274</v>
      </c>
      <c r="B1282" s="53" t="n">
        <f aca="true">NORMINV(RAND(),0,B$7)</f>
        <v>-0.944515540720516</v>
      </c>
      <c r="C1282" s="53" t="n">
        <f aca="true">NORMINV(RAND(),0,C$7)</f>
        <v>-0.262352502903432</v>
      </c>
      <c r="D1282" s="53" t="n">
        <f aca="true">NORMINV(RAND(),0,D$7)</f>
        <v>-1.0600649879116</v>
      </c>
      <c r="E1282" s="53" t="n">
        <f aca="true">NORMINV(RAND(),0,E$7)</f>
        <v>-0.276538879060481</v>
      </c>
      <c r="F1282" s="53" t="n">
        <f aca="true">NORMINV(RAND(),0,F$7)</f>
        <v>-0.359299378345725</v>
      </c>
      <c r="G1282" s="53" t="n">
        <f aca="true">NORMINV(RAND(),0,G$7)</f>
        <v>0.759330526464451</v>
      </c>
      <c r="H1282" s="53" t="n">
        <f aca="true">NORMINV(RAND(),0,H$7)</f>
        <v>0.456288068735172</v>
      </c>
      <c r="I1282" s="53" t="n">
        <f aca="false">SUM(B1282:H1282)</f>
        <v>-1.68715269374213</v>
      </c>
      <c r="J1282" s="53" t="n">
        <f aca="true">NORMINV(RAND(),0,J$7)</f>
        <v>3.06079491896635</v>
      </c>
      <c r="K1282" s="53" t="n">
        <f aca="true">NORMINV(RAND(),0,K$7)</f>
        <v>0.00561826697276722</v>
      </c>
      <c r="L1282" s="53" t="n">
        <f aca="true">NORMINV(RAND(),0,L$7)</f>
        <v>0.736458845812604</v>
      </c>
      <c r="M1282" s="53" t="n">
        <f aca="true">NORMINV(RAND(),0,M$7)</f>
        <v>0.0435474942641889</v>
      </c>
      <c r="N1282" s="53" t="n">
        <f aca="true">NORMINV(RAND(),0,N$7)</f>
        <v>0.0265841914955908</v>
      </c>
      <c r="O1282" s="53" t="n">
        <f aca="false">SUM(J1282:N1282)</f>
        <v>3.8730037175115</v>
      </c>
    </row>
    <row r="1283" customFormat="false" ht="15" hidden="false" customHeight="false" outlineLevel="0" collapsed="false">
      <c r="A1283" s="2" t="n">
        <v>1275</v>
      </c>
      <c r="B1283" s="53" t="n">
        <f aca="true">NORMINV(RAND(),0,B$7)</f>
        <v>-0.815433199726346</v>
      </c>
      <c r="C1283" s="53" t="n">
        <f aca="true">NORMINV(RAND(),0,C$7)</f>
        <v>-0.820869759611946</v>
      </c>
      <c r="D1283" s="53" t="n">
        <f aca="true">NORMINV(RAND(),0,D$7)</f>
        <v>-1.97809589081056</v>
      </c>
      <c r="E1283" s="53" t="n">
        <f aca="true">NORMINV(RAND(),0,E$7)</f>
        <v>-0.277968311479951</v>
      </c>
      <c r="F1283" s="53" t="n">
        <f aca="true">NORMINV(RAND(),0,F$7)</f>
        <v>-0.223051471165201</v>
      </c>
      <c r="G1283" s="53" t="n">
        <f aca="true">NORMINV(RAND(),0,G$7)</f>
        <v>-3.13319729619789</v>
      </c>
      <c r="H1283" s="53" t="n">
        <f aca="true">NORMINV(RAND(),0,H$7)</f>
        <v>-0.438248631221952</v>
      </c>
      <c r="I1283" s="53" t="n">
        <f aca="false">SUM(B1283:H1283)</f>
        <v>-7.68686456021385</v>
      </c>
      <c r="J1283" s="53" t="n">
        <f aca="true">NORMINV(RAND(),0,J$7)</f>
        <v>1.71822693125546</v>
      </c>
      <c r="K1283" s="53" t="n">
        <f aca="true">NORMINV(RAND(),0,K$7)</f>
        <v>-0.438500423967278</v>
      </c>
      <c r="L1283" s="53" t="n">
        <f aca="true">NORMINV(RAND(),0,L$7)</f>
        <v>0.468915884025873</v>
      </c>
      <c r="M1283" s="53" t="n">
        <f aca="true">NORMINV(RAND(),0,M$7)</f>
        <v>0.381748266666638</v>
      </c>
      <c r="N1283" s="53" t="n">
        <f aca="true">NORMINV(RAND(),0,N$7)</f>
        <v>-0.0177617003126016</v>
      </c>
      <c r="O1283" s="53" t="n">
        <f aca="false">SUM(J1283:N1283)</f>
        <v>2.11262895766809</v>
      </c>
    </row>
    <row r="1284" customFormat="false" ht="15" hidden="false" customHeight="false" outlineLevel="0" collapsed="false">
      <c r="A1284" s="2" t="n">
        <v>1276</v>
      </c>
      <c r="B1284" s="53" t="n">
        <f aca="true">NORMINV(RAND(),0,B$7)</f>
        <v>-1.08671283275184</v>
      </c>
      <c r="C1284" s="53" t="n">
        <f aca="true">NORMINV(RAND(),0,C$7)</f>
        <v>0.237303823674251</v>
      </c>
      <c r="D1284" s="53" t="n">
        <f aca="true">NORMINV(RAND(),0,D$7)</f>
        <v>-3.77000142749869</v>
      </c>
      <c r="E1284" s="53" t="n">
        <f aca="true">NORMINV(RAND(),0,E$7)</f>
        <v>0.0574221184085187</v>
      </c>
      <c r="F1284" s="53" t="n">
        <f aca="true">NORMINV(RAND(),0,F$7)</f>
        <v>0.14450105682379</v>
      </c>
      <c r="G1284" s="53" t="n">
        <f aca="true">NORMINV(RAND(),0,G$7)</f>
        <v>0.597841503456429</v>
      </c>
      <c r="H1284" s="53" t="n">
        <f aca="true">NORMINV(RAND(),0,H$7)</f>
        <v>-0.0400365123727248</v>
      </c>
      <c r="I1284" s="53" t="n">
        <f aca="false">SUM(B1284:H1284)</f>
        <v>-3.85968227026027</v>
      </c>
      <c r="J1284" s="53" t="n">
        <f aca="true">NORMINV(RAND(),0,J$7)</f>
        <v>-2.7496534441353</v>
      </c>
      <c r="K1284" s="53" t="n">
        <f aca="true">NORMINV(RAND(),0,K$7)</f>
        <v>-1.35232189845294</v>
      </c>
      <c r="L1284" s="53" t="n">
        <f aca="true">NORMINV(RAND(),0,L$7)</f>
        <v>-0.41770566583231</v>
      </c>
      <c r="M1284" s="53" t="n">
        <f aca="true">NORMINV(RAND(),0,M$7)</f>
        <v>-0.256900604605491</v>
      </c>
      <c r="N1284" s="53" t="n">
        <f aca="true">NORMINV(RAND(),0,N$7)</f>
        <v>-0.181715068352533</v>
      </c>
      <c r="O1284" s="53" t="n">
        <f aca="false">SUM(J1284:N1284)</f>
        <v>-4.95829668137857</v>
      </c>
    </row>
    <row r="1285" customFormat="false" ht="15" hidden="false" customHeight="false" outlineLevel="0" collapsed="false">
      <c r="A1285" s="2" t="n">
        <v>1277</v>
      </c>
      <c r="B1285" s="53" t="n">
        <f aca="true">NORMINV(RAND(),0,B$7)</f>
        <v>1.70758581409108</v>
      </c>
      <c r="C1285" s="53" t="n">
        <f aca="true">NORMINV(RAND(),0,C$7)</f>
        <v>-0.104014020359132</v>
      </c>
      <c r="D1285" s="53" t="n">
        <f aca="true">NORMINV(RAND(),0,D$7)</f>
        <v>-0.521336388524069</v>
      </c>
      <c r="E1285" s="53" t="n">
        <f aca="true">NORMINV(RAND(),0,E$7)</f>
        <v>0.164430812780512</v>
      </c>
      <c r="F1285" s="53" t="n">
        <f aca="true">NORMINV(RAND(),0,F$7)</f>
        <v>0.0743161513731669</v>
      </c>
      <c r="G1285" s="53" t="n">
        <f aca="true">NORMINV(RAND(),0,G$7)</f>
        <v>0.510829990849555</v>
      </c>
      <c r="H1285" s="53" t="n">
        <f aca="true">NORMINV(RAND(),0,H$7)</f>
        <v>0.226535331370626</v>
      </c>
      <c r="I1285" s="53" t="n">
        <f aca="false">SUM(B1285:H1285)</f>
        <v>2.05834769158174</v>
      </c>
      <c r="J1285" s="53" t="n">
        <f aca="true">NORMINV(RAND(),0,J$7)</f>
        <v>-0.680953946297855</v>
      </c>
      <c r="K1285" s="53" t="n">
        <f aca="true">NORMINV(RAND(),0,K$7)</f>
        <v>-0.414010540749719</v>
      </c>
      <c r="L1285" s="53" t="n">
        <f aca="true">NORMINV(RAND(),0,L$7)</f>
        <v>0.306968219587284</v>
      </c>
      <c r="M1285" s="53" t="n">
        <f aca="true">NORMINV(RAND(),0,M$7)</f>
        <v>-0.10010830963252</v>
      </c>
      <c r="N1285" s="53" t="n">
        <f aca="true">NORMINV(RAND(),0,N$7)</f>
        <v>-0.549698870918848</v>
      </c>
      <c r="O1285" s="53" t="n">
        <f aca="false">SUM(J1285:N1285)</f>
        <v>-1.43780344801166</v>
      </c>
    </row>
    <row r="1286" customFormat="false" ht="15" hidden="false" customHeight="false" outlineLevel="0" collapsed="false">
      <c r="A1286" s="2" t="n">
        <v>1278</v>
      </c>
      <c r="B1286" s="53" t="n">
        <f aca="true">NORMINV(RAND(),0,B$7)</f>
        <v>4.42345244441169</v>
      </c>
      <c r="C1286" s="53" t="n">
        <f aca="true">NORMINV(RAND(),0,C$7)</f>
        <v>1.17233532976918</v>
      </c>
      <c r="D1286" s="53" t="n">
        <f aca="true">NORMINV(RAND(),0,D$7)</f>
        <v>2.36182677022982</v>
      </c>
      <c r="E1286" s="53" t="n">
        <f aca="true">NORMINV(RAND(),0,E$7)</f>
        <v>-0.0822436898904315</v>
      </c>
      <c r="F1286" s="53" t="n">
        <f aca="true">NORMINV(RAND(),0,F$7)</f>
        <v>0.35791655045317</v>
      </c>
      <c r="G1286" s="53" t="n">
        <f aca="true">NORMINV(RAND(),0,G$7)</f>
        <v>1.7038829100145</v>
      </c>
      <c r="H1286" s="53" t="n">
        <f aca="true">NORMINV(RAND(),0,H$7)</f>
        <v>0.312274470991426</v>
      </c>
      <c r="I1286" s="53" t="n">
        <f aca="false">SUM(B1286:H1286)</f>
        <v>10.2494447859794</v>
      </c>
      <c r="J1286" s="53" t="n">
        <f aca="true">NORMINV(RAND(),0,J$7)</f>
        <v>0.323814238764194</v>
      </c>
      <c r="K1286" s="53" t="n">
        <f aca="true">NORMINV(RAND(),0,K$7)</f>
        <v>-0.42219255185919</v>
      </c>
      <c r="L1286" s="53" t="n">
        <f aca="true">NORMINV(RAND(),0,L$7)</f>
        <v>0.460346988089206</v>
      </c>
      <c r="M1286" s="53" t="n">
        <f aca="true">NORMINV(RAND(),0,M$7)</f>
        <v>0.0941922731348722</v>
      </c>
      <c r="N1286" s="53" t="n">
        <f aca="true">NORMINV(RAND(),0,N$7)</f>
        <v>0.223616260114513</v>
      </c>
      <c r="O1286" s="53" t="n">
        <f aca="false">SUM(J1286:N1286)</f>
        <v>0.679777208243595</v>
      </c>
    </row>
    <row r="1287" customFormat="false" ht="15" hidden="false" customHeight="false" outlineLevel="0" collapsed="false">
      <c r="A1287" s="2" t="n">
        <v>1279</v>
      </c>
      <c r="B1287" s="53" t="n">
        <f aca="true">NORMINV(RAND(),0,B$7)</f>
        <v>-0.311711391206615</v>
      </c>
      <c r="C1287" s="53" t="n">
        <f aca="true">NORMINV(RAND(),0,C$7)</f>
        <v>-2.67039622303146</v>
      </c>
      <c r="D1287" s="53" t="n">
        <f aca="true">NORMINV(RAND(),0,D$7)</f>
        <v>2.15932224506254</v>
      </c>
      <c r="E1287" s="53" t="n">
        <f aca="true">NORMINV(RAND(),0,E$7)</f>
        <v>0.457651492063124</v>
      </c>
      <c r="F1287" s="53" t="n">
        <f aca="true">NORMINV(RAND(),0,F$7)</f>
        <v>-0.572230802701978</v>
      </c>
      <c r="G1287" s="53" t="n">
        <f aca="true">NORMINV(RAND(),0,G$7)</f>
        <v>2.05847967993426</v>
      </c>
      <c r="H1287" s="53" t="n">
        <f aca="true">NORMINV(RAND(),0,H$7)</f>
        <v>-0.679351878003498</v>
      </c>
      <c r="I1287" s="53" t="n">
        <f aca="false">SUM(B1287:H1287)</f>
        <v>0.441763122116373</v>
      </c>
      <c r="J1287" s="53" t="n">
        <f aca="true">NORMINV(RAND(),0,J$7)</f>
        <v>0.14901653210788</v>
      </c>
      <c r="K1287" s="53" t="n">
        <f aca="true">NORMINV(RAND(),0,K$7)</f>
        <v>0.331177389366913</v>
      </c>
      <c r="L1287" s="53" t="n">
        <f aca="true">NORMINV(RAND(),0,L$7)</f>
        <v>0.0407582532908991</v>
      </c>
      <c r="M1287" s="53" t="n">
        <f aca="true">NORMINV(RAND(),0,M$7)</f>
        <v>-0.252201173832461</v>
      </c>
      <c r="N1287" s="53" t="n">
        <f aca="true">NORMINV(RAND(),0,N$7)</f>
        <v>0.253997918266094</v>
      </c>
      <c r="O1287" s="53" t="n">
        <f aca="false">SUM(J1287:N1287)</f>
        <v>0.522748919199326</v>
      </c>
    </row>
    <row r="1288" customFormat="false" ht="15" hidden="false" customHeight="false" outlineLevel="0" collapsed="false">
      <c r="A1288" s="2" t="n">
        <v>1280</v>
      </c>
      <c r="B1288" s="53" t="n">
        <f aca="true">NORMINV(RAND(),0,B$7)</f>
        <v>0.659306058207691</v>
      </c>
      <c r="C1288" s="53" t="n">
        <f aca="true">NORMINV(RAND(),0,C$7)</f>
        <v>-0.754260805342907</v>
      </c>
      <c r="D1288" s="53" t="n">
        <f aca="true">NORMINV(RAND(),0,D$7)</f>
        <v>-4.50823235660997</v>
      </c>
      <c r="E1288" s="53" t="n">
        <f aca="true">NORMINV(RAND(),0,E$7)</f>
        <v>-0.527479997880148</v>
      </c>
      <c r="F1288" s="53" t="n">
        <f aca="true">NORMINV(RAND(),0,F$7)</f>
        <v>0.047799022643684</v>
      </c>
      <c r="G1288" s="53" t="n">
        <f aca="true">NORMINV(RAND(),0,G$7)</f>
        <v>-2.65000681183902</v>
      </c>
      <c r="H1288" s="53" t="n">
        <f aca="true">NORMINV(RAND(),0,H$7)</f>
        <v>-0.603494046443128</v>
      </c>
      <c r="I1288" s="53" t="n">
        <f aca="false">SUM(B1288:H1288)</f>
        <v>-8.33636893726381</v>
      </c>
      <c r="J1288" s="53" t="n">
        <f aca="true">NORMINV(RAND(),0,J$7)</f>
        <v>-0.524347423249914</v>
      </c>
      <c r="K1288" s="53" t="n">
        <f aca="true">NORMINV(RAND(),0,K$7)</f>
        <v>0.92473281833127</v>
      </c>
      <c r="L1288" s="53" t="n">
        <f aca="true">NORMINV(RAND(),0,L$7)</f>
        <v>-0.514714422621679</v>
      </c>
      <c r="M1288" s="53" t="n">
        <f aca="true">NORMINV(RAND(),0,M$7)</f>
        <v>0.395140346340639</v>
      </c>
      <c r="N1288" s="53" t="n">
        <f aca="true">NORMINV(RAND(),0,N$7)</f>
        <v>0.191235990446256</v>
      </c>
      <c r="O1288" s="53" t="n">
        <f aca="false">SUM(J1288:N1288)</f>
        <v>0.47204730924657</v>
      </c>
    </row>
    <row r="1289" customFormat="false" ht="15" hidden="false" customHeight="false" outlineLevel="0" collapsed="false">
      <c r="A1289" s="2" t="n">
        <v>1281</v>
      </c>
      <c r="B1289" s="53" t="n">
        <f aca="true">NORMINV(RAND(),0,B$7)</f>
        <v>-0.917428471740207</v>
      </c>
      <c r="C1289" s="53" t="n">
        <f aca="true">NORMINV(RAND(),0,C$7)</f>
        <v>1.15813204589284</v>
      </c>
      <c r="D1289" s="53" t="n">
        <f aca="true">NORMINV(RAND(),0,D$7)</f>
        <v>-1.26491500267447</v>
      </c>
      <c r="E1289" s="53" t="n">
        <f aca="true">NORMINV(RAND(),0,E$7)</f>
        <v>0.33089272005606</v>
      </c>
      <c r="F1289" s="53" t="n">
        <f aca="true">NORMINV(RAND(),0,F$7)</f>
        <v>0.089175438082802</v>
      </c>
      <c r="G1289" s="53" t="n">
        <f aca="true">NORMINV(RAND(),0,G$7)</f>
        <v>-0.979875052409349</v>
      </c>
      <c r="H1289" s="53" t="n">
        <f aca="true">NORMINV(RAND(),0,H$7)</f>
        <v>0.0881877877412184</v>
      </c>
      <c r="I1289" s="53" t="n">
        <f aca="false">SUM(B1289:H1289)</f>
        <v>-1.49583053505111</v>
      </c>
      <c r="J1289" s="53" t="n">
        <f aca="true">NORMINV(RAND(),0,J$7)</f>
        <v>-2.12420936615566</v>
      </c>
      <c r="K1289" s="53" t="n">
        <f aca="true">NORMINV(RAND(),0,K$7)</f>
        <v>-1.26450352159763</v>
      </c>
      <c r="L1289" s="53" t="n">
        <f aca="true">NORMINV(RAND(),0,L$7)</f>
        <v>-0.557301711969494</v>
      </c>
      <c r="M1289" s="53" t="n">
        <f aca="true">NORMINV(RAND(),0,M$7)</f>
        <v>0.0386876090777679</v>
      </c>
      <c r="N1289" s="53" t="n">
        <f aca="true">NORMINV(RAND(),0,N$7)</f>
        <v>-0.270936542680855</v>
      </c>
      <c r="O1289" s="53" t="n">
        <f aca="false">SUM(J1289:N1289)</f>
        <v>-4.17826353332587</v>
      </c>
    </row>
    <row r="1290" customFormat="false" ht="15" hidden="false" customHeight="false" outlineLevel="0" collapsed="false">
      <c r="A1290" s="2" t="n">
        <v>1282</v>
      </c>
      <c r="B1290" s="53" t="n">
        <f aca="true">NORMINV(RAND(),0,B$7)</f>
        <v>-1.63929657908164</v>
      </c>
      <c r="C1290" s="53" t="n">
        <f aca="true">NORMINV(RAND(),0,C$7)</f>
        <v>-0.267516383855354</v>
      </c>
      <c r="D1290" s="53" t="n">
        <f aca="true">NORMINV(RAND(),0,D$7)</f>
        <v>0.549422087292141</v>
      </c>
      <c r="E1290" s="53" t="n">
        <f aca="true">NORMINV(RAND(),0,E$7)</f>
        <v>0.21931949727029</v>
      </c>
      <c r="F1290" s="53" t="n">
        <f aca="true">NORMINV(RAND(),0,F$7)</f>
        <v>-0.0569459580363903</v>
      </c>
      <c r="G1290" s="53" t="n">
        <f aca="true">NORMINV(RAND(),0,G$7)</f>
        <v>-2.37948346394135</v>
      </c>
      <c r="H1290" s="53" t="n">
        <f aca="true">NORMINV(RAND(),0,H$7)</f>
        <v>-0.177183822420134</v>
      </c>
      <c r="I1290" s="53" t="n">
        <f aca="false">SUM(B1290:H1290)</f>
        <v>-3.75168462277244</v>
      </c>
      <c r="J1290" s="53" t="n">
        <f aca="true">NORMINV(RAND(),0,J$7)</f>
        <v>-1.80442549796</v>
      </c>
      <c r="K1290" s="53" t="n">
        <f aca="true">NORMINV(RAND(),0,K$7)</f>
        <v>0.901845918892691</v>
      </c>
      <c r="L1290" s="53" t="n">
        <f aca="true">NORMINV(RAND(),0,L$7)</f>
        <v>0.631494696068255</v>
      </c>
      <c r="M1290" s="53" t="n">
        <f aca="true">NORMINV(RAND(),0,M$7)</f>
        <v>-0.312551335160528</v>
      </c>
      <c r="N1290" s="53" t="n">
        <f aca="true">NORMINV(RAND(),0,N$7)</f>
        <v>0.162710185773618</v>
      </c>
      <c r="O1290" s="53" t="n">
        <f aca="false">SUM(J1290:N1290)</f>
        <v>-0.420926032385968</v>
      </c>
    </row>
    <row r="1291" customFormat="false" ht="15" hidden="false" customHeight="false" outlineLevel="0" collapsed="false">
      <c r="A1291" s="2" t="n">
        <v>1283</v>
      </c>
      <c r="B1291" s="53" t="n">
        <f aca="true">NORMINV(RAND(),0,B$7)</f>
        <v>0.501826397325003</v>
      </c>
      <c r="C1291" s="53" t="n">
        <f aca="true">NORMINV(RAND(),0,C$7)</f>
        <v>3.43430828144839</v>
      </c>
      <c r="D1291" s="53" t="n">
        <f aca="true">NORMINV(RAND(),0,D$7)</f>
        <v>-1.24709882405821</v>
      </c>
      <c r="E1291" s="53" t="n">
        <f aca="true">NORMINV(RAND(),0,E$7)</f>
        <v>-0.0457388890325992</v>
      </c>
      <c r="F1291" s="53" t="n">
        <f aca="true">NORMINV(RAND(),0,F$7)</f>
        <v>-0.03942289268386</v>
      </c>
      <c r="G1291" s="53" t="n">
        <f aca="true">NORMINV(RAND(),0,G$7)</f>
        <v>-0.411284364479193</v>
      </c>
      <c r="H1291" s="53" t="n">
        <f aca="true">NORMINV(RAND(),0,H$7)</f>
        <v>0.120193148266984</v>
      </c>
      <c r="I1291" s="53" t="n">
        <f aca="false">SUM(B1291:H1291)</f>
        <v>2.31278285678652</v>
      </c>
      <c r="J1291" s="53" t="n">
        <f aca="true">NORMINV(RAND(),0,J$7)</f>
        <v>-2.83390396606626</v>
      </c>
      <c r="K1291" s="53" t="n">
        <f aca="true">NORMINV(RAND(),0,K$7)</f>
        <v>1.30988119048154</v>
      </c>
      <c r="L1291" s="53" t="n">
        <f aca="true">NORMINV(RAND(),0,L$7)</f>
        <v>0.0514495867341041</v>
      </c>
      <c r="M1291" s="53" t="n">
        <f aca="true">NORMINV(RAND(),0,M$7)</f>
        <v>-0.239099249919972</v>
      </c>
      <c r="N1291" s="53" t="n">
        <f aca="true">NORMINV(RAND(),0,N$7)</f>
        <v>0.35372188537362</v>
      </c>
      <c r="O1291" s="53" t="n">
        <f aca="false">SUM(J1291:N1291)</f>
        <v>-1.35795055339697</v>
      </c>
    </row>
    <row r="1292" customFormat="false" ht="15" hidden="false" customHeight="false" outlineLevel="0" collapsed="false">
      <c r="A1292" s="2" t="n">
        <v>1284</v>
      </c>
      <c r="B1292" s="53" t="n">
        <f aca="true">NORMINV(RAND(),0,B$7)</f>
        <v>-0.278316809697339</v>
      </c>
      <c r="C1292" s="53" t="n">
        <f aca="true">NORMINV(RAND(),0,C$7)</f>
        <v>-1.0811470550717</v>
      </c>
      <c r="D1292" s="53" t="n">
        <f aca="true">NORMINV(RAND(),0,D$7)</f>
        <v>1.84429782502938</v>
      </c>
      <c r="E1292" s="53" t="n">
        <f aca="true">NORMINV(RAND(),0,E$7)</f>
        <v>-0.0826368828718174</v>
      </c>
      <c r="F1292" s="53" t="n">
        <f aca="true">NORMINV(RAND(),0,F$7)</f>
        <v>-0.256828743535004</v>
      </c>
      <c r="G1292" s="53" t="n">
        <f aca="true">NORMINV(RAND(),0,G$7)</f>
        <v>0.564430615440132</v>
      </c>
      <c r="H1292" s="53" t="n">
        <f aca="true">NORMINV(RAND(),0,H$7)</f>
        <v>-0.187336547794912</v>
      </c>
      <c r="I1292" s="53" t="n">
        <f aca="false">SUM(B1292:H1292)</f>
        <v>0.522462401498744</v>
      </c>
      <c r="J1292" s="53" t="n">
        <f aca="true">NORMINV(RAND(),0,J$7)</f>
        <v>0.840415354220269</v>
      </c>
      <c r="K1292" s="53" t="n">
        <f aca="true">NORMINV(RAND(),0,K$7)</f>
        <v>0.0831181355494376</v>
      </c>
      <c r="L1292" s="53" t="n">
        <f aca="true">NORMINV(RAND(),0,L$7)</f>
        <v>-0.233836120425952</v>
      </c>
      <c r="M1292" s="53" t="n">
        <f aca="true">NORMINV(RAND(),0,M$7)</f>
        <v>-0.120404309471037</v>
      </c>
      <c r="N1292" s="53" t="n">
        <f aca="true">NORMINV(RAND(),0,N$7)</f>
        <v>-0.137474076061755</v>
      </c>
      <c r="O1292" s="53" t="n">
        <f aca="false">SUM(J1292:N1292)</f>
        <v>0.431818983810963</v>
      </c>
    </row>
    <row r="1293" customFormat="false" ht="15" hidden="false" customHeight="false" outlineLevel="0" collapsed="false">
      <c r="A1293" s="2" t="n">
        <v>1285</v>
      </c>
      <c r="B1293" s="53" t="n">
        <f aca="true">NORMINV(RAND(),0,B$7)</f>
        <v>-0.656537196796328</v>
      </c>
      <c r="C1293" s="53" t="n">
        <f aca="true">NORMINV(RAND(),0,C$7)</f>
        <v>-0.743008931070764</v>
      </c>
      <c r="D1293" s="53" t="n">
        <f aca="true">NORMINV(RAND(),0,D$7)</f>
        <v>-0.192329847059609</v>
      </c>
      <c r="E1293" s="53" t="n">
        <f aca="true">NORMINV(RAND(),0,E$7)</f>
        <v>-0.13199736732272</v>
      </c>
      <c r="F1293" s="53" t="n">
        <f aca="true">NORMINV(RAND(),0,F$7)</f>
        <v>0.0122548256588223</v>
      </c>
      <c r="G1293" s="53" t="n">
        <f aca="true">NORMINV(RAND(),0,G$7)</f>
        <v>2.52845529672492</v>
      </c>
      <c r="H1293" s="53" t="n">
        <f aca="true">NORMINV(RAND(),0,H$7)</f>
        <v>0.231927323143783</v>
      </c>
      <c r="I1293" s="53" t="n">
        <f aca="false">SUM(B1293:H1293)</f>
        <v>1.04876410327811</v>
      </c>
      <c r="J1293" s="53" t="n">
        <f aca="true">NORMINV(RAND(),0,J$7)</f>
        <v>-2.74217360384585</v>
      </c>
      <c r="K1293" s="53" t="n">
        <f aca="true">NORMINV(RAND(),0,K$7)</f>
        <v>-0.634354919586074</v>
      </c>
      <c r="L1293" s="53" t="n">
        <f aca="true">NORMINV(RAND(),0,L$7)</f>
        <v>-0.309857754082909</v>
      </c>
      <c r="M1293" s="53" t="n">
        <f aca="true">NORMINV(RAND(),0,M$7)</f>
        <v>-0.0575595427827043</v>
      </c>
      <c r="N1293" s="53" t="n">
        <f aca="true">NORMINV(RAND(),0,N$7)</f>
        <v>0.370585341732524</v>
      </c>
      <c r="O1293" s="53" t="n">
        <f aca="false">SUM(J1293:N1293)</f>
        <v>-3.37336047856501</v>
      </c>
    </row>
    <row r="1294" customFormat="false" ht="15" hidden="false" customHeight="false" outlineLevel="0" collapsed="false">
      <c r="A1294" s="2" t="n">
        <v>1286</v>
      </c>
      <c r="B1294" s="53" t="n">
        <f aca="true">NORMINV(RAND(),0,B$7)</f>
        <v>-0.287922493408921</v>
      </c>
      <c r="C1294" s="53" t="n">
        <f aca="true">NORMINV(RAND(),0,C$7)</f>
        <v>-0.289044388190599</v>
      </c>
      <c r="D1294" s="53" t="n">
        <f aca="true">NORMINV(RAND(),0,D$7)</f>
        <v>2.20829264558067</v>
      </c>
      <c r="E1294" s="53" t="n">
        <f aca="true">NORMINV(RAND(),0,E$7)</f>
        <v>0.227376597684866</v>
      </c>
      <c r="F1294" s="53" t="n">
        <f aca="true">NORMINV(RAND(),0,F$7)</f>
        <v>-0.0154819036191661</v>
      </c>
      <c r="G1294" s="53" t="n">
        <f aca="true">NORMINV(RAND(),0,G$7)</f>
        <v>-0.531113869594457</v>
      </c>
      <c r="H1294" s="53" t="n">
        <f aca="true">NORMINV(RAND(),0,H$7)</f>
        <v>-0.0526553787055665</v>
      </c>
      <c r="I1294" s="53" t="n">
        <f aca="false">SUM(B1294:H1294)</f>
        <v>1.25945120974683</v>
      </c>
      <c r="J1294" s="53" t="n">
        <f aca="true">NORMINV(RAND(),0,J$7)</f>
        <v>2.91543320492942</v>
      </c>
      <c r="K1294" s="53" t="n">
        <f aca="true">NORMINV(RAND(),0,K$7)</f>
        <v>-0.952511438908106</v>
      </c>
      <c r="L1294" s="53" t="n">
        <f aca="true">NORMINV(RAND(),0,L$7)</f>
        <v>-0.317255109201451</v>
      </c>
      <c r="M1294" s="53" t="n">
        <f aca="true">NORMINV(RAND(),0,M$7)</f>
        <v>0.022136215729104</v>
      </c>
      <c r="N1294" s="53" t="n">
        <f aca="true">NORMINV(RAND(),0,N$7)</f>
        <v>0.582108602714404</v>
      </c>
      <c r="O1294" s="53" t="n">
        <f aca="false">SUM(J1294:N1294)</f>
        <v>2.24991147526337</v>
      </c>
    </row>
    <row r="1295" customFormat="false" ht="15" hidden="false" customHeight="false" outlineLevel="0" collapsed="false">
      <c r="A1295" s="2" t="n">
        <v>1287</v>
      </c>
      <c r="B1295" s="53" t="n">
        <f aca="true">NORMINV(RAND(),0,B$7)</f>
        <v>0.833625132669656</v>
      </c>
      <c r="C1295" s="53" t="n">
        <f aca="true">NORMINV(RAND(),0,C$7)</f>
        <v>-0.108283227306592</v>
      </c>
      <c r="D1295" s="53" t="n">
        <f aca="true">NORMINV(RAND(),0,D$7)</f>
        <v>0.527496052782475</v>
      </c>
      <c r="E1295" s="53" t="n">
        <f aca="true">NORMINV(RAND(),0,E$7)</f>
        <v>0.0919316934733599</v>
      </c>
      <c r="F1295" s="53" t="n">
        <f aca="true">NORMINV(RAND(),0,F$7)</f>
        <v>0.254962364429574</v>
      </c>
      <c r="G1295" s="53" t="n">
        <f aca="true">NORMINV(RAND(),0,G$7)</f>
        <v>1.17502146302795</v>
      </c>
      <c r="H1295" s="53" t="n">
        <f aca="true">NORMINV(RAND(),0,H$7)</f>
        <v>0.128290805989461</v>
      </c>
      <c r="I1295" s="53" t="n">
        <f aca="false">SUM(B1295:H1295)</f>
        <v>2.90304428506588</v>
      </c>
      <c r="J1295" s="53" t="n">
        <f aca="true">NORMINV(RAND(),0,J$7)</f>
        <v>-0.0647351801471007</v>
      </c>
      <c r="K1295" s="53" t="n">
        <f aca="true">NORMINV(RAND(),0,K$7)</f>
        <v>0.143490980395258</v>
      </c>
      <c r="L1295" s="53" t="n">
        <f aca="true">NORMINV(RAND(),0,L$7)</f>
        <v>-0.193160941521732</v>
      </c>
      <c r="M1295" s="53" t="n">
        <f aca="true">NORMINV(RAND(),0,M$7)</f>
        <v>-0.0771482392398703</v>
      </c>
      <c r="N1295" s="53" t="n">
        <f aca="true">NORMINV(RAND(),0,N$7)</f>
        <v>0.124859762617657</v>
      </c>
      <c r="O1295" s="53" t="n">
        <f aca="false">SUM(J1295:N1295)</f>
        <v>-0.0666936178957879</v>
      </c>
    </row>
    <row r="1296" customFormat="false" ht="15" hidden="false" customHeight="false" outlineLevel="0" collapsed="false">
      <c r="A1296" s="2" t="n">
        <v>1288</v>
      </c>
      <c r="B1296" s="53" t="n">
        <f aca="true">NORMINV(RAND(),0,B$7)</f>
        <v>2.26031292231881</v>
      </c>
      <c r="C1296" s="53" t="n">
        <f aca="true">NORMINV(RAND(),0,C$7)</f>
        <v>-0.728875003729128</v>
      </c>
      <c r="D1296" s="53" t="n">
        <f aca="true">NORMINV(RAND(),0,D$7)</f>
        <v>-1.36244089411674</v>
      </c>
      <c r="E1296" s="53" t="n">
        <f aca="true">NORMINV(RAND(),0,E$7)</f>
        <v>0.260539132680849</v>
      </c>
      <c r="F1296" s="53" t="n">
        <f aca="true">NORMINV(RAND(),0,F$7)</f>
        <v>-0.0965806833640408</v>
      </c>
      <c r="G1296" s="53" t="n">
        <f aca="true">NORMINV(RAND(),0,G$7)</f>
        <v>1.54778799337398</v>
      </c>
      <c r="H1296" s="53" t="n">
        <f aca="true">NORMINV(RAND(),0,H$7)</f>
        <v>0.346940637896996</v>
      </c>
      <c r="I1296" s="53" t="n">
        <f aca="false">SUM(B1296:H1296)</f>
        <v>2.22768410506073</v>
      </c>
      <c r="J1296" s="53" t="n">
        <f aca="true">NORMINV(RAND(),0,J$7)</f>
        <v>1.92088523547092</v>
      </c>
      <c r="K1296" s="53" t="n">
        <f aca="true">NORMINV(RAND(),0,K$7)</f>
        <v>0.0593580987534837</v>
      </c>
      <c r="L1296" s="53" t="n">
        <f aca="true">NORMINV(RAND(),0,L$7)</f>
        <v>0.118907349052209</v>
      </c>
      <c r="M1296" s="53" t="n">
        <f aca="true">NORMINV(RAND(),0,M$7)</f>
        <v>0.0168809813166769</v>
      </c>
      <c r="N1296" s="53" t="n">
        <f aca="true">NORMINV(RAND(),0,N$7)</f>
        <v>-0.419132217223957</v>
      </c>
      <c r="O1296" s="53" t="n">
        <f aca="false">SUM(J1296:N1296)</f>
        <v>1.69689944736934</v>
      </c>
    </row>
    <row r="1297" customFormat="false" ht="15" hidden="false" customHeight="false" outlineLevel="0" collapsed="false">
      <c r="A1297" s="2" t="n">
        <v>1289</v>
      </c>
      <c r="B1297" s="53" t="n">
        <f aca="true">NORMINV(RAND(),0,B$7)</f>
        <v>-1.713568569953</v>
      </c>
      <c r="C1297" s="53" t="n">
        <f aca="true">NORMINV(RAND(),0,C$7)</f>
        <v>-0.730261593430032</v>
      </c>
      <c r="D1297" s="53" t="n">
        <f aca="true">NORMINV(RAND(),0,D$7)</f>
        <v>-2.10999237164966</v>
      </c>
      <c r="E1297" s="53" t="n">
        <f aca="true">NORMINV(RAND(),0,E$7)</f>
        <v>0.729352271244866</v>
      </c>
      <c r="F1297" s="53" t="n">
        <f aca="true">NORMINV(RAND(),0,F$7)</f>
        <v>-0.00148490234290666</v>
      </c>
      <c r="G1297" s="53" t="n">
        <f aca="true">NORMINV(RAND(),0,G$7)</f>
        <v>0.556776969804686</v>
      </c>
      <c r="H1297" s="53" t="n">
        <f aca="true">NORMINV(RAND(),0,H$7)</f>
        <v>-0.173744861114922</v>
      </c>
      <c r="I1297" s="53" t="n">
        <f aca="false">SUM(B1297:H1297)</f>
        <v>-3.44292305744097</v>
      </c>
      <c r="J1297" s="53" t="n">
        <f aca="true">NORMINV(RAND(),0,J$7)</f>
        <v>-0.453758794157118</v>
      </c>
      <c r="K1297" s="53" t="n">
        <f aca="true">NORMINV(RAND(),0,K$7)</f>
        <v>-0.664290629743363</v>
      </c>
      <c r="L1297" s="53" t="n">
        <f aca="true">NORMINV(RAND(),0,L$7)</f>
        <v>-0.371501259268318</v>
      </c>
      <c r="M1297" s="53" t="n">
        <f aca="true">NORMINV(RAND(),0,M$7)</f>
        <v>-0.0522267716167018</v>
      </c>
      <c r="N1297" s="53" t="n">
        <f aca="true">NORMINV(RAND(),0,N$7)</f>
        <v>0.0199043607712694</v>
      </c>
      <c r="O1297" s="53" t="n">
        <f aca="false">SUM(J1297:N1297)</f>
        <v>-1.52187309401423</v>
      </c>
    </row>
    <row r="1298" customFormat="false" ht="15" hidden="false" customHeight="false" outlineLevel="0" collapsed="false">
      <c r="A1298" s="2" t="n">
        <v>1290</v>
      </c>
      <c r="B1298" s="53" t="n">
        <f aca="true">NORMINV(RAND(),0,B$7)</f>
        <v>-0.0121075617284522</v>
      </c>
      <c r="C1298" s="53" t="n">
        <f aca="true">NORMINV(RAND(),0,C$7)</f>
        <v>2.52855172217827</v>
      </c>
      <c r="D1298" s="53" t="n">
        <f aca="true">NORMINV(RAND(),0,D$7)</f>
        <v>-1.12809770747598</v>
      </c>
      <c r="E1298" s="53" t="n">
        <f aca="true">NORMINV(RAND(),0,E$7)</f>
        <v>-0.303621776924455</v>
      </c>
      <c r="F1298" s="53" t="n">
        <f aca="true">NORMINV(RAND(),0,F$7)</f>
        <v>-0.129280492675976</v>
      </c>
      <c r="G1298" s="53" t="n">
        <f aca="true">NORMINV(RAND(),0,G$7)</f>
        <v>-0.672712990066352</v>
      </c>
      <c r="H1298" s="53" t="n">
        <f aca="true">NORMINV(RAND(),0,H$7)</f>
        <v>0.194779359387108</v>
      </c>
      <c r="I1298" s="53" t="n">
        <f aca="false">SUM(B1298:H1298)</f>
        <v>0.477510552694161</v>
      </c>
      <c r="J1298" s="53" t="n">
        <f aca="true">NORMINV(RAND(),0,J$7)</f>
        <v>0.496719736993055</v>
      </c>
      <c r="K1298" s="53" t="n">
        <f aca="true">NORMINV(RAND(),0,K$7)</f>
        <v>0.341027540104656</v>
      </c>
      <c r="L1298" s="53" t="n">
        <f aca="true">NORMINV(RAND(),0,L$7)</f>
        <v>0.353420162045483</v>
      </c>
      <c r="M1298" s="53" t="n">
        <f aca="true">NORMINV(RAND(),0,M$7)</f>
        <v>0.221389508627449</v>
      </c>
      <c r="N1298" s="53" t="n">
        <f aca="true">NORMINV(RAND(),0,N$7)</f>
        <v>-0.741896700605446</v>
      </c>
      <c r="O1298" s="53" t="n">
        <f aca="false">SUM(J1298:N1298)</f>
        <v>0.670660247165197</v>
      </c>
    </row>
    <row r="1299" customFormat="false" ht="15" hidden="false" customHeight="false" outlineLevel="0" collapsed="false">
      <c r="A1299" s="2" t="n">
        <v>1291</v>
      </c>
      <c r="B1299" s="53" t="n">
        <f aca="true">NORMINV(RAND(),0,B$7)</f>
        <v>2.61299559419781</v>
      </c>
      <c r="C1299" s="53" t="n">
        <f aca="true">NORMINV(RAND(),0,C$7)</f>
        <v>-1.28357535965729</v>
      </c>
      <c r="D1299" s="53" t="n">
        <f aca="true">NORMINV(RAND(),0,D$7)</f>
        <v>4.74561569840918</v>
      </c>
      <c r="E1299" s="53" t="n">
        <f aca="true">NORMINV(RAND(),0,E$7)</f>
        <v>-0.376838180407453</v>
      </c>
      <c r="F1299" s="53" t="n">
        <f aca="true">NORMINV(RAND(),0,F$7)</f>
        <v>-0.0773513031589401</v>
      </c>
      <c r="G1299" s="53" t="n">
        <f aca="true">NORMINV(RAND(),0,G$7)</f>
        <v>-1.92129527298244</v>
      </c>
      <c r="H1299" s="53" t="n">
        <f aca="true">NORMINV(RAND(),0,H$7)</f>
        <v>-0.352706865187229</v>
      </c>
      <c r="I1299" s="53" t="n">
        <f aca="false">SUM(B1299:H1299)</f>
        <v>3.34684431121365</v>
      </c>
      <c r="J1299" s="53" t="n">
        <f aca="true">NORMINV(RAND(),0,J$7)</f>
        <v>1.7293105212385</v>
      </c>
      <c r="K1299" s="53" t="n">
        <f aca="true">NORMINV(RAND(),0,K$7)</f>
        <v>0.0453489838838337</v>
      </c>
      <c r="L1299" s="53" t="n">
        <f aca="true">NORMINV(RAND(),0,L$7)</f>
        <v>-0.549814724790823</v>
      </c>
      <c r="M1299" s="53" t="n">
        <f aca="true">NORMINV(RAND(),0,M$7)</f>
        <v>0.331098922241241</v>
      </c>
      <c r="N1299" s="53" t="n">
        <f aca="true">NORMINV(RAND(),0,N$7)</f>
        <v>0.521156573393922</v>
      </c>
      <c r="O1299" s="53" t="n">
        <f aca="false">SUM(J1299:N1299)</f>
        <v>2.07710027596668</v>
      </c>
    </row>
    <row r="1300" customFormat="false" ht="15" hidden="false" customHeight="false" outlineLevel="0" collapsed="false">
      <c r="A1300" s="2" t="n">
        <v>1292</v>
      </c>
      <c r="B1300" s="53" t="n">
        <f aca="true">NORMINV(RAND(),0,B$7)</f>
        <v>1.37629835445055</v>
      </c>
      <c r="C1300" s="53" t="n">
        <f aca="true">NORMINV(RAND(),0,C$7)</f>
        <v>0.505318160937246</v>
      </c>
      <c r="D1300" s="53" t="n">
        <f aca="true">NORMINV(RAND(),0,D$7)</f>
        <v>-0.297844389440172</v>
      </c>
      <c r="E1300" s="53" t="n">
        <f aca="true">NORMINV(RAND(),0,E$7)</f>
        <v>0.501691803930858</v>
      </c>
      <c r="F1300" s="53" t="n">
        <f aca="true">NORMINV(RAND(),0,F$7)</f>
        <v>-0.116559218475325</v>
      </c>
      <c r="G1300" s="53" t="n">
        <f aca="true">NORMINV(RAND(),0,G$7)</f>
        <v>1.07997047512364</v>
      </c>
      <c r="H1300" s="53" t="n">
        <f aca="true">NORMINV(RAND(),0,H$7)</f>
        <v>0.217492707004153</v>
      </c>
      <c r="I1300" s="53" t="n">
        <f aca="false">SUM(B1300:H1300)</f>
        <v>3.26636789353094</v>
      </c>
      <c r="J1300" s="53" t="n">
        <f aca="true">NORMINV(RAND(),0,J$7)</f>
        <v>-0.253315267543063</v>
      </c>
      <c r="K1300" s="53" t="n">
        <f aca="true">NORMINV(RAND(),0,K$7)</f>
        <v>-0.882780353663672</v>
      </c>
      <c r="L1300" s="53" t="n">
        <f aca="true">NORMINV(RAND(),0,L$7)</f>
        <v>-0.571969218255099</v>
      </c>
      <c r="M1300" s="53" t="n">
        <f aca="true">NORMINV(RAND(),0,M$7)</f>
        <v>0.168950698275868</v>
      </c>
      <c r="N1300" s="53" t="n">
        <f aca="true">NORMINV(RAND(),0,N$7)</f>
        <v>0.140750710660594</v>
      </c>
      <c r="O1300" s="53" t="n">
        <f aca="false">SUM(J1300:N1300)</f>
        <v>-1.39836343052537</v>
      </c>
    </row>
    <row r="1301" customFormat="false" ht="15" hidden="false" customHeight="false" outlineLevel="0" collapsed="false">
      <c r="A1301" s="2" t="n">
        <v>1293</v>
      </c>
      <c r="B1301" s="53" t="n">
        <f aca="true">NORMINV(RAND(),0,B$7)</f>
        <v>-0.233252857298612</v>
      </c>
      <c r="C1301" s="53" t="n">
        <f aca="true">NORMINV(RAND(),0,C$7)</f>
        <v>0.494683776034466</v>
      </c>
      <c r="D1301" s="53" t="n">
        <f aca="true">NORMINV(RAND(),0,D$7)</f>
        <v>-2.19184601627967</v>
      </c>
      <c r="E1301" s="53" t="n">
        <f aca="true">NORMINV(RAND(),0,E$7)</f>
        <v>0.113617546694604</v>
      </c>
      <c r="F1301" s="53" t="n">
        <f aca="true">NORMINV(RAND(),0,F$7)</f>
        <v>-0.0824948582436481</v>
      </c>
      <c r="G1301" s="53" t="n">
        <f aca="true">NORMINV(RAND(),0,G$7)</f>
        <v>0.801859073102584</v>
      </c>
      <c r="H1301" s="53" t="n">
        <f aca="true">NORMINV(RAND(),0,H$7)</f>
        <v>0.245378417215366</v>
      </c>
      <c r="I1301" s="53" t="n">
        <f aca="false">SUM(B1301:H1301)</f>
        <v>-0.852054918774906</v>
      </c>
      <c r="J1301" s="53" t="n">
        <f aca="true">NORMINV(RAND(),0,J$7)</f>
        <v>1.89453938927875</v>
      </c>
      <c r="K1301" s="53" t="n">
        <f aca="true">NORMINV(RAND(),0,K$7)</f>
        <v>0.687775494667925</v>
      </c>
      <c r="L1301" s="53" t="n">
        <f aca="true">NORMINV(RAND(),0,L$7)</f>
        <v>-0.121514272215606</v>
      </c>
      <c r="M1301" s="53" t="n">
        <f aca="true">NORMINV(RAND(),0,M$7)</f>
        <v>-0.301847346690882</v>
      </c>
      <c r="N1301" s="53" t="n">
        <f aca="true">NORMINV(RAND(),0,N$7)</f>
        <v>0.533493359913736</v>
      </c>
      <c r="O1301" s="53" t="n">
        <f aca="false">SUM(J1301:N1301)</f>
        <v>2.69244662495393</v>
      </c>
    </row>
    <row r="1302" customFormat="false" ht="15" hidden="false" customHeight="false" outlineLevel="0" collapsed="false">
      <c r="A1302" s="2" t="n">
        <v>1294</v>
      </c>
      <c r="B1302" s="53" t="n">
        <f aca="true">NORMINV(RAND(),0,B$7)</f>
        <v>-0.190689458760077</v>
      </c>
      <c r="C1302" s="53" t="n">
        <f aca="true">NORMINV(RAND(),0,C$7)</f>
        <v>1.09222801026028</v>
      </c>
      <c r="D1302" s="53" t="n">
        <f aca="true">NORMINV(RAND(),0,D$7)</f>
        <v>1.82772508601793</v>
      </c>
      <c r="E1302" s="53" t="n">
        <f aca="true">NORMINV(RAND(),0,E$7)</f>
        <v>0.0978186940826968</v>
      </c>
      <c r="F1302" s="53" t="n">
        <f aca="true">NORMINV(RAND(),0,F$7)</f>
        <v>0.26975749191594</v>
      </c>
      <c r="G1302" s="53" t="n">
        <f aca="true">NORMINV(RAND(),0,G$7)</f>
        <v>-0.632281580301918</v>
      </c>
      <c r="H1302" s="53" t="n">
        <f aca="true">NORMINV(RAND(),0,H$7)</f>
        <v>0.593440064884071</v>
      </c>
      <c r="I1302" s="53" t="n">
        <f aca="false">SUM(B1302:H1302)</f>
        <v>3.05799830809892</v>
      </c>
      <c r="J1302" s="53" t="n">
        <f aca="true">NORMINV(RAND(),0,J$7)</f>
        <v>2.52978991743941</v>
      </c>
      <c r="K1302" s="53" t="n">
        <f aca="true">NORMINV(RAND(),0,K$7)</f>
        <v>0.00221417689043639</v>
      </c>
      <c r="L1302" s="53" t="n">
        <f aca="true">NORMINV(RAND(),0,L$7)</f>
        <v>-0.239318834508747</v>
      </c>
      <c r="M1302" s="53" t="n">
        <f aca="true">NORMINV(RAND(),0,M$7)</f>
        <v>0.191184489404798</v>
      </c>
      <c r="N1302" s="53" t="n">
        <f aca="true">NORMINV(RAND(),0,N$7)</f>
        <v>0.231991923902099</v>
      </c>
      <c r="O1302" s="53" t="n">
        <f aca="false">SUM(J1302:N1302)</f>
        <v>2.715861673128</v>
      </c>
    </row>
    <row r="1303" customFormat="false" ht="15" hidden="false" customHeight="false" outlineLevel="0" collapsed="false">
      <c r="A1303" s="2" t="n">
        <v>1295</v>
      </c>
      <c r="B1303" s="53" t="n">
        <f aca="true">NORMINV(RAND(),0,B$7)</f>
        <v>0.179232684974541</v>
      </c>
      <c r="C1303" s="53" t="n">
        <f aca="true">NORMINV(RAND(),0,C$7)</f>
        <v>1.17957800504206</v>
      </c>
      <c r="D1303" s="53" t="n">
        <f aca="true">NORMINV(RAND(),0,D$7)</f>
        <v>1.80038485205004</v>
      </c>
      <c r="E1303" s="53" t="n">
        <f aca="true">NORMINV(RAND(),0,E$7)</f>
        <v>-0.126792161824167</v>
      </c>
      <c r="F1303" s="53" t="n">
        <f aca="true">NORMINV(RAND(),0,F$7)</f>
        <v>0.334254338964597</v>
      </c>
      <c r="G1303" s="53" t="n">
        <f aca="true">NORMINV(RAND(),0,G$7)</f>
        <v>0.674679980577361</v>
      </c>
      <c r="H1303" s="53" t="n">
        <f aca="true">NORMINV(RAND(),0,H$7)</f>
        <v>-0.110310211604939</v>
      </c>
      <c r="I1303" s="53" t="n">
        <f aca="false">SUM(B1303:H1303)</f>
        <v>3.93102748817949</v>
      </c>
      <c r="J1303" s="53" t="n">
        <f aca="true">NORMINV(RAND(),0,J$7)</f>
        <v>-2.60842620282013</v>
      </c>
      <c r="K1303" s="53" t="n">
        <f aca="true">NORMINV(RAND(),0,K$7)</f>
        <v>-1.08775781675699</v>
      </c>
      <c r="L1303" s="53" t="n">
        <f aca="true">NORMINV(RAND(),0,L$7)</f>
        <v>0.180481518673841</v>
      </c>
      <c r="M1303" s="53" t="n">
        <f aca="true">NORMINV(RAND(),0,M$7)</f>
        <v>0.0292236593577366</v>
      </c>
      <c r="N1303" s="53" t="n">
        <f aca="true">NORMINV(RAND(),0,N$7)</f>
        <v>0.166357788583236</v>
      </c>
      <c r="O1303" s="53" t="n">
        <f aca="false">SUM(J1303:N1303)</f>
        <v>-3.32012105296231</v>
      </c>
    </row>
    <row r="1304" customFormat="false" ht="15" hidden="false" customHeight="false" outlineLevel="0" collapsed="false">
      <c r="A1304" s="2" t="n">
        <v>1296</v>
      </c>
      <c r="B1304" s="53" t="n">
        <f aca="true">NORMINV(RAND(),0,B$7)</f>
        <v>2.66635908568874</v>
      </c>
      <c r="C1304" s="53" t="n">
        <f aca="true">NORMINV(RAND(),0,C$7)</f>
        <v>-0.374120158396481</v>
      </c>
      <c r="D1304" s="53" t="n">
        <f aca="true">NORMINV(RAND(),0,D$7)</f>
        <v>-1.34356400441406</v>
      </c>
      <c r="E1304" s="53" t="n">
        <f aca="true">NORMINV(RAND(),0,E$7)</f>
        <v>0.277619139901615</v>
      </c>
      <c r="F1304" s="53" t="n">
        <f aca="true">NORMINV(RAND(),0,F$7)</f>
        <v>-0.0153900606972721</v>
      </c>
      <c r="G1304" s="53" t="n">
        <f aca="true">NORMINV(RAND(),0,G$7)</f>
        <v>3.21481588822331</v>
      </c>
      <c r="H1304" s="53" t="n">
        <f aca="true">NORMINV(RAND(),0,H$7)</f>
        <v>-0.292707377949552</v>
      </c>
      <c r="I1304" s="53" t="n">
        <f aca="false">SUM(B1304:H1304)</f>
        <v>4.1330125123563</v>
      </c>
      <c r="J1304" s="53" t="n">
        <f aca="true">NORMINV(RAND(),0,J$7)</f>
        <v>-3.14948129477965</v>
      </c>
      <c r="K1304" s="53" t="n">
        <f aca="true">NORMINV(RAND(),0,K$7)</f>
        <v>0.234474813609862</v>
      </c>
      <c r="L1304" s="53" t="n">
        <f aca="true">NORMINV(RAND(),0,L$7)</f>
        <v>-0.21779243957459</v>
      </c>
      <c r="M1304" s="53" t="n">
        <f aca="true">NORMINV(RAND(),0,M$7)</f>
        <v>-0.0457523059258018</v>
      </c>
      <c r="N1304" s="53" t="n">
        <f aca="true">NORMINV(RAND(),0,N$7)</f>
        <v>-0.128810281320644</v>
      </c>
      <c r="O1304" s="53" t="n">
        <f aca="false">SUM(J1304:N1304)</f>
        <v>-3.30736150799082</v>
      </c>
    </row>
    <row r="1305" customFormat="false" ht="15" hidden="false" customHeight="false" outlineLevel="0" collapsed="false">
      <c r="A1305" s="2" t="n">
        <v>1297</v>
      </c>
      <c r="B1305" s="53" t="n">
        <f aca="true">NORMINV(RAND(),0,B$7)</f>
        <v>1.84917495698195</v>
      </c>
      <c r="C1305" s="53" t="n">
        <f aca="true">NORMINV(RAND(),0,C$7)</f>
        <v>0.89357484939756</v>
      </c>
      <c r="D1305" s="53" t="n">
        <f aca="true">NORMINV(RAND(),0,D$7)</f>
        <v>2.91402728248081</v>
      </c>
      <c r="E1305" s="53" t="n">
        <f aca="true">NORMINV(RAND(),0,E$7)</f>
        <v>-0.109187197486288</v>
      </c>
      <c r="F1305" s="53" t="n">
        <f aca="true">NORMINV(RAND(),0,F$7)</f>
        <v>0.42991858308588</v>
      </c>
      <c r="G1305" s="53" t="n">
        <f aca="true">NORMINV(RAND(),0,G$7)</f>
        <v>0.432624127121159</v>
      </c>
      <c r="H1305" s="53" t="n">
        <f aca="true">NORMINV(RAND(),0,H$7)</f>
        <v>0.106586244910601</v>
      </c>
      <c r="I1305" s="53" t="n">
        <f aca="false">SUM(B1305:H1305)</f>
        <v>6.51671884649167</v>
      </c>
      <c r="J1305" s="53" t="n">
        <f aca="true">NORMINV(RAND(),0,J$7)</f>
        <v>-1.21355687427666</v>
      </c>
      <c r="K1305" s="53" t="n">
        <f aca="true">NORMINV(RAND(),0,K$7)</f>
        <v>-1.20020304936507</v>
      </c>
      <c r="L1305" s="53" t="n">
        <f aca="true">NORMINV(RAND(),0,L$7)</f>
        <v>-0.647456003235585</v>
      </c>
      <c r="M1305" s="53" t="n">
        <f aca="true">NORMINV(RAND(),0,M$7)</f>
        <v>0.259832493984825</v>
      </c>
      <c r="N1305" s="53" t="n">
        <f aca="true">NORMINV(RAND(),0,N$7)</f>
        <v>-0.202097057385876</v>
      </c>
      <c r="O1305" s="53" t="n">
        <f aca="false">SUM(J1305:N1305)</f>
        <v>-3.00348049027837</v>
      </c>
    </row>
    <row r="1306" customFormat="false" ht="15" hidden="false" customHeight="false" outlineLevel="0" collapsed="false">
      <c r="A1306" s="2" t="n">
        <v>1298</v>
      </c>
      <c r="B1306" s="53" t="n">
        <f aca="true">NORMINV(RAND(),0,B$7)</f>
        <v>0.264184714674046</v>
      </c>
      <c r="C1306" s="53" t="n">
        <f aca="true">NORMINV(RAND(),0,C$7)</f>
        <v>-0.0776050265838496</v>
      </c>
      <c r="D1306" s="53" t="n">
        <f aca="true">NORMINV(RAND(),0,D$7)</f>
        <v>3.11210849517195</v>
      </c>
      <c r="E1306" s="53" t="n">
        <f aca="true">NORMINV(RAND(),0,E$7)</f>
        <v>0.131522244207119</v>
      </c>
      <c r="F1306" s="53" t="n">
        <f aca="true">NORMINV(RAND(),0,F$7)</f>
        <v>-0.0131026971251975</v>
      </c>
      <c r="G1306" s="53" t="n">
        <f aca="true">NORMINV(RAND(),0,G$7)</f>
        <v>-1.03100506849202</v>
      </c>
      <c r="H1306" s="53" t="n">
        <f aca="true">NORMINV(RAND(),0,H$7)</f>
        <v>0.215827665976433</v>
      </c>
      <c r="I1306" s="53" t="n">
        <f aca="false">SUM(B1306:H1306)</f>
        <v>2.60193032782848</v>
      </c>
      <c r="J1306" s="53" t="n">
        <f aca="true">NORMINV(RAND(),0,J$7)</f>
        <v>2.78053267828292</v>
      </c>
      <c r="K1306" s="53" t="n">
        <f aca="true">NORMINV(RAND(),0,K$7)</f>
        <v>-0.797170942416955</v>
      </c>
      <c r="L1306" s="53" t="n">
        <f aca="true">NORMINV(RAND(),0,L$7)</f>
        <v>-0.374222776630474</v>
      </c>
      <c r="M1306" s="53" t="n">
        <f aca="true">NORMINV(RAND(),0,M$7)</f>
        <v>0.265116015136254</v>
      </c>
      <c r="N1306" s="53" t="n">
        <f aca="true">NORMINV(RAND(),0,N$7)</f>
        <v>0.171188284024769</v>
      </c>
      <c r="O1306" s="53" t="n">
        <f aca="false">SUM(J1306:N1306)</f>
        <v>2.04544325839652</v>
      </c>
    </row>
    <row r="1307" customFormat="false" ht="15" hidden="false" customHeight="false" outlineLevel="0" collapsed="false">
      <c r="A1307" s="2" t="n">
        <v>1299</v>
      </c>
      <c r="B1307" s="53" t="n">
        <f aca="true">NORMINV(RAND(),0,B$7)</f>
        <v>-0.835800918014161</v>
      </c>
      <c r="C1307" s="53" t="n">
        <f aca="true">NORMINV(RAND(),0,C$7)</f>
        <v>-2.29558525775258</v>
      </c>
      <c r="D1307" s="53" t="n">
        <f aca="true">NORMINV(RAND(),0,D$7)</f>
        <v>0.833805009635189</v>
      </c>
      <c r="E1307" s="53" t="n">
        <f aca="true">NORMINV(RAND(),0,E$7)</f>
        <v>-0.215923951776796</v>
      </c>
      <c r="F1307" s="53" t="n">
        <f aca="true">NORMINV(RAND(),0,F$7)</f>
        <v>-0.058319741048263</v>
      </c>
      <c r="G1307" s="53" t="n">
        <f aca="true">NORMINV(RAND(),0,G$7)</f>
        <v>2.03569693119424</v>
      </c>
      <c r="H1307" s="53" t="n">
        <f aca="true">NORMINV(RAND(),0,H$7)</f>
        <v>0.139138482775606</v>
      </c>
      <c r="I1307" s="53" t="n">
        <f aca="false">SUM(B1307:H1307)</f>
        <v>-0.396989444986766</v>
      </c>
      <c r="J1307" s="53" t="n">
        <f aca="true">NORMINV(RAND(),0,J$7)</f>
        <v>1.46595233912774</v>
      </c>
      <c r="K1307" s="53" t="n">
        <f aca="true">NORMINV(RAND(),0,K$7)</f>
        <v>-0.447940855844706</v>
      </c>
      <c r="L1307" s="53" t="n">
        <f aca="true">NORMINV(RAND(),0,L$7)</f>
        <v>-0.030430377974666</v>
      </c>
      <c r="M1307" s="53" t="n">
        <f aca="true">NORMINV(RAND(),0,M$7)</f>
        <v>-0.0661194708874212</v>
      </c>
      <c r="N1307" s="53" t="n">
        <f aca="true">NORMINV(RAND(),0,N$7)</f>
        <v>0.131788679779008</v>
      </c>
      <c r="O1307" s="53" t="n">
        <f aca="false">SUM(J1307:N1307)</f>
        <v>1.05325031419996</v>
      </c>
    </row>
    <row r="1308" customFormat="false" ht="15" hidden="false" customHeight="false" outlineLevel="0" collapsed="false">
      <c r="A1308" s="2" t="n">
        <v>1300</v>
      </c>
      <c r="B1308" s="53" t="n">
        <f aca="true">NORMINV(RAND(),0,B$7)</f>
        <v>0.648742731268091</v>
      </c>
      <c r="C1308" s="53" t="n">
        <f aca="true">NORMINV(RAND(),0,C$7)</f>
        <v>0.67906980676658</v>
      </c>
      <c r="D1308" s="53" t="n">
        <f aca="true">NORMINV(RAND(),0,D$7)</f>
        <v>-0.289154593019438</v>
      </c>
      <c r="E1308" s="53" t="n">
        <f aca="true">NORMINV(RAND(),0,E$7)</f>
        <v>-0.47963991093397</v>
      </c>
      <c r="F1308" s="53" t="n">
        <f aca="true">NORMINV(RAND(),0,F$7)</f>
        <v>-0.0845518042762646</v>
      </c>
      <c r="G1308" s="53" t="n">
        <f aca="true">NORMINV(RAND(),0,G$7)</f>
        <v>2.34790059187606</v>
      </c>
      <c r="H1308" s="53" t="n">
        <f aca="true">NORMINV(RAND(),0,H$7)</f>
        <v>-0.0855852429295597</v>
      </c>
      <c r="I1308" s="53" t="n">
        <f aca="false">SUM(B1308:H1308)</f>
        <v>2.73678157875149</v>
      </c>
      <c r="J1308" s="53" t="n">
        <f aca="true">NORMINV(RAND(),0,J$7)</f>
        <v>2.71875514129851</v>
      </c>
      <c r="K1308" s="53" t="n">
        <f aca="true">NORMINV(RAND(),0,K$7)</f>
        <v>-0.552522924537913</v>
      </c>
      <c r="L1308" s="53" t="n">
        <f aca="true">NORMINV(RAND(),0,L$7)</f>
        <v>-0.3109577833537</v>
      </c>
      <c r="M1308" s="53" t="n">
        <f aca="true">NORMINV(RAND(),0,M$7)</f>
        <v>0.175609406552589</v>
      </c>
      <c r="N1308" s="53" t="n">
        <f aca="true">NORMINV(RAND(),0,N$7)</f>
        <v>-0.736622006793786</v>
      </c>
      <c r="O1308" s="53" t="n">
        <f aca="false">SUM(J1308:N1308)</f>
        <v>1.2942618331657</v>
      </c>
    </row>
    <row r="1309" customFormat="false" ht="15" hidden="false" customHeight="false" outlineLevel="0" collapsed="false">
      <c r="A1309" s="2" t="n">
        <v>1301</v>
      </c>
      <c r="B1309" s="53" t="n">
        <f aca="true">NORMINV(RAND(),0,B$7)</f>
        <v>0.270434337929067</v>
      </c>
      <c r="C1309" s="53" t="n">
        <f aca="true">NORMINV(RAND(),0,C$7)</f>
        <v>0.156517630302457</v>
      </c>
      <c r="D1309" s="53" t="n">
        <f aca="true">NORMINV(RAND(),0,D$7)</f>
        <v>1.21226908587964</v>
      </c>
      <c r="E1309" s="53" t="n">
        <f aca="true">NORMINV(RAND(),0,E$7)</f>
        <v>0.275265864077717</v>
      </c>
      <c r="F1309" s="53" t="n">
        <f aca="true">NORMINV(RAND(),0,F$7)</f>
        <v>0.29781176847846</v>
      </c>
      <c r="G1309" s="53" t="n">
        <f aca="true">NORMINV(RAND(),0,G$7)</f>
        <v>-1.95291343631421</v>
      </c>
      <c r="H1309" s="53" t="n">
        <f aca="true">NORMINV(RAND(),0,H$7)</f>
        <v>-0.030111588459582</v>
      </c>
      <c r="I1309" s="53" t="n">
        <f aca="false">SUM(B1309:H1309)</f>
        <v>0.229273661893549</v>
      </c>
      <c r="J1309" s="53" t="n">
        <f aca="true">NORMINV(RAND(),0,J$7)</f>
        <v>-2.44690473616621</v>
      </c>
      <c r="K1309" s="53" t="n">
        <f aca="true">NORMINV(RAND(),0,K$7)</f>
        <v>-0.888609803441352</v>
      </c>
      <c r="L1309" s="53" t="n">
        <f aca="true">NORMINV(RAND(),0,L$7)</f>
        <v>0.607356630714708</v>
      </c>
      <c r="M1309" s="53" t="n">
        <f aca="true">NORMINV(RAND(),0,M$7)</f>
        <v>-0.145850864685017</v>
      </c>
      <c r="N1309" s="53" t="n">
        <f aca="true">NORMINV(RAND(),0,N$7)</f>
        <v>-0.440924405186965</v>
      </c>
      <c r="O1309" s="53" t="n">
        <f aca="false">SUM(J1309:N1309)</f>
        <v>-3.31493317876484</v>
      </c>
    </row>
    <row r="1310" customFormat="false" ht="15" hidden="false" customHeight="false" outlineLevel="0" collapsed="false">
      <c r="A1310" s="2" t="n">
        <v>1302</v>
      </c>
      <c r="B1310" s="53" t="n">
        <f aca="true">NORMINV(RAND(),0,B$7)</f>
        <v>-0.811812227933847</v>
      </c>
      <c r="C1310" s="53" t="n">
        <f aca="true">NORMINV(RAND(),0,C$7)</f>
        <v>1.07243990735966</v>
      </c>
      <c r="D1310" s="53" t="n">
        <f aca="true">NORMINV(RAND(),0,D$7)</f>
        <v>1.96222092574644</v>
      </c>
      <c r="E1310" s="53" t="n">
        <f aca="true">NORMINV(RAND(),0,E$7)</f>
        <v>-0.304355682408301</v>
      </c>
      <c r="F1310" s="53" t="n">
        <f aca="true">NORMINV(RAND(),0,F$7)</f>
        <v>-0.185206382367951</v>
      </c>
      <c r="G1310" s="53" t="n">
        <f aca="true">NORMINV(RAND(),0,G$7)</f>
        <v>1.5090214721022</v>
      </c>
      <c r="H1310" s="53" t="n">
        <f aca="true">NORMINV(RAND(),0,H$7)</f>
        <v>0.292009170423958</v>
      </c>
      <c r="I1310" s="53" t="n">
        <f aca="false">SUM(B1310:H1310)</f>
        <v>3.53431718292216</v>
      </c>
      <c r="J1310" s="53" t="n">
        <f aca="true">NORMINV(RAND(),0,J$7)</f>
        <v>2.28435263614816</v>
      </c>
      <c r="K1310" s="53" t="n">
        <f aca="true">NORMINV(RAND(),0,K$7)</f>
        <v>-0.929873836705115</v>
      </c>
      <c r="L1310" s="53" t="n">
        <f aca="true">NORMINV(RAND(),0,L$7)</f>
        <v>-0.316807634046731</v>
      </c>
      <c r="M1310" s="53" t="n">
        <f aca="true">NORMINV(RAND(),0,M$7)</f>
        <v>-0.161293873526583</v>
      </c>
      <c r="N1310" s="53" t="n">
        <f aca="true">NORMINV(RAND(),0,N$7)</f>
        <v>-0.292871913481199</v>
      </c>
      <c r="O1310" s="53" t="n">
        <f aca="false">SUM(J1310:N1310)</f>
        <v>0.583505378388536</v>
      </c>
    </row>
    <row r="1311" customFormat="false" ht="15" hidden="false" customHeight="false" outlineLevel="0" collapsed="false">
      <c r="A1311" s="2" t="n">
        <v>1303</v>
      </c>
      <c r="B1311" s="53" t="n">
        <f aca="true">NORMINV(RAND(),0,B$7)</f>
        <v>2.01168425368474</v>
      </c>
      <c r="C1311" s="53" t="n">
        <f aca="true">NORMINV(RAND(),0,C$7)</f>
        <v>-3.32844947552056</v>
      </c>
      <c r="D1311" s="53" t="n">
        <f aca="true">NORMINV(RAND(),0,D$7)</f>
        <v>1.74442332330172</v>
      </c>
      <c r="E1311" s="53" t="n">
        <f aca="true">NORMINV(RAND(),0,E$7)</f>
        <v>0.250953264990916</v>
      </c>
      <c r="F1311" s="53" t="n">
        <f aca="true">NORMINV(RAND(),0,F$7)</f>
        <v>0.163011270746788</v>
      </c>
      <c r="G1311" s="53" t="n">
        <f aca="true">NORMINV(RAND(),0,G$7)</f>
        <v>0.496449371449541</v>
      </c>
      <c r="H1311" s="53" t="n">
        <f aca="true">NORMINV(RAND(),0,H$7)</f>
        <v>0.73942650494082</v>
      </c>
      <c r="I1311" s="53" t="n">
        <f aca="false">SUM(B1311:H1311)</f>
        <v>2.07749851359396</v>
      </c>
      <c r="J1311" s="53" t="n">
        <f aca="true">NORMINV(RAND(),0,J$7)</f>
        <v>0.991872948911729</v>
      </c>
      <c r="K1311" s="53" t="n">
        <f aca="true">NORMINV(RAND(),0,K$7)</f>
        <v>0.334686301818417</v>
      </c>
      <c r="L1311" s="53" t="n">
        <f aca="true">NORMINV(RAND(),0,L$7)</f>
        <v>-0.27477286499128</v>
      </c>
      <c r="M1311" s="53" t="n">
        <f aca="true">NORMINV(RAND(),0,M$7)</f>
        <v>-0.118394451275004</v>
      </c>
      <c r="N1311" s="53" t="n">
        <f aca="true">NORMINV(RAND(),0,N$7)</f>
        <v>-0.0399091720849212</v>
      </c>
      <c r="O1311" s="53" t="n">
        <f aca="false">SUM(J1311:N1311)</f>
        <v>0.893482762378941</v>
      </c>
    </row>
    <row r="1312" customFormat="false" ht="15" hidden="false" customHeight="false" outlineLevel="0" collapsed="false">
      <c r="A1312" s="2" t="n">
        <v>1304</v>
      </c>
      <c r="B1312" s="53" t="n">
        <f aca="true">NORMINV(RAND(),0,B$7)</f>
        <v>-2.1108534836771</v>
      </c>
      <c r="C1312" s="53" t="n">
        <f aca="true">NORMINV(RAND(),0,C$7)</f>
        <v>0.293421197993237</v>
      </c>
      <c r="D1312" s="53" t="n">
        <f aca="true">NORMINV(RAND(),0,D$7)</f>
        <v>1.27107568965558</v>
      </c>
      <c r="E1312" s="53" t="n">
        <f aca="true">NORMINV(RAND(),0,E$7)</f>
        <v>-0.158617715675236</v>
      </c>
      <c r="F1312" s="53" t="n">
        <f aca="true">NORMINV(RAND(),0,F$7)</f>
        <v>-0.25690536251888</v>
      </c>
      <c r="G1312" s="53" t="n">
        <f aca="true">NORMINV(RAND(),0,G$7)</f>
        <v>-0.062986648112396</v>
      </c>
      <c r="H1312" s="53" t="n">
        <f aca="true">NORMINV(RAND(),0,H$7)</f>
        <v>-0.307562690904498</v>
      </c>
      <c r="I1312" s="53" t="n">
        <f aca="false">SUM(B1312:H1312)</f>
        <v>-1.3324290132393</v>
      </c>
      <c r="J1312" s="53" t="n">
        <f aca="true">NORMINV(RAND(),0,J$7)</f>
        <v>-0.591439108247026</v>
      </c>
      <c r="K1312" s="53" t="n">
        <f aca="true">NORMINV(RAND(),0,K$7)</f>
        <v>-0.85052874710204</v>
      </c>
      <c r="L1312" s="53" t="n">
        <f aca="true">NORMINV(RAND(),0,L$7)</f>
        <v>-0.0834380278852221</v>
      </c>
      <c r="M1312" s="53" t="n">
        <f aca="true">NORMINV(RAND(),0,M$7)</f>
        <v>0.117985503950981</v>
      </c>
      <c r="N1312" s="53" t="n">
        <f aca="true">NORMINV(RAND(),0,N$7)</f>
        <v>0.0710175416692649</v>
      </c>
      <c r="O1312" s="53" t="n">
        <f aca="false">SUM(J1312:N1312)</f>
        <v>-1.33640283761404</v>
      </c>
    </row>
    <row r="1313" customFormat="false" ht="15" hidden="false" customHeight="false" outlineLevel="0" collapsed="false">
      <c r="A1313" s="2" t="n">
        <v>1305</v>
      </c>
      <c r="B1313" s="53" t="n">
        <f aca="true">NORMINV(RAND(),0,B$7)</f>
        <v>1.19195019443748</v>
      </c>
      <c r="C1313" s="53" t="n">
        <f aca="true">NORMINV(RAND(),0,C$7)</f>
        <v>-0.518365736723815</v>
      </c>
      <c r="D1313" s="53" t="n">
        <f aca="true">NORMINV(RAND(),0,D$7)</f>
        <v>1.57626812231576</v>
      </c>
      <c r="E1313" s="53" t="n">
        <f aca="true">NORMINV(RAND(),0,E$7)</f>
        <v>-0.0351827098995762</v>
      </c>
      <c r="F1313" s="53" t="n">
        <f aca="true">NORMINV(RAND(),0,F$7)</f>
        <v>-0.365244418109086</v>
      </c>
      <c r="G1313" s="53" t="n">
        <f aca="true">NORMINV(RAND(),0,G$7)</f>
        <v>1.44613385073981</v>
      </c>
      <c r="H1313" s="53" t="n">
        <f aca="true">NORMINV(RAND(),0,H$7)</f>
        <v>0.386699451741654</v>
      </c>
      <c r="I1313" s="53" t="n">
        <f aca="false">SUM(B1313:H1313)</f>
        <v>3.68225875450223</v>
      </c>
      <c r="J1313" s="53" t="n">
        <f aca="true">NORMINV(RAND(),0,J$7)</f>
        <v>0.634340420865657</v>
      </c>
      <c r="K1313" s="53" t="n">
        <f aca="true">NORMINV(RAND(),0,K$7)</f>
        <v>0.103126149553787</v>
      </c>
      <c r="L1313" s="53" t="n">
        <f aca="true">NORMINV(RAND(),0,L$7)</f>
        <v>-0.548224755403781</v>
      </c>
      <c r="M1313" s="53" t="n">
        <f aca="true">NORMINV(RAND(),0,M$7)</f>
        <v>-0.111989603058008</v>
      </c>
      <c r="N1313" s="53" t="n">
        <f aca="true">NORMINV(RAND(),0,N$7)</f>
        <v>0.301526536331579</v>
      </c>
      <c r="O1313" s="53" t="n">
        <f aca="false">SUM(J1313:N1313)</f>
        <v>0.378778748289233</v>
      </c>
    </row>
    <row r="1314" customFormat="false" ht="15" hidden="false" customHeight="false" outlineLevel="0" collapsed="false">
      <c r="A1314" s="2" t="n">
        <v>1306</v>
      </c>
      <c r="B1314" s="53" t="n">
        <f aca="true">NORMINV(RAND(),0,B$7)</f>
        <v>-0.412569137166541</v>
      </c>
      <c r="C1314" s="53" t="n">
        <f aca="true">NORMINV(RAND(),0,C$7)</f>
        <v>-0.934948829923016</v>
      </c>
      <c r="D1314" s="53" t="n">
        <f aca="true">NORMINV(RAND(),0,D$7)</f>
        <v>-2.91991182582248</v>
      </c>
      <c r="E1314" s="53" t="n">
        <f aca="true">NORMINV(RAND(),0,E$7)</f>
        <v>-0.0960949033595102</v>
      </c>
      <c r="F1314" s="53" t="n">
        <f aca="true">NORMINV(RAND(),0,F$7)</f>
        <v>0.00290571481615801</v>
      </c>
      <c r="G1314" s="53" t="n">
        <f aca="true">NORMINV(RAND(),0,G$7)</f>
        <v>-2.42928130604802</v>
      </c>
      <c r="H1314" s="53" t="n">
        <f aca="true">NORMINV(RAND(),0,H$7)</f>
        <v>0.0707180509647573</v>
      </c>
      <c r="I1314" s="53" t="n">
        <f aca="false">SUM(B1314:H1314)</f>
        <v>-6.71918223653865</v>
      </c>
      <c r="J1314" s="53" t="n">
        <f aca="true">NORMINV(RAND(),0,J$7)</f>
        <v>3.60522951074801</v>
      </c>
      <c r="K1314" s="53" t="n">
        <f aca="true">NORMINV(RAND(),0,K$7)</f>
        <v>-0.661588093603135</v>
      </c>
      <c r="L1314" s="53" t="n">
        <f aca="true">NORMINV(RAND(),0,L$7)</f>
        <v>-0.292510990462296</v>
      </c>
      <c r="M1314" s="53" t="n">
        <f aca="true">NORMINV(RAND(),0,M$7)</f>
        <v>-0.0317551060927465</v>
      </c>
      <c r="N1314" s="53" t="n">
        <f aca="true">NORMINV(RAND(),0,N$7)</f>
        <v>0.260137320431305</v>
      </c>
      <c r="O1314" s="53" t="n">
        <f aca="false">SUM(J1314:N1314)</f>
        <v>2.87951264102113</v>
      </c>
    </row>
    <row r="1315" customFormat="false" ht="15" hidden="false" customHeight="false" outlineLevel="0" collapsed="false">
      <c r="A1315" s="2" t="n">
        <v>1307</v>
      </c>
      <c r="B1315" s="53" t="n">
        <f aca="true">NORMINV(RAND(),0,B$7)</f>
        <v>1.82316598162875</v>
      </c>
      <c r="C1315" s="53" t="n">
        <f aca="true">NORMINV(RAND(),0,C$7)</f>
        <v>-0.0558503290001717</v>
      </c>
      <c r="D1315" s="53" t="n">
        <f aca="true">NORMINV(RAND(),0,D$7)</f>
        <v>2.18311066296803</v>
      </c>
      <c r="E1315" s="53" t="n">
        <f aca="true">NORMINV(RAND(),0,E$7)</f>
        <v>-0.268822610658497</v>
      </c>
      <c r="F1315" s="53" t="n">
        <f aca="true">NORMINV(RAND(),0,F$7)</f>
        <v>-0.494793984061695</v>
      </c>
      <c r="G1315" s="53" t="n">
        <f aca="true">NORMINV(RAND(),0,G$7)</f>
        <v>0.228647889448953</v>
      </c>
      <c r="H1315" s="53" t="n">
        <f aca="true">NORMINV(RAND(),0,H$7)</f>
        <v>-0.0206636892660866</v>
      </c>
      <c r="I1315" s="53" t="n">
        <f aca="false">SUM(B1315:H1315)</f>
        <v>3.39479392105928</v>
      </c>
      <c r="J1315" s="53" t="n">
        <f aca="true">NORMINV(RAND(),0,J$7)</f>
        <v>0.630685816795122</v>
      </c>
      <c r="K1315" s="53" t="n">
        <f aca="true">NORMINV(RAND(),0,K$7)</f>
        <v>0.020659565655354</v>
      </c>
      <c r="L1315" s="53" t="n">
        <f aca="true">NORMINV(RAND(),0,L$7)</f>
        <v>-0.306830942612044</v>
      </c>
      <c r="M1315" s="53" t="n">
        <f aca="true">NORMINV(RAND(),0,M$7)</f>
        <v>-0.0861692506889606</v>
      </c>
      <c r="N1315" s="53" t="n">
        <f aca="true">NORMINV(RAND(),0,N$7)</f>
        <v>-0.250843849166314</v>
      </c>
      <c r="O1315" s="53" t="n">
        <f aca="false">SUM(J1315:N1315)</f>
        <v>0.00750133998315727</v>
      </c>
    </row>
    <row r="1316" customFormat="false" ht="15" hidden="false" customHeight="false" outlineLevel="0" collapsed="false">
      <c r="A1316" s="2" t="n">
        <v>1308</v>
      </c>
      <c r="B1316" s="53" t="n">
        <f aca="true">NORMINV(RAND(),0,B$7)</f>
        <v>-1.37879186262743</v>
      </c>
      <c r="C1316" s="53" t="n">
        <f aca="true">NORMINV(RAND(),0,C$7)</f>
        <v>0.887321794944727</v>
      </c>
      <c r="D1316" s="53" t="n">
        <f aca="true">NORMINV(RAND(),0,D$7)</f>
        <v>0.493511658316365</v>
      </c>
      <c r="E1316" s="53" t="n">
        <f aca="true">NORMINV(RAND(),0,E$7)</f>
        <v>0.144732348303913</v>
      </c>
      <c r="F1316" s="53" t="n">
        <f aca="true">NORMINV(RAND(),0,F$7)</f>
        <v>-0.668831821678343</v>
      </c>
      <c r="G1316" s="53" t="n">
        <f aca="true">NORMINV(RAND(),0,G$7)</f>
        <v>0.947316558700158</v>
      </c>
      <c r="H1316" s="53" t="n">
        <f aca="true">NORMINV(RAND(),0,H$7)</f>
        <v>0.144501283069802</v>
      </c>
      <c r="I1316" s="53" t="n">
        <f aca="false">SUM(B1316:H1316)</f>
        <v>0.56975995902919</v>
      </c>
      <c r="J1316" s="53" t="n">
        <f aca="true">NORMINV(RAND(),0,J$7)</f>
        <v>0.254270252282531</v>
      </c>
      <c r="K1316" s="53" t="n">
        <f aca="true">NORMINV(RAND(),0,K$7)</f>
        <v>0.91776292236173</v>
      </c>
      <c r="L1316" s="53" t="n">
        <f aca="true">NORMINV(RAND(),0,L$7)</f>
        <v>0.289547945617174</v>
      </c>
      <c r="M1316" s="53" t="n">
        <f aca="true">NORMINV(RAND(),0,M$7)</f>
        <v>0.217545592802361</v>
      </c>
      <c r="N1316" s="53" t="n">
        <f aca="true">NORMINV(RAND(),0,N$7)</f>
        <v>0.437039012663698</v>
      </c>
      <c r="O1316" s="53" t="n">
        <f aca="false">SUM(J1316:N1316)</f>
        <v>2.11616572572749</v>
      </c>
    </row>
    <row r="1317" customFormat="false" ht="15" hidden="false" customHeight="false" outlineLevel="0" collapsed="false">
      <c r="A1317" s="2" t="n">
        <v>1309</v>
      </c>
      <c r="B1317" s="53" t="n">
        <f aca="true">NORMINV(RAND(),0,B$7)</f>
        <v>0.163233988550924</v>
      </c>
      <c r="C1317" s="53" t="n">
        <f aca="true">NORMINV(RAND(),0,C$7)</f>
        <v>0.243244910006471</v>
      </c>
      <c r="D1317" s="53" t="n">
        <f aca="true">NORMINV(RAND(),0,D$7)</f>
        <v>1.44380400195898</v>
      </c>
      <c r="E1317" s="53" t="n">
        <f aca="true">NORMINV(RAND(),0,E$7)</f>
        <v>-0.0253172403136238</v>
      </c>
      <c r="F1317" s="53" t="n">
        <f aca="true">NORMINV(RAND(),0,F$7)</f>
        <v>-0.101199033604548</v>
      </c>
      <c r="G1317" s="53" t="n">
        <f aca="true">NORMINV(RAND(),0,G$7)</f>
        <v>2.27841333266534</v>
      </c>
      <c r="H1317" s="53" t="n">
        <f aca="true">NORMINV(RAND(),0,H$7)</f>
        <v>0.185558070205216</v>
      </c>
      <c r="I1317" s="53" t="n">
        <f aca="false">SUM(B1317:H1317)</f>
        <v>4.18773802946876</v>
      </c>
      <c r="J1317" s="53" t="n">
        <f aca="true">NORMINV(RAND(),0,J$7)</f>
        <v>-0.47335732685545</v>
      </c>
      <c r="K1317" s="53" t="n">
        <f aca="true">NORMINV(RAND(),0,K$7)</f>
        <v>-0.267264720278996</v>
      </c>
      <c r="L1317" s="53" t="n">
        <f aca="true">NORMINV(RAND(),0,L$7)</f>
        <v>-0.248872812913785</v>
      </c>
      <c r="M1317" s="53" t="n">
        <f aca="true">NORMINV(RAND(),0,M$7)</f>
        <v>-0.334770595895491</v>
      </c>
      <c r="N1317" s="53" t="n">
        <f aca="true">NORMINV(RAND(),0,N$7)</f>
        <v>0.474300166578062</v>
      </c>
      <c r="O1317" s="53" t="n">
        <f aca="false">SUM(J1317:N1317)</f>
        <v>-0.84996528936566</v>
      </c>
    </row>
    <row r="1318" customFormat="false" ht="15" hidden="false" customHeight="false" outlineLevel="0" collapsed="false">
      <c r="A1318" s="2" t="n">
        <v>1310</v>
      </c>
      <c r="B1318" s="53" t="n">
        <f aca="true">NORMINV(RAND(),0,B$7)</f>
        <v>-0.912292510181761</v>
      </c>
      <c r="C1318" s="53" t="n">
        <f aca="true">NORMINV(RAND(),0,C$7)</f>
        <v>0.235373820990614</v>
      </c>
      <c r="D1318" s="53" t="n">
        <f aca="true">NORMINV(RAND(),0,D$7)</f>
        <v>-0.46130606153186</v>
      </c>
      <c r="E1318" s="53" t="n">
        <f aca="true">NORMINV(RAND(),0,E$7)</f>
        <v>-0.245481573501921</v>
      </c>
      <c r="F1318" s="53" t="n">
        <f aca="true">NORMINV(RAND(),0,F$7)</f>
        <v>0.106342770861607</v>
      </c>
      <c r="G1318" s="53" t="n">
        <f aca="true">NORMINV(RAND(),0,G$7)</f>
        <v>1.4152750375191</v>
      </c>
      <c r="H1318" s="53" t="n">
        <f aca="true">NORMINV(RAND(),0,H$7)</f>
        <v>0.442763774117742</v>
      </c>
      <c r="I1318" s="53" t="n">
        <f aca="false">SUM(B1318:H1318)</f>
        <v>0.580675258273522</v>
      </c>
      <c r="J1318" s="53" t="n">
        <f aca="true">NORMINV(RAND(),0,J$7)</f>
        <v>-0.799112385658874</v>
      </c>
      <c r="K1318" s="53" t="n">
        <f aca="true">NORMINV(RAND(),0,K$7)</f>
        <v>-0.251264213154432</v>
      </c>
      <c r="L1318" s="53" t="n">
        <f aca="true">NORMINV(RAND(),0,L$7)</f>
        <v>0.164083367377011</v>
      </c>
      <c r="M1318" s="53" t="n">
        <f aca="true">NORMINV(RAND(),0,M$7)</f>
        <v>0.214563988468647</v>
      </c>
      <c r="N1318" s="53" t="n">
        <f aca="true">NORMINV(RAND(),0,N$7)</f>
        <v>0.161539609246687</v>
      </c>
      <c r="O1318" s="53" t="n">
        <f aca="false">SUM(J1318:N1318)</f>
        <v>-0.510189633720962</v>
      </c>
    </row>
    <row r="1319" customFormat="false" ht="15" hidden="false" customHeight="false" outlineLevel="0" collapsed="false">
      <c r="A1319" s="2" t="n">
        <v>1311</v>
      </c>
      <c r="B1319" s="53" t="n">
        <f aca="true">NORMINV(RAND(),0,B$7)</f>
        <v>1.77880992971173</v>
      </c>
      <c r="C1319" s="53" t="n">
        <f aca="true">NORMINV(RAND(),0,C$7)</f>
        <v>-0.986811704239606</v>
      </c>
      <c r="D1319" s="53" t="n">
        <f aca="true">NORMINV(RAND(),0,D$7)</f>
        <v>-0.632400475011424</v>
      </c>
      <c r="E1319" s="53" t="n">
        <f aca="true">NORMINV(RAND(),0,E$7)</f>
        <v>-0.155400801939348</v>
      </c>
      <c r="F1319" s="53" t="n">
        <f aca="true">NORMINV(RAND(),0,F$7)</f>
        <v>-0.107732961222085</v>
      </c>
      <c r="G1319" s="53" t="n">
        <f aca="true">NORMINV(RAND(),0,G$7)</f>
        <v>-0.698937644397459</v>
      </c>
      <c r="H1319" s="53" t="n">
        <f aca="true">NORMINV(RAND(),0,H$7)</f>
        <v>0.37175592179715</v>
      </c>
      <c r="I1319" s="53" t="n">
        <f aca="false">SUM(B1319:H1319)</f>
        <v>-0.430717735301041</v>
      </c>
      <c r="J1319" s="53" t="n">
        <f aca="true">NORMINV(RAND(),0,J$7)</f>
        <v>-4.58910668482069</v>
      </c>
      <c r="K1319" s="53" t="n">
        <f aca="true">NORMINV(RAND(),0,K$7)</f>
        <v>-0.679828130114892</v>
      </c>
      <c r="L1319" s="53" t="n">
        <f aca="true">NORMINV(RAND(),0,L$7)</f>
        <v>-0.282641225902362</v>
      </c>
      <c r="M1319" s="53" t="n">
        <f aca="true">NORMINV(RAND(),0,M$7)</f>
        <v>-0.0575276798506028</v>
      </c>
      <c r="N1319" s="53" t="n">
        <f aca="true">NORMINV(RAND(),0,N$7)</f>
        <v>-0.415353141932825</v>
      </c>
      <c r="O1319" s="53" t="n">
        <f aca="false">SUM(J1319:N1319)</f>
        <v>-6.02445686262137</v>
      </c>
    </row>
    <row r="1320" customFormat="false" ht="15" hidden="false" customHeight="false" outlineLevel="0" collapsed="false">
      <c r="A1320" s="2" t="n">
        <v>1312</v>
      </c>
      <c r="B1320" s="53" t="n">
        <f aca="true">NORMINV(RAND(),0,B$7)</f>
        <v>-0.703898240355606</v>
      </c>
      <c r="C1320" s="53" t="n">
        <f aca="true">NORMINV(RAND(),0,C$7)</f>
        <v>0.731734404544155</v>
      </c>
      <c r="D1320" s="53" t="n">
        <f aca="true">NORMINV(RAND(),0,D$7)</f>
        <v>-0.676715107923491</v>
      </c>
      <c r="E1320" s="53" t="n">
        <f aca="true">NORMINV(RAND(),0,E$7)</f>
        <v>0.0858404902373876</v>
      </c>
      <c r="F1320" s="53" t="n">
        <f aca="true">NORMINV(RAND(),0,F$7)</f>
        <v>0.112247311145381</v>
      </c>
      <c r="G1320" s="53" t="n">
        <f aca="true">NORMINV(RAND(),0,G$7)</f>
        <v>2.10933962411225</v>
      </c>
      <c r="H1320" s="53" t="n">
        <f aca="true">NORMINV(RAND(),0,H$7)</f>
        <v>-0.22404080046251</v>
      </c>
      <c r="I1320" s="53" t="n">
        <f aca="false">SUM(B1320:H1320)</f>
        <v>1.43450768129757</v>
      </c>
      <c r="J1320" s="53" t="n">
        <f aca="true">NORMINV(RAND(),0,J$7)</f>
        <v>-0.498293207329748</v>
      </c>
      <c r="K1320" s="53" t="n">
        <f aca="true">NORMINV(RAND(),0,K$7)</f>
        <v>0.0901986254056128</v>
      </c>
      <c r="L1320" s="53" t="n">
        <f aca="true">NORMINV(RAND(),0,L$7)</f>
        <v>0.537406536096847</v>
      </c>
      <c r="M1320" s="53" t="n">
        <f aca="true">NORMINV(RAND(),0,M$7)</f>
        <v>-0.0207392979129859</v>
      </c>
      <c r="N1320" s="53" t="n">
        <f aca="true">NORMINV(RAND(),0,N$7)</f>
        <v>0.141899429912233</v>
      </c>
      <c r="O1320" s="53" t="n">
        <f aca="false">SUM(J1320:N1320)</f>
        <v>0.250472086171959</v>
      </c>
    </row>
    <row r="1321" customFormat="false" ht="15" hidden="false" customHeight="false" outlineLevel="0" collapsed="false">
      <c r="A1321" s="2" t="n">
        <v>1313</v>
      </c>
      <c r="B1321" s="53" t="n">
        <f aca="true">NORMINV(RAND(),0,B$7)</f>
        <v>0.230677791922677</v>
      </c>
      <c r="C1321" s="53" t="n">
        <f aca="true">NORMINV(RAND(),0,C$7)</f>
        <v>-0.718234017600091</v>
      </c>
      <c r="D1321" s="53" t="n">
        <f aca="true">NORMINV(RAND(),0,D$7)</f>
        <v>3.72179225247726</v>
      </c>
      <c r="E1321" s="53" t="n">
        <f aca="true">NORMINV(RAND(),0,E$7)</f>
        <v>0.175580689288613</v>
      </c>
      <c r="F1321" s="53" t="n">
        <f aca="true">NORMINV(RAND(),0,F$7)</f>
        <v>0.809948950439688</v>
      </c>
      <c r="G1321" s="53" t="n">
        <f aca="true">NORMINV(RAND(),0,G$7)</f>
        <v>-2.60904721009113</v>
      </c>
      <c r="H1321" s="53" t="n">
        <f aca="true">NORMINV(RAND(),0,H$7)</f>
        <v>-0.248155317502694</v>
      </c>
      <c r="I1321" s="53" t="n">
        <f aca="false">SUM(B1321:H1321)</f>
        <v>1.36256313893432</v>
      </c>
      <c r="J1321" s="53" t="n">
        <f aca="true">NORMINV(RAND(),0,J$7)</f>
        <v>-0.113312268401992</v>
      </c>
      <c r="K1321" s="53" t="n">
        <f aca="true">NORMINV(RAND(),0,K$7)</f>
        <v>-0.42256243022146</v>
      </c>
      <c r="L1321" s="53" t="n">
        <f aca="true">NORMINV(RAND(),0,L$7)</f>
        <v>0.223946810327007</v>
      </c>
      <c r="M1321" s="53" t="n">
        <f aca="true">NORMINV(RAND(),0,M$7)</f>
        <v>-0.0984282767740645</v>
      </c>
      <c r="N1321" s="53" t="n">
        <f aca="true">NORMINV(RAND(),0,N$7)</f>
        <v>-0.639058987056419</v>
      </c>
      <c r="O1321" s="53" t="n">
        <f aca="false">SUM(J1321:N1321)</f>
        <v>-1.04941515212693</v>
      </c>
    </row>
    <row r="1322" customFormat="false" ht="15" hidden="false" customHeight="false" outlineLevel="0" collapsed="false">
      <c r="A1322" s="2" t="n">
        <v>1314</v>
      </c>
      <c r="B1322" s="53" t="n">
        <f aca="true">NORMINV(RAND(),0,B$7)</f>
        <v>2.93147389056099</v>
      </c>
      <c r="C1322" s="53" t="n">
        <f aca="true">NORMINV(RAND(),0,C$7)</f>
        <v>0.141028689829324</v>
      </c>
      <c r="D1322" s="53" t="n">
        <f aca="true">NORMINV(RAND(),0,D$7)</f>
        <v>-2.13906321929443</v>
      </c>
      <c r="E1322" s="53" t="n">
        <f aca="true">NORMINV(RAND(),0,E$7)</f>
        <v>-0.556489164129357</v>
      </c>
      <c r="F1322" s="53" t="n">
        <f aca="true">NORMINV(RAND(),0,F$7)</f>
        <v>-0.302019270418463</v>
      </c>
      <c r="G1322" s="53" t="n">
        <f aca="true">NORMINV(RAND(),0,G$7)</f>
        <v>-1.69727566870429</v>
      </c>
      <c r="H1322" s="53" t="n">
        <f aca="true">NORMINV(RAND(),0,H$7)</f>
        <v>0.268239492262849</v>
      </c>
      <c r="I1322" s="53" t="n">
        <f aca="false">SUM(B1322:H1322)</f>
        <v>-1.35410524989337</v>
      </c>
      <c r="J1322" s="53" t="n">
        <f aca="true">NORMINV(RAND(),0,J$7)</f>
        <v>1.80581052286275</v>
      </c>
      <c r="K1322" s="53" t="n">
        <f aca="true">NORMINV(RAND(),0,K$7)</f>
        <v>-0.237400192321609</v>
      </c>
      <c r="L1322" s="53" t="n">
        <f aca="true">NORMINV(RAND(),0,L$7)</f>
        <v>0.121122431478248</v>
      </c>
      <c r="M1322" s="53" t="n">
        <f aca="true">NORMINV(RAND(),0,M$7)</f>
        <v>0.249478870819408</v>
      </c>
      <c r="N1322" s="53" t="n">
        <f aca="true">NORMINV(RAND(),0,N$7)</f>
        <v>0.301899689849369</v>
      </c>
      <c r="O1322" s="53" t="n">
        <f aca="false">SUM(J1322:N1322)</f>
        <v>2.24091132268817</v>
      </c>
    </row>
    <row r="1323" customFormat="false" ht="15" hidden="false" customHeight="false" outlineLevel="0" collapsed="false">
      <c r="A1323" s="2" t="n">
        <v>1315</v>
      </c>
      <c r="B1323" s="53" t="n">
        <f aca="true">NORMINV(RAND(),0,B$7)</f>
        <v>-0.276923123188142</v>
      </c>
      <c r="C1323" s="53" t="n">
        <f aca="true">NORMINV(RAND(),0,C$7)</f>
        <v>0.635835586045813</v>
      </c>
      <c r="D1323" s="53" t="n">
        <f aca="true">NORMINV(RAND(),0,D$7)</f>
        <v>-0.8104409200932</v>
      </c>
      <c r="E1323" s="53" t="n">
        <f aca="true">NORMINV(RAND(),0,E$7)</f>
        <v>-0.259359560271856</v>
      </c>
      <c r="F1323" s="53" t="n">
        <f aca="true">NORMINV(RAND(),0,F$7)</f>
        <v>-0.0517927917512883</v>
      </c>
      <c r="G1323" s="53" t="n">
        <f aca="true">NORMINV(RAND(),0,G$7)</f>
        <v>-1.71341555528256</v>
      </c>
      <c r="H1323" s="53" t="n">
        <f aca="true">NORMINV(RAND(),0,H$7)</f>
        <v>-0.408134961588162</v>
      </c>
      <c r="I1323" s="53" t="n">
        <f aca="false">SUM(B1323:H1323)</f>
        <v>-2.8842313261294</v>
      </c>
      <c r="J1323" s="53" t="n">
        <f aca="true">NORMINV(RAND(),0,J$7)</f>
        <v>1.14315615108798</v>
      </c>
      <c r="K1323" s="53" t="n">
        <f aca="true">NORMINV(RAND(),0,K$7)</f>
        <v>0.0824935023930845</v>
      </c>
      <c r="L1323" s="53" t="n">
        <f aca="true">NORMINV(RAND(),0,L$7)</f>
        <v>-0.125937885868358</v>
      </c>
      <c r="M1323" s="53" t="n">
        <f aca="true">NORMINV(RAND(),0,M$7)</f>
        <v>0.023463545167862</v>
      </c>
      <c r="N1323" s="53" t="n">
        <f aca="true">NORMINV(RAND(),0,N$7)</f>
        <v>0.104885365979806</v>
      </c>
      <c r="O1323" s="53" t="n">
        <f aca="false">SUM(J1323:N1323)</f>
        <v>1.22806067876037</v>
      </c>
    </row>
    <row r="1324" customFormat="false" ht="15" hidden="false" customHeight="false" outlineLevel="0" collapsed="false">
      <c r="A1324" s="2" t="n">
        <v>1316</v>
      </c>
      <c r="B1324" s="53" t="n">
        <f aca="true">NORMINV(RAND(),0,B$7)</f>
        <v>-0.539555075992881</v>
      </c>
      <c r="C1324" s="53" t="n">
        <f aca="true">NORMINV(RAND(),0,C$7)</f>
        <v>-1.92258941040512</v>
      </c>
      <c r="D1324" s="53" t="n">
        <f aca="true">NORMINV(RAND(),0,D$7)</f>
        <v>0.310857645645917</v>
      </c>
      <c r="E1324" s="53" t="n">
        <f aca="true">NORMINV(RAND(),0,E$7)</f>
        <v>-0.0662824572140572</v>
      </c>
      <c r="F1324" s="53" t="n">
        <f aca="true">NORMINV(RAND(),0,F$7)</f>
        <v>-0.333331640896035</v>
      </c>
      <c r="G1324" s="53" t="n">
        <f aca="true">NORMINV(RAND(),0,G$7)</f>
        <v>-0.674569122136491</v>
      </c>
      <c r="H1324" s="53" t="n">
        <f aca="true">NORMINV(RAND(),0,H$7)</f>
        <v>0.179124451685883</v>
      </c>
      <c r="I1324" s="53" t="n">
        <f aca="false">SUM(B1324:H1324)</f>
        <v>-3.04634560931279</v>
      </c>
      <c r="J1324" s="53" t="n">
        <f aca="true">NORMINV(RAND(),0,J$7)</f>
        <v>-1.64602363539115</v>
      </c>
      <c r="K1324" s="53" t="n">
        <f aca="true">NORMINV(RAND(),0,K$7)</f>
        <v>0.30474744606337</v>
      </c>
      <c r="L1324" s="53" t="n">
        <f aca="true">NORMINV(RAND(),0,L$7)</f>
        <v>-0.00964756636899541</v>
      </c>
      <c r="M1324" s="53" t="n">
        <f aca="true">NORMINV(RAND(),0,M$7)</f>
        <v>0.121803809002477</v>
      </c>
      <c r="N1324" s="53" t="n">
        <f aca="true">NORMINV(RAND(),0,N$7)</f>
        <v>0.00613621013271936</v>
      </c>
      <c r="O1324" s="53" t="n">
        <f aca="false">SUM(J1324:N1324)</f>
        <v>-1.22298373656158</v>
      </c>
    </row>
    <row r="1325" customFormat="false" ht="15" hidden="false" customHeight="false" outlineLevel="0" collapsed="false">
      <c r="A1325" s="2" t="n">
        <v>1317</v>
      </c>
      <c r="B1325" s="53" t="n">
        <f aca="true">NORMINV(RAND(),0,B$7)</f>
        <v>2.09082137259295</v>
      </c>
      <c r="C1325" s="53" t="n">
        <f aca="true">NORMINV(RAND(),0,C$7)</f>
        <v>0.820935842216597</v>
      </c>
      <c r="D1325" s="53" t="n">
        <f aca="true">NORMINV(RAND(),0,D$7)</f>
        <v>2.01851285101955</v>
      </c>
      <c r="E1325" s="53" t="n">
        <f aca="true">NORMINV(RAND(),0,E$7)</f>
        <v>-0.549993010121478</v>
      </c>
      <c r="F1325" s="53" t="n">
        <f aca="true">NORMINV(RAND(),0,F$7)</f>
        <v>-0.362015944213574</v>
      </c>
      <c r="G1325" s="53" t="n">
        <f aca="true">NORMINV(RAND(),0,G$7)</f>
        <v>-1.44324367132649</v>
      </c>
      <c r="H1325" s="53" t="n">
        <f aca="true">NORMINV(RAND(),0,H$7)</f>
        <v>0.558887237401771</v>
      </c>
      <c r="I1325" s="53" t="n">
        <f aca="false">SUM(B1325:H1325)</f>
        <v>3.13390467756933</v>
      </c>
      <c r="J1325" s="53" t="n">
        <f aca="true">NORMINV(RAND(),0,J$7)</f>
        <v>-1.30156254065706</v>
      </c>
      <c r="K1325" s="53" t="n">
        <f aca="true">NORMINV(RAND(),0,K$7)</f>
        <v>-0.401308192764348</v>
      </c>
      <c r="L1325" s="53" t="n">
        <f aca="true">NORMINV(RAND(),0,L$7)</f>
        <v>0.131331342304257</v>
      </c>
      <c r="M1325" s="53" t="n">
        <f aca="true">NORMINV(RAND(),0,M$7)</f>
        <v>0.367715590646944</v>
      </c>
      <c r="N1325" s="53" t="n">
        <f aca="true">NORMINV(RAND(),0,N$7)</f>
        <v>-0.293753768304137</v>
      </c>
      <c r="O1325" s="53" t="n">
        <f aca="false">SUM(J1325:N1325)</f>
        <v>-1.49757756877435</v>
      </c>
    </row>
    <row r="1326" customFormat="false" ht="15" hidden="false" customHeight="false" outlineLevel="0" collapsed="false">
      <c r="A1326" s="2" t="n">
        <v>1318</v>
      </c>
      <c r="B1326" s="53" t="n">
        <f aca="true">NORMINV(RAND(),0,B$7)</f>
        <v>1.55631962878955</v>
      </c>
      <c r="C1326" s="53" t="n">
        <f aca="true">NORMINV(RAND(),0,C$7)</f>
        <v>0.55653109036496</v>
      </c>
      <c r="D1326" s="53" t="n">
        <f aca="true">NORMINV(RAND(),0,D$7)</f>
        <v>-2.39026267495182</v>
      </c>
      <c r="E1326" s="53" t="n">
        <f aca="true">NORMINV(RAND(),0,E$7)</f>
        <v>-0.294532331433583</v>
      </c>
      <c r="F1326" s="53" t="n">
        <f aca="true">NORMINV(RAND(),0,F$7)</f>
        <v>0.382846320481407</v>
      </c>
      <c r="G1326" s="53" t="n">
        <f aca="true">NORMINV(RAND(),0,G$7)</f>
        <v>2.16878368731567</v>
      </c>
      <c r="H1326" s="53" t="n">
        <f aca="true">NORMINV(RAND(),0,H$7)</f>
        <v>-0.442837417778116</v>
      </c>
      <c r="I1326" s="53" t="n">
        <f aca="false">SUM(B1326:H1326)</f>
        <v>1.53684830278807</v>
      </c>
      <c r="J1326" s="53" t="n">
        <f aca="true">NORMINV(RAND(),0,J$7)</f>
        <v>0.757770008035916</v>
      </c>
      <c r="K1326" s="53" t="n">
        <f aca="true">NORMINV(RAND(),0,K$7)</f>
        <v>1.12724894287592</v>
      </c>
      <c r="L1326" s="53" t="n">
        <f aca="true">NORMINV(RAND(),0,L$7)</f>
        <v>-0.00205989547994418</v>
      </c>
      <c r="M1326" s="53" t="n">
        <f aca="true">NORMINV(RAND(),0,M$7)</f>
        <v>0.054657990598917</v>
      </c>
      <c r="N1326" s="53" t="n">
        <f aca="true">NORMINV(RAND(),0,N$7)</f>
        <v>0.317380206904406</v>
      </c>
      <c r="O1326" s="53" t="n">
        <f aca="false">SUM(J1326:N1326)</f>
        <v>2.25499725293522</v>
      </c>
    </row>
    <row r="1327" customFormat="false" ht="15" hidden="false" customHeight="false" outlineLevel="0" collapsed="false">
      <c r="A1327" s="2" t="n">
        <v>1319</v>
      </c>
      <c r="B1327" s="53" t="n">
        <f aca="true">NORMINV(RAND(),0,B$7)</f>
        <v>-1.3713532163052</v>
      </c>
      <c r="C1327" s="53" t="n">
        <f aca="true">NORMINV(RAND(),0,C$7)</f>
        <v>-1.08191675487061</v>
      </c>
      <c r="D1327" s="53" t="n">
        <f aca="true">NORMINV(RAND(),0,D$7)</f>
        <v>-0.193969909566289</v>
      </c>
      <c r="E1327" s="53" t="n">
        <f aca="true">NORMINV(RAND(),0,E$7)</f>
        <v>0.271777423025024</v>
      </c>
      <c r="F1327" s="53" t="n">
        <f aca="true">NORMINV(RAND(),0,F$7)</f>
        <v>-0.235425824250988</v>
      </c>
      <c r="G1327" s="53" t="n">
        <f aca="true">NORMINV(RAND(),0,G$7)</f>
        <v>-1.08710558873532</v>
      </c>
      <c r="H1327" s="53" t="n">
        <f aca="true">NORMINV(RAND(),0,H$7)</f>
        <v>-0.36032365997754</v>
      </c>
      <c r="I1327" s="53" t="n">
        <f aca="false">SUM(B1327:H1327)</f>
        <v>-4.05831753068091</v>
      </c>
      <c r="J1327" s="53" t="n">
        <f aca="true">NORMINV(RAND(),0,J$7)</f>
        <v>-1.2283159410766</v>
      </c>
      <c r="K1327" s="53" t="n">
        <f aca="true">NORMINV(RAND(),0,K$7)</f>
        <v>-0.372946671893725</v>
      </c>
      <c r="L1327" s="53" t="n">
        <f aca="true">NORMINV(RAND(),0,L$7)</f>
        <v>0.206213862318118</v>
      </c>
      <c r="M1327" s="53" t="n">
        <f aca="true">NORMINV(RAND(),0,M$7)</f>
        <v>-0.150667875403815</v>
      </c>
      <c r="N1327" s="53" t="n">
        <f aca="true">NORMINV(RAND(),0,N$7)</f>
        <v>0.214287923066152</v>
      </c>
      <c r="O1327" s="53" t="n">
        <f aca="false">SUM(J1327:N1327)</f>
        <v>-1.33142870298987</v>
      </c>
    </row>
    <row r="1328" customFormat="false" ht="15" hidden="false" customHeight="false" outlineLevel="0" collapsed="false">
      <c r="A1328" s="2" t="n">
        <v>1320</v>
      </c>
      <c r="B1328" s="53" t="n">
        <f aca="true">NORMINV(RAND(),0,B$7)</f>
        <v>-1.23590657733735</v>
      </c>
      <c r="C1328" s="53" t="n">
        <f aca="true">NORMINV(RAND(),0,C$7)</f>
        <v>1.45796378362699</v>
      </c>
      <c r="D1328" s="53" t="n">
        <f aca="true">NORMINV(RAND(),0,D$7)</f>
        <v>-1.78111616605278</v>
      </c>
      <c r="E1328" s="53" t="n">
        <f aca="true">NORMINV(RAND(),0,E$7)</f>
        <v>0.206670358554425</v>
      </c>
      <c r="F1328" s="53" t="n">
        <f aca="true">NORMINV(RAND(),0,F$7)</f>
        <v>0.060450817106041</v>
      </c>
      <c r="G1328" s="53" t="n">
        <f aca="true">NORMINV(RAND(),0,G$7)</f>
        <v>-0.392258104481019</v>
      </c>
      <c r="H1328" s="53" t="n">
        <f aca="true">NORMINV(RAND(),0,H$7)</f>
        <v>-0.354285123947168</v>
      </c>
      <c r="I1328" s="53" t="n">
        <f aca="false">SUM(B1328:H1328)</f>
        <v>-2.03848101253087</v>
      </c>
      <c r="J1328" s="53" t="n">
        <f aca="true">NORMINV(RAND(),0,J$7)</f>
        <v>-1.47876787620048</v>
      </c>
      <c r="K1328" s="53" t="n">
        <f aca="true">NORMINV(RAND(),0,K$7)</f>
        <v>0.368192603657557</v>
      </c>
      <c r="L1328" s="53" t="n">
        <f aca="true">NORMINV(RAND(),0,L$7)</f>
        <v>-0.372278506254215</v>
      </c>
      <c r="M1328" s="53" t="n">
        <f aca="true">NORMINV(RAND(),0,M$7)</f>
        <v>0.144027576862573</v>
      </c>
      <c r="N1328" s="53" t="n">
        <f aca="true">NORMINV(RAND(),0,N$7)</f>
        <v>-0.030715175387203</v>
      </c>
      <c r="O1328" s="53" t="n">
        <f aca="false">SUM(J1328:N1328)</f>
        <v>-1.36954137732177</v>
      </c>
    </row>
    <row r="1329" customFormat="false" ht="15" hidden="false" customHeight="false" outlineLevel="0" collapsed="false">
      <c r="A1329" s="2" t="n">
        <v>1321</v>
      </c>
      <c r="B1329" s="53" t="n">
        <f aca="true">NORMINV(RAND(),0,B$7)</f>
        <v>0.998968061467486</v>
      </c>
      <c r="C1329" s="53" t="n">
        <f aca="true">NORMINV(RAND(),0,C$7)</f>
        <v>0.346618240935512</v>
      </c>
      <c r="D1329" s="53" t="n">
        <f aca="true">NORMINV(RAND(),0,D$7)</f>
        <v>2.44093023153745</v>
      </c>
      <c r="E1329" s="53" t="n">
        <f aca="true">NORMINV(RAND(),0,E$7)</f>
        <v>-0.177517497640113</v>
      </c>
      <c r="F1329" s="53" t="n">
        <f aca="true">NORMINV(RAND(),0,F$7)</f>
        <v>0.460171182111644</v>
      </c>
      <c r="G1329" s="53" t="n">
        <f aca="true">NORMINV(RAND(),0,G$7)</f>
        <v>-1.02749038494449</v>
      </c>
      <c r="H1329" s="53" t="n">
        <f aca="true">NORMINV(RAND(),0,H$7)</f>
        <v>0.0860327949548228</v>
      </c>
      <c r="I1329" s="53" t="n">
        <f aca="false">SUM(B1329:H1329)</f>
        <v>3.12771262842231</v>
      </c>
      <c r="J1329" s="53" t="n">
        <f aca="true">NORMINV(RAND(),0,J$7)</f>
        <v>-0.99976683727635</v>
      </c>
      <c r="K1329" s="53" t="n">
        <f aca="true">NORMINV(RAND(),0,K$7)</f>
        <v>-0.148140655725275</v>
      </c>
      <c r="L1329" s="53" t="n">
        <f aca="true">NORMINV(RAND(),0,L$7)</f>
        <v>-0.162514869844068</v>
      </c>
      <c r="M1329" s="53" t="n">
        <f aca="true">NORMINV(RAND(),0,M$7)</f>
        <v>0.0846323512334472</v>
      </c>
      <c r="N1329" s="53" t="n">
        <f aca="true">NORMINV(RAND(),0,N$7)</f>
        <v>0.0663205503220926</v>
      </c>
      <c r="O1329" s="53" t="n">
        <f aca="false">SUM(J1329:N1329)</f>
        <v>-1.15946946129015</v>
      </c>
    </row>
    <row r="1330" customFormat="false" ht="15" hidden="false" customHeight="false" outlineLevel="0" collapsed="false">
      <c r="A1330" s="2" t="n">
        <v>1322</v>
      </c>
      <c r="B1330" s="53" t="n">
        <f aca="true">NORMINV(RAND(),0,B$7)</f>
        <v>2.74263674266794</v>
      </c>
      <c r="C1330" s="53" t="n">
        <f aca="true">NORMINV(RAND(),0,C$7)</f>
        <v>2.81568204692254</v>
      </c>
      <c r="D1330" s="53" t="n">
        <f aca="true">NORMINV(RAND(),0,D$7)</f>
        <v>-0.433061181987241</v>
      </c>
      <c r="E1330" s="53" t="n">
        <f aca="true">NORMINV(RAND(),0,E$7)</f>
        <v>-0.352616511631022</v>
      </c>
      <c r="F1330" s="53" t="n">
        <f aca="true">NORMINV(RAND(),0,F$7)</f>
        <v>0.28474487207275</v>
      </c>
      <c r="G1330" s="53" t="n">
        <f aca="true">NORMINV(RAND(),0,G$7)</f>
        <v>0.358051400530684</v>
      </c>
      <c r="H1330" s="53" t="n">
        <f aca="true">NORMINV(RAND(),0,H$7)</f>
        <v>0.0791485429190903</v>
      </c>
      <c r="I1330" s="53" t="n">
        <f aca="false">SUM(B1330:H1330)</f>
        <v>5.49458591149474</v>
      </c>
      <c r="J1330" s="53" t="n">
        <f aca="true">NORMINV(RAND(),0,J$7)</f>
        <v>0.016310418360974</v>
      </c>
      <c r="K1330" s="53" t="n">
        <f aca="true">NORMINV(RAND(),0,K$7)</f>
        <v>0.587018998095733</v>
      </c>
      <c r="L1330" s="53" t="n">
        <f aca="true">NORMINV(RAND(),0,L$7)</f>
        <v>0.298174495102842</v>
      </c>
      <c r="M1330" s="53" t="n">
        <f aca="true">NORMINV(RAND(),0,M$7)</f>
        <v>0.329300202897047</v>
      </c>
      <c r="N1330" s="53" t="n">
        <f aca="true">NORMINV(RAND(),0,N$7)</f>
        <v>-0.413632222458772</v>
      </c>
      <c r="O1330" s="53" t="n">
        <f aca="false">SUM(J1330:N1330)</f>
        <v>0.817171891997824</v>
      </c>
    </row>
    <row r="1331" customFormat="false" ht="15" hidden="false" customHeight="false" outlineLevel="0" collapsed="false">
      <c r="A1331" s="2" t="n">
        <v>1323</v>
      </c>
      <c r="B1331" s="53" t="n">
        <f aca="true">NORMINV(RAND(),0,B$7)</f>
        <v>-0.581019688434951</v>
      </c>
      <c r="C1331" s="53" t="n">
        <f aca="true">NORMINV(RAND(),0,C$7)</f>
        <v>-0.134981666022168</v>
      </c>
      <c r="D1331" s="53" t="n">
        <f aca="true">NORMINV(RAND(),0,D$7)</f>
        <v>1.11479826518357</v>
      </c>
      <c r="E1331" s="53" t="n">
        <f aca="true">NORMINV(RAND(),0,E$7)</f>
        <v>0.155958914303077</v>
      </c>
      <c r="F1331" s="53" t="n">
        <f aca="true">NORMINV(RAND(),0,F$7)</f>
        <v>-0.19726751103144</v>
      </c>
      <c r="G1331" s="53" t="n">
        <f aca="true">NORMINV(RAND(),0,G$7)</f>
        <v>1.23069503099728</v>
      </c>
      <c r="H1331" s="53" t="n">
        <f aca="true">NORMINV(RAND(),0,H$7)</f>
        <v>-0.125467837494595</v>
      </c>
      <c r="I1331" s="53" t="n">
        <f aca="false">SUM(B1331:H1331)</f>
        <v>1.46271550750077</v>
      </c>
      <c r="J1331" s="53" t="n">
        <f aca="true">NORMINV(RAND(),0,J$7)</f>
        <v>0.717964013054185</v>
      </c>
      <c r="K1331" s="53" t="n">
        <f aca="true">NORMINV(RAND(),0,K$7)</f>
        <v>0.498397875227014</v>
      </c>
      <c r="L1331" s="53" t="n">
        <f aca="true">NORMINV(RAND(),0,L$7)</f>
        <v>-0.636257260238857</v>
      </c>
      <c r="M1331" s="53" t="n">
        <f aca="true">NORMINV(RAND(),0,M$7)</f>
        <v>0.282541154253827</v>
      </c>
      <c r="N1331" s="53" t="n">
        <f aca="true">NORMINV(RAND(),0,N$7)</f>
        <v>0.147317378390667</v>
      </c>
      <c r="O1331" s="53" t="n">
        <f aca="false">SUM(J1331:N1331)</f>
        <v>1.00996316068684</v>
      </c>
    </row>
    <row r="1332" customFormat="false" ht="15" hidden="false" customHeight="false" outlineLevel="0" collapsed="false">
      <c r="A1332" s="2" t="n">
        <v>1324</v>
      </c>
      <c r="B1332" s="53" t="n">
        <f aca="true">NORMINV(RAND(),0,B$7)</f>
        <v>-0.0385825380504015</v>
      </c>
      <c r="C1332" s="53" t="n">
        <f aca="true">NORMINV(RAND(),0,C$7)</f>
        <v>1.22962625658444</v>
      </c>
      <c r="D1332" s="53" t="n">
        <f aca="true">NORMINV(RAND(),0,D$7)</f>
        <v>1.30806998949731</v>
      </c>
      <c r="E1332" s="53" t="n">
        <f aca="true">NORMINV(RAND(),0,E$7)</f>
        <v>0.177262038299295</v>
      </c>
      <c r="F1332" s="53" t="n">
        <f aca="true">NORMINV(RAND(),0,F$7)</f>
        <v>-0.231959497495209</v>
      </c>
      <c r="G1332" s="53" t="n">
        <f aca="true">NORMINV(RAND(),0,G$7)</f>
        <v>0.691957119696106</v>
      </c>
      <c r="H1332" s="53" t="n">
        <f aca="true">NORMINV(RAND(),0,H$7)</f>
        <v>0.0356098542975503</v>
      </c>
      <c r="I1332" s="53" t="n">
        <f aca="false">SUM(B1332:H1332)</f>
        <v>3.17198322282909</v>
      </c>
      <c r="J1332" s="53" t="n">
        <f aca="true">NORMINV(RAND(),0,J$7)</f>
        <v>1.14297321653865</v>
      </c>
      <c r="K1332" s="53" t="n">
        <f aca="true">NORMINV(RAND(),0,K$7)</f>
        <v>-0.619630688679303</v>
      </c>
      <c r="L1332" s="53" t="n">
        <f aca="true">NORMINV(RAND(),0,L$7)</f>
        <v>0.59346645237013</v>
      </c>
      <c r="M1332" s="53" t="n">
        <f aca="true">NORMINV(RAND(),0,M$7)</f>
        <v>0.00862155630056124</v>
      </c>
      <c r="N1332" s="53" t="n">
        <f aca="true">NORMINV(RAND(),0,N$7)</f>
        <v>0.309585300879867</v>
      </c>
      <c r="O1332" s="53" t="n">
        <f aca="false">SUM(J1332:N1332)</f>
        <v>1.4350158374099</v>
      </c>
    </row>
    <row r="1333" customFormat="false" ht="15" hidden="false" customHeight="false" outlineLevel="0" collapsed="false">
      <c r="A1333" s="2" t="n">
        <v>1325</v>
      </c>
      <c r="B1333" s="53" t="n">
        <f aca="true">NORMINV(RAND(),0,B$7)</f>
        <v>0.446275592250489</v>
      </c>
      <c r="C1333" s="53" t="n">
        <f aca="true">NORMINV(RAND(),0,C$7)</f>
        <v>2.4380405139334</v>
      </c>
      <c r="D1333" s="53" t="n">
        <f aca="true">NORMINV(RAND(),0,D$7)</f>
        <v>-2.10805530588655</v>
      </c>
      <c r="E1333" s="53" t="n">
        <f aca="true">NORMINV(RAND(),0,E$7)</f>
        <v>-0.556672313526279</v>
      </c>
      <c r="F1333" s="53" t="n">
        <f aca="true">NORMINV(RAND(),0,F$7)</f>
        <v>-0.0588927447863072</v>
      </c>
      <c r="G1333" s="53" t="n">
        <f aca="true">NORMINV(RAND(),0,G$7)</f>
        <v>0.139195032959555</v>
      </c>
      <c r="H1333" s="53" t="n">
        <f aca="true">NORMINV(RAND(),0,H$7)</f>
        <v>-0.148477183843128</v>
      </c>
      <c r="I1333" s="53" t="n">
        <f aca="false">SUM(B1333:H1333)</f>
        <v>0.15141359110118</v>
      </c>
      <c r="J1333" s="53" t="n">
        <f aca="true">NORMINV(RAND(),0,J$7)</f>
        <v>3.70506272243372</v>
      </c>
      <c r="K1333" s="53" t="n">
        <f aca="true">NORMINV(RAND(),0,K$7)</f>
        <v>0.147780608828191</v>
      </c>
      <c r="L1333" s="53" t="n">
        <f aca="true">NORMINV(RAND(),0,L$7)</f>
        <v>-0.30184572650368</v>
      </c>
      <c r="M1333" s="53" t="n">
        <f aca="true">NORMINV(RAND(),0,M$7)</f>
        <v>-0.122038599377524</v>
      </c>
      <c r="N1333" s="53" t="n">
        <f aca="true">NORMINV(RAND(),0,N$7)</f>
        <v>-0.498690564115926</v>
      </c>
      <c r="O1333" s="53" t="n">
        <f aca="false">SUM(J1333:N1333)</f>
        <v>2.93026844126478</v>
      </c>
    </row>
    <row r="1334" customFormat="false" ht="15" hidden="false" customHeight="false" outlineLevel="0" collapsed="false">
      <c r="A1334" s="2" t="n">
        <v>1326</v>
      </c>
      <c r="B1334" s="53" t="n">
        <f aca="true">NORMINV(RAND(),0,B$7)</f>
        <v>0.0687666431900204</v>
      </c>
      <c r="C1334" s="53" t="n">
        <f aca="true">NORMINV(RAND(),0,C$7)</f>
        <v>0.97995239639569</v>
      </c>
      <c r="D1334" s="53" t="n">
        <f aca="true">NORMINV(RAND(),0,D$7)</f>
        <v>0.833145571806372</v>
      </c>
      <c r="E1334" s="53" t="n">
        <f aca="true">NORMINV(RAND(),0,E$7)</f>
        <v>-0.107891889681859</v>
      </c>
      <c r="F1334" s="53" t="n">
        <f aca="true">NORMINV(RAND(),0,F$7)</f>
        <v>0.285615527674671</v>
      </c>
      <c r="G1334" s="53" t="n">
        <f aca="true">NORMINV(RAND(),0,G$7)</f>
        <v>-1.47636798085822</v>
      </c>
      <c r="H1334" s="53" t="n">
        <f aca="true">NORMINV(RAND(),0,H$7)</f>
        <v>-0.262278473485581</v>
      </c>
      <c r="I1334" s="53" t="n">
        <f aca="false">SUM(B1334:H1334)</f>
        <v>0.320941795041093</v>
      </c>
      <c r="J1334" s="53" t="n">
        <f aca="true">NORMINV(RAND(),0,J$7)</f>
        <v>1.51942174088156</v>
      </c>
      <c r="K1334" s="53" t="n">
        <f aca="true">NORMINV(RAND(),0,K$7)</f>
        <v>0.441013437643592</v>
      </c>
      <c r="L1334" s="53" t="n">
        <f aca="true">NORMINV(RAND(),0,L$7)</f>
        <v>0.269004081502501</v>
      </c>
      <c r="M1334" s="53" t="n">
        <f aca="true">NORMINV(RAND(),0,M$7)</f>
        <v>-0.233188064717841</v>
      </c>
      <c r="N1334" s="53" t="n">
        <f aca="true">NORMINV(RAND(),0,N$7)</f>
        <v>-0.292911732994081</v>
      </c>
      <c r="O1334" s="53" t="n">
        <f aca="false">SUM(J1334:N1334)</f>
        <v>1.70333946231573</v>
      </c>
    </row>
    <row r="1335" customFormat="false" ht="15" hidden="false" customHeight="false" outlineLevel="0" collapsed="false">
      <c r="A1335" s="2" t="n">
        <v>1327</v>
      </c>
      <c r="B1335" s="53" t="n">
        <f aca="true">NORMINV(RAND(),0,B$7)</f>
        <v>-4.02380239871282</v>
      </c>
      <c r="C1335" s="53" t="n">
        <f aca="true">NORMINV(RAND(),0,C$7)</f>
        <v>-0.049658831563381</v>
      </c>
      <c r="D1335" s="53" t="n">
        <f aca="true">NORMINV(RAND(),0,D$7)</f>
        <v>-0.379715588037003</v>
      </c>
      <c r="E1335" s="53" t="n">
        <f aca="true">NORMINV(RAND(),0,E$7)</f>
        <v>-0.175897922217104</v>
      </c>
      <c r="F1335" s="53" t="n">
        <f aca="true">NORMINV(RAND(),0,F$7)</f>
        <v>-0.0807333094518662</v>
      </c>
      <c r="G1335" s="53" t="n">
        <f aca="true">NORMINV(RAND(),0,G$7)</f>
        <v>1.22299139301095</v>
      </c>
      <c r="H1335" s="53" t="n">
        <f aca="true">NORMINV(RAND(),0,H$7)</f>
        <v>-0.212329607232028</v>
      </c>
      <c r="I1335" s="53" t="n">
        <f aca="false">SUM(B1335:H1335)</f>
        <v>-3.69914626420325</v>
      </c>
      <c r="J1335" s="53" t="n">
        <f aca="true">NORMINV(RAND(),0,J$7)</f>
        <v>-0.242954569751818</v>
      </c>
      <c r="K1335" s="53" t="n">
        <f aca="true">NORMINV(RAND(),0,K$7)</f>
        <v>0.173885037730187</v>
      </c>
      <c r="L1335" s="53" t="n">
        <f aca="true">NORMINV(RAND(),0,L$7)</f>
        <v>0.53667718584862</v>
      </c>
      <c r="M1335" s="53" t="n">
        <f aca="true">NORMINV(RAND(),0,M$7)</f>
        <v>-0.2780844877114</v>
      </c>
      <c r="N1335" s="53" t="n">
        <f aca="true">NORMINV(RAND(),0,N$7)</f>
        <v>-0.00653443749338673</v>
      </c>
      <c r="O1335" s="53" t="n">
        <f aca="false">SUM(J1335:N1335)</f>
        <v>0.182988728622202</v>
      </c>
    </row>
    <row r="1336" customFormat="false" ht="15" hidden="false" customHeight="false" outlineLevel="0" collapsed="false">
      <c r="A1336" s="2" t="n">
        <v>1328</v>
      </c>
      <c r="B1336" s="53" t="n">
        <f aca="true">NORMINV(RAND(),0,B$7)</f>
        <v>0.498073318580052</v>
      </c>
      <c r="C1336" s="53" t="n">
        <f aca="true">NORMINV(RAND(),0,C$7)</f>
        <v>0.174618963492762</v>
      </c>
      <c r="D1336" s="53" t="n">
        <f aca="true">NORMINV(RAND(),0,D$7)</f>
        <v>1.81998900678022</v>
      </c>
      <c r="E1336" s="53" t="n">
        <f aca="true">NORMINV(RAND(),0,E$7)</f>
        <v>-0.58859701485544</v>
      </c>
      <c r="F1336" s="53" t="n">
        <f aca="true">NORMINV(RAND(),0,F$7)</f>
        <v>0.101155972503067</v>
      </c>
      <c r="G1336" s="53" t="n">
        <f aca="true">NORMINV(RAND(),0,G$7)</f>
        <v>1.69783257086772</v>
      </c>
      <c r="H1336" s="53" t="n">
        <f aca="true">NORMINV(RAND(),0,H$7)</f>
        <v>-0.201611839196699</v>
      </c>
      <c r="I1336" s="53" t="n">
        <f aca="false">SUM(B1336:H1336)</f>
        <v>3.50146097817168</v>
      </c>
      <c r="J1336" s="53" t="n">
        <f aca="true">NORMINV(RAND(),0,J$7)</f>
        <v>-1.78519120723401</v>
      </c>
      <c r="K1336" s="53" t="n">
        <f aca="true">NORMINV(RAND(),0,K$7)</f>
        <v>0.0451479961403278</v>
      </c>
      <c r="L1336" s="53" t="n">
        <f aca="true">NORMINV(RAND(),0,L$7)</f>
        <v>-0.585130113754418</v>
      </c>
      <c r="M1336" s="53" t="n">
        <f aca="true">NORMINV(RAND(),0,M$7)</f>
        <v>-0.328717290981389</v>
      </c>
      <c r="N1336" s="53" t="n">
        <f aca="true">NORMINV(RAND(),0,N$7)</f>
        <v>-0.512772730086882</v>
      </c>
      <c r="O1336" s="53" t="n">
        <f aca="false">SUM(J1336:N1336)</f>
        <v>-3.16666334591637</v>
      </c>
    </row>
    <row r="1337" customFormat="false" ht="15" hidden="false" customHeight="false" outlineLevel="0" collapsed="false">
      <c r="A1337" s="2" t="n">
        <v>1329</v>
      </c>
      <c r="B1337" s="53" t="n">
        <f aca="true">NORMINV(RAND(),0,B$7)</f>
        <v>-0.128185278622647</v>
      </c>
      <c r="C1337" s="53" t="n">
        <f aca="true">NORMINV(RAND(),0,C$7)</f>
        <v>0.335229174916602</v>
      </c>
      <c r="D1337" s="53" t="n">
        <f aca="true">NORMINV(RAND(),0,D$7)</f>
        <v>-1.1087846674143</v>
      </c>
      <c r="E1337" s="53" t="n">
        <f aca="true">NORMINV(RAND(),0,E$7)</f>
        <v>0.857685725707219</v>
      </c>
      <c r="F1337" s="53" t="n">
        <f aca="true">NORMINV(RAND(),0,F$7)</f>
        <v>0.486771342991069</v>
      </c>
      <c r="G1337" s="53" t="n">
        <f aca="true">NORMINV(RAND(),0,G$7)</f>
        <v>0.90502320478891</v>
      </c>
      <c r="H1337" s="53" t="n">
        <f aca="true">NORMINV(RAND(),0,H$7)</f>
        <v>-0.0767615912868424</v>
      </c>
      <c r="I1337" s="53" t="n">
        <f aca="false">SUM(B1337:H1337)</f>
        <v>1.27097791108002</v>
      </c>
      <c r="J1337" s="53" t="n">
        <f aca="true">NORMINV(RAND(),0,J$7)</f>
        <v>-0.312775706479835</v>
      </c>
      <c r="K1337" s="53" t="n">
        <f aca="true">NORMINV(RAND(),0,K$7)</f>
        <v>-0.425512722872785</v>
      </c>
      <c r="L1337" s="53" t="n">
        <f aca="true">NORMINV(RAND(),0,L$7)</f>
        <v>-0.187517971580105</v>
      </c>
      <c r="M1337" s="53" t="n">
        <f aca="true">NORMINV(RAND(),0,M$7)</f>
        <v>0.246315916107079</v>
      </c>
      <c r="N1337" s="53" t="n">
        <f aca="true">NORMINV(RAND(),0,N$7)</f>
        <v>-0.273915687921395</v>
      </c>
      <c r="O1337" s="53" t="n">
        <f aca="false">SUM(J1337:N1337)</f>
        <v>-0.953406172747041</v>
      </c>
    </row>
    <row r="1338" customFormat="false" ht="15" hidden="false" customHeight="false" outlineLevel="0" collapsed="false">
      <c r="A1338" s="2" t="n">
        <v>1330</v>
      </c>
      <c r="B1338" s="53" t="n">
        <f aca="true">NORMINV(RAND(),0,B$7)</f>
        <v>-1.938251218659</v>
      </c>
      <c r="C1338" s="53" t="n">
        <f aca="true">NORMINV(RAND(),0,C$7)</f>
        <v>0.897088871073005</v>
      </c>
      <c r="D1338" s="53" t="n">
        <f aca="true">NORMINV(RAND(),0,D$7)</f>
        <v>-2.64888474473662</v>
      </c>
      <c r="E1338" s="53" t="n">
        <f aca="true">NORMINV(RAND(),0,E$7)</f>
        <v>-0.234129293278044</v>
      </c>
      <c r="F1338" s="53" t="n">
        <f aca="true">NORMINV(RAND(),0,F$7)</f>
        <v>0.260056047488825</v>
      </c>
      <c r="G1338" s="53" t="n">
        <f aca="true">NORMINV(RAND(),0,G$7)</f>
        <v>2.5067404325158</v>
      </c>
      <c r="H1338" s="53" t="n">
        <f aca="true">NORMINV(RAND(),0,H$7)</f>
        <v>0.350225437039308</v>
      </c>
      <c r="I1338" s="53" t="n">
        <f aca="false">SUM(B1338:H1338)</f>
        <v>-0.807154468556729</v>
      </c>
      <c r="J1338" s="53" t="n">
        <f aca="true">NORMINV(RAND(),0,J$7)</f>
        <v>-1.14724546899264</v>
      </c>
      <c r="K1338" s="53" t="n">
        <f aca="true">NORMINV(RAND(),0,K$7)</f>
        <v>-0.227954259789587</v>
      </c>
      <c r="L1338" s="53" t="n">
        <f aca="true">NORMINV(RAND(),0,L$7)</f>
        <v>-0.80015305274173</v>
      </c>
      <c r="M1338" s="53" t="n">
        <f aca="true">NORMINV(RAND(),0,M$7)</f>
        <v>-0.0826101793061558</v>
      </c>
      <c r="N1338" s="53" t="n">
        <f aca="true">NORMINV(RAND(),0,N$7)</f>
        <v>0.213164599500819</v>
      </c>
      <c r="O1338" s="53" t="n">
        <f aca="false">SUM(J1338:N1338)</f>
        <v>-2.0447983613293</v>
      </c>
    </row>
    <row r="1339" customFormat="false" ht="15" hidden="false" customHeight="false" outlineLevel="0" collapsed="false">
      <c r="A1339" s="2" t="n">
        <v>1331</v>
      </c>
      <c r="B1339" s="53" t="n">
        <f aca="true">NORMINV(RAND(),0,B$7)</f>
        <v>0.0646262187557312</v>
      </c>
      <c r="C1339" s="53" t="n">
        <f aca="true">NORMINV(RAND(),0,C$7)</f>
        <v>0.184028518009698</v>
      </c>
      <c r="D1339" s="53" t="n">
        <f aca="true">NORMINV(RAND(),0,D$7)</f>
        <v>-0.827654024189492</v>
      </c>
      <c r="E1339" s="53" t="n">
        <f aca="true">NORMINV(RAND(),0,E$7)</f>
        <v>0.0071933992526043</v>
      </c>
      <c r="F1339" s="53" t="n">
        <f aca="true">NORMINV(RAND(),0,F$7)</f>
        <v>-0.148486167415795</v>
      </c>
      <c r="G1339" s="53" t="n">
        <f aca="true">NORMINV(RAND(),0,G$7)</f>
        <v>-0.394436867797208</v>
      </c>
      <c r="H1339" s="53" t="n">
        <f aca="true">NORMINV(RAND(),0,H$7)</f>
        <v>0.109592950663936</v>
      </c>
      <c r="I1339" s="53" t="n">
        <f aca="false">SUM(B1339:H1339)</f>
        <v>-1.00513597272053</v>
      </c>
      <c r="J1339" s="53" t="n">
        <f aca="true">NORMINV(RAND(),0,J$7)</f>
        <v>-2.41412827512482</v>
      </c>
      <c r="K1339" s="53" t="n">
        <f aca="true">NORMINV(RAND(),0,K$7)</f>
        <v>-0.26465016998331</v>
      </c>
      <c r="L1339" s="53" t="n">
        <f aca="true">NORMINV(RAND(),0,L$7)</f>
        <v>0.17461118261177</v>
      </c>
      <c r="M1339" s="53" t="n">
        <f aca="true">NORMINV(RAND(),0,M$7)</f>
        <v>0.189766544235314</v>
      </c>
      <c r="N1339" s="53" t="n">
        <f aca="true">NORMINV(RAND(),0,N$7)</f>
        <v>0.508467882323028</v>
      </c>
      <c r="O1339" s="53" t="n">
        <f aca="false">SUM(J1339:N1339)</f>
        <v>-1.80593283593802</v>
      </c>
    </row>
    <row r="1340" customFormat="false" ht="15" hidden="false" customHeight="false" outlineLevel="0" collapsed="false">
      <c r="A1340" s="2" t="n">
        <v>1332</v>
      </c>
      <c r="B1340" s="53" t="n">
        <f aca="true">NORMINV(RAND(),0,B$7)</f>
        <v>0.362011602339852</v>
      </c>
      <c r="C1340" s="53" t="n">
        <f aca="true">NORMINV(RAND(),0,C$7)</f>
        <v>-0.517537374393862</v>
      </c>
      <c r="D1340" s="53" t="n">
        <f aca="true">NORMINV(RAND(),0,D$7)</f>
        <v>-1.55332534434938</v>
      </c>
      <c r="E1340" s="53" t="n">
        <f aca="true">NORMINV(RAND(),0,E$7)</f>
        <v>-0.177620436358731</v>
      </c>
      <c r="F1340" s="53" t="n">
        <f aca="true">NORMINV(RAND(),0,F$7)</f>
        <v>-0.162010116452808</v>
      </c>
      <c r="G1340" s="53" t="n">
        <f aca="true">NORMINV(RAND(),0,G$7)</f>
        <v>0.364534389034152</v>
      </c>
      <c r="H1340" s="53" t="n">
        <f aca="true">NORMINV(RAND(),0,H$7)</f>
        <v>0.0224147936223093</v>
      </c>
      <c r="I1340" s="53" t="n">
        <f aca="false">SUM(B1340:H1340)</f>
        <v>-1.66153248655847</v>
      </c>
      <c r="J1340" s="53" t="n">
        <f aca="true">NORMINV(RAND(),0,J$7)</f>
        <v>-3.36570946329245</v>
      </c>
      <c r="K1340" s="53" t="n">
        <f aca="true">NORMINV(RAND(),0,K$7)</f>
        <v>-0.484739139965098</v>
      </c>
      <c r="L1340" s="53" t="n">
        <f aca="true">NORMINV(RAND(),0,L$7)</f>
        <v>0.0460299374403368</v>
      </c>
      <c r="M1340" s="53" t="n">
        <f aca="true">NORMINV(RAND(),0,M$7)</f>
        <v>-0.2061988907396</v>
      </c>
      <c r="N1340" s="53" t="n">
        <f aca="true">NORMINV(RAND(),0,N$7)</f>
        <v>-0.306422630844419</v>
      </c>
      <c r="O1340" s="53" t="n">
        <f aca="false">SUM(J1340:N1340)</f>
        <v>-4.31704018740123</v>
      </c>
    </row>
    <row r="1341" customFormat="false" ht="15" hidden="false" customHeight="false" outlineLevel="0" collapsed="false">
      <c r="A1341" s="2" t="n">
        <v>1333</v>
      </c>
      <c r="B1341" s="53" t="n">
        <f aca="true">NORMINV(RAND(),0,B$7)</f>
        <v>-0.522699274225069</v>
      </c>
      <c r="C1341" s="53" t="n">
        <f aca="true">NORMINV(RAND(),0,C$7)</f>
        <v>-0.734635210254132</v>
      </c>
      <c r="D1341" s="53" t="n">
        <f aca="true">NORMINV(RAND(),0,D$7)</f>
        <v>-0.0721719899620596</v>
      </c>
      <c r="E1341" s="53" t="n">
        <f aca="true">NORMINV(RAND(),0,E$7)</f>
        <v>0.169543898460399</v>
      </c>
      <c r="F1341" s="53" t="n">
        <f aca="true">NORMINV(RAND(),0,F$7)</f>
        <v>-0.318703086418993</v>
      </c>
      <c r="G1341" s="53" t="n">
        <f aca="true">NORMINV(RAND(),0,G$7)</f>
        <v>-0.35270395737044</v>
      </c>
      <c r="H1341" s="53" t="n">
        <f aca="true">NORMINV(RAND(),0,H$7)</f>
        <v>0.0204212434612186</v>
      </c>
      <c r="I1341" s="53" t="n">
        <f aca="false">SUM(B1341:H1341)</f>
        <v>-1.81094837630908</v>
      </c>
      <c r="J1341" s="53" t="n">
        <f aca="true">NORMINV(RAND(),0,J$7)</f>
        <v>-1.18240577625794</v>
      </c>
      <c r="K1341" s="53" t="n">
        <f aca="true">NORMINV(RAND(),0,K$7)</f>
        <v>0.0457834272560571</v>
      </c>
      <c r="L1341" s="53" t="n">
        <f aca="true">NORMINV(RAND(),0,L$7)</f>
        <v>0.308264907509354</v>
      </c>
      <c r="M1341" s="53" t="n">
        <f aca="true">NORMINV(RAND(),0,M$7)</f>
        <v>-0.299869789981282</v>
      </c>
      <c r="N1341" s="53" t="n">
        <f aca="true">NORMINV(RAND(),0,N$7)</f>
        <v>-0.332831832501915</v>
      </c>
      <c r="O1341" s="53" t="n">
        <f aca="false">SUM(J1341:N1341)</f>
        <v>-1.46105906397573</v>
      </c>
    </row>
    <row r="1342" customFormat="false" ht="15" hidden="false" customHeight="false" outlineLevel="0" collapsed="false">
      <c r="A1342" s="2" t="n">
        <v>1334</v>
      </c>
      <c r="B1342" s="53" t="n">
        <f aca="true">NORMINV(RAND(),0,B$7)</f>
        <v>-0.0791303503894089</v>
      </c>
      <c r="C1342" s="53" t="n">
        <f aca="true">NORMINV(RAND(),0,C$7)</f>
        <v>0.207089374290369</v>
      </c>
      <c r="D1342" s="53" t="n">
        <f aca="true">NORMINV(RAND(),0,D$7)</f>
        <v>-1.51971534322266</v>
      </c>
      <c r="E1342" s="53" t="n">
        <f aca="true">NORMINV(RAND(),0,E$7)</f>
        <v>0.312047953210761</v>
      </c>
      <c r="F1342" s="53" t="n">
        <f aca="true">NORMINV(RAND(),0,F$7)</f>
        <v>0.0801848782577457</v>
      </c>
      <c r="G1342" s="53" t="n">
        <f aca="true">NORMINV(RAND(),0,G$7)</f>
        <v>0.636214239023807</v>
      </c>
      <c r="H1342" s="53" t="n">
        <f aca="true">NORMINV(RAND(),0,H$7)</f>
        <v>0.145450625524121</v>
      </c>
      <c r="I1342" s="53" t="n">
        <f aca="false">SUM(B1342:H1342)</f>
        <v>-0.217858623305261</v>
      </c>
      <c r="J1342" s="53" t="n">
        <f aca="true">NORMINV(RAND(),0,J$7)</f>
        <v>1.82121020205622</v>
      </c>
      <c r="K1342" s="53" t="n">
        <f aca="true">NORMINV(RAND(),0,K$7)</f>
        <v>0.310039656873954</v>
      </c>
      <c r="L1342" s="53" t="n">
        <f aca="true">NORMINV(RAND(),0,L$7)</f>
        <v>-0.187654480906112</v>
      </c>
      <c r="M1342" s="53" t="n">
        <f aca="true">NORMINV(RAND(),0,M$7)</f>
        <v>0.248573861566379</v>
      </c>
      <c r="N1342" s="53" t="n">
        <f aca="true">NORMINV(RAND(),0,N$7)</f>
        <v>0.0402467790739771</v>
      </c>
      <c r="O1342" s="53" t="n">
        <f aca="false">SUM(J1342:N1342)</f>
        <v>2.23241601866442</v>
      </c>
    </row>
    <row r="1343" customFormat="false" ht="15" hidden="false" customHeight="false" outlineLevel="0" collapsed="false">
      <c r="A1343" s="2" t="n">
        <v>1335</v>
      </c>
      <c r="B1343" s="53" t="n">
        <f aca="true">NORMINV(RAND(),0,B$7)</f>
        <v>0.700969249178867</v>
      </c>
      <c r="C1343" s="53" t="n">
        <f aca="true">NORMINV(RAND(),0,C$7)</f>
        <v>3.73547983801287</v>
      </c>
      <c r="D1343" s="53" t="n">
        <f aca="true">NORMINV(RAND(),0,D$7)</f>
        <v>1.16694021624</v>
      </c>
      <c r="E1343" s="53" t="n">
        <f aca="true">NORMINV(RAND(),0,E$7)</f>
        <v>0.0506849081072753</v>
      </c>
      <c r="F1343" s="53" t="n">
        <f aca="true">NORMINV(RAND(),0,F$7)</f>
        <v>-0.128354831868382</v>
      </c>
      <c r="G1343" s="53" t="n">
        <f aca="true">NORMINV(RAND(),0,G$7)</f>
        <v>-0.430744179020979</v>
      </c>
      <c r="H1343" s="53" t="n">
        <f aca="true">NORMINV(RAND(),0,H$7)</f>
        <v>0.164180669027021</v>
      </c>
      <c r="I1343" s="53" t="n">
        <f aca="false">SUM(B1343:H1343)</f>
        <v>5.25915586967667</v>
      </c>
      <c r="J1343" s="53" t="n">
        <f aca="true">NORMINV(RAND(),0,J$7)</f>
        <v>2.95238258628035</v>
      </c>
      <c r="K1343" s="53" t="n">
        <f aca="true">NORMINV(RAND(),0,K$7)</f>
        <v>0.292892028485784</v>
      </c>
      <c r="L1343" s="53" t="n">
        <f aca="true">NORMINV(RAND(),0,L$7)</f>
        <v>-0.641489715283112</v>
      </c>
      <c r="M1343" s="53" t="n">
        <f aca="true">NORMINV(RAND(),0,M$7)</f>
        <v>0.04875924911499</v>
      </c>
      <c r="N1343" s="53" t="n">
        <f aca="true">NORMINV(RAND(),0,N$7)</f>
        <v>0.313169649142248</v>
      </c>
      <c r="O1343" s="53" t="n">
        <f aca="false">SUM(J1343:N1343)</f>
        <v>2.96571379774026</v>
      </c>
    </row>
    <row r="1344" customFormat="false" ht="15" hidden="false" customHeight="false" outlineLevel="0" collapsed="false">
      <c r="A1344" s="2" t="n">
        <v>1336</v>
      </c>
      <c r="B1344" s="53" t="n">
        <f aca="true">NORMINV(RAND(),0,B$7)</f>
        <v>-0.282722679435168</v>
      </c>
      <c r="C1344" s="53" t="n">
        <f aca="true">NORMINV(RAND(),0,C$7)</f>
        <v>1.63150584766476</v>
      </c>
      <c r="D1344" s="53" t="n">
        <f aca="true">NORMINV(RAND(),0,D$7)</f>
        <v>-1.69998133290146</v>
      </c>
      <c r="E1344" s="53" t="n">
        <f aca="true">NORMINV(RAND(),0,E$7)</f>
        <v>-0.4508252754818</v>
      </c>
      <c r="F1344" s="53" t="n">
        <f aca="true">NORMINV(RAND(),0,F$7)</f>
        <v>0.341728405001162</v>
      </c>
      <c r="G1344" s="53" t="n">
        <f aca="true">NORMINV(RAND(),0,G$7)</f>
        <v>1.05792975677323</v>
      </c>
      <c r="H1344" s="53" t="n">
        <f aca="true">NORMINV(RAND(),0,H$7)</f>
        <v>-0.489698711911615</v>
      </c>
      <c r="I1344" s="53" t="n">
        <f aca="false">SUM(B1344:H1344)</f>
        <v>0.107936009709113</v>
      </c>
      <c r="J1344" s="53" t="n">
        <f aca="true">NORMINV(RAND(),0,J$7)</f>
        <v>0.648082497738016</v>
      </c>
      <c r="K1344" s="53" t="n">
        <f aca="true">NORMINV(RAND(),0,K$7)</f>
        <v>-0.624141185411432</v>
      </c>
      <c r="L1344" s="53" t="n">
        <f aca="true">NORMINV(RAND(),0,L$7)</f>
        <v>0.0584823815597578</v>
      </c>
      <c r="M1344" s="53" t="n">
        <f aca="true">NORMINV(RAND(),0,M$7)</f>
        <v>-0.252321464398959</v>
      </c>
      <c r="N1344" s="53" t="n">
        <f aca="true">NORMINV(RAND(),0,N$7)</f>
        <v>0.361339922665662</v>
      </c>
      <c r="O1344" s="53" t="n">
        <f aca="false">SUM(J1344:N1344)</f>
        <v>0.191442152153044</v>
      </c>
    </row>
    <row r="1345" customFormat="false" ht="15" hidden="false" customHeight="false" outlineLevel="0" collapsed="false">
      <c r="A1345" s="2" t="n">
        <v>1337</v>
      </c>
      <c r="B1345" s="53" t="n">
        <f aca="true">NORMINV(RAND(),0,B$7)</f>
        <v>-1.98927403375339</v>
      </c>
      <c r="C1345" s="53" t="n">
        <f aca="true">NORMINV(RAND(),0,C$7)</f>
        <v>-1.9735717981891</v>
      </c>
      <c r="D1345" s="53" t="n">
        <f aca="true">NORMINV(RAND(),0,D$7)</f>
        <v>1.02649778523084</v>
      </c>
      <c r="E1345" s="53" t="n">
        <f aca="true">NORMINV(RAND(),0,E$7)</f>
        <v>0.439943398939831</v>
      </c>
      <c r="F1345" s="53" t="n">
        <f aca="true">NORMINV(RAND(),0,F$7)</f>
        <v>-0.175066717669313</v>
      </c>
      <c r="G1345" s="53" t="n">
        <f aca="true">NORMINV(RAND(),0,G$7)</f>
        <v>0.66041105561502</v>
      </c>
      <c r="H1345" s="53" t="n">
        <f aca="true">NORMINV(RAND(),0,H$7)</f>
        <v>-0.141547809624023</v>
      </c>
      <c r="I1345" s="53" t="n">
        <f aca="false">SUM(B1345:H1345)</f>
        <v>-2.15260811945013</v>
      </c>
      <c r="J1345" s="53" t="n">
        <f aca="true">NORMINV(RAND(),0,J$7)</f>
        <v>0.695113481277508</v>
      </c>
      <c r="K1345" s="53" t="n">
        <f aca="true">NORMINV(RAND(),0,K$7)</f>
        <v>-0.472399154067013</v>
      </c>
      <c r="L1345" s="53" t="n">
        <f aca="true">NORMINV(RAND(),0,L$7)</f>
        <v>0.541334874804239</v>
      </c>
      <c r="M1345" s="53" t="n">
        <f aca="true">NORMINV(RAND(),0,M$7)</f>
        <v>0.103107547381828</v>
      </c>
      <c r="N1345" s="53" t="n">
        <f aca="true">NORMINV(RAND(),0,N$7)</f>
        <v>0.412545435564068</v>
      </c>
      <c r="O1345" s="53" t="n">
        <f aca="false">SUM(J1345:N1345)</f>
        <v>1.27970218496063</v>
      </c>
    </row>
    <row r="1346" customFormat="false" ht="15" hidden="false" customHeight="false" outlineLevel="0" collapsed="false">
      <c r="A1346" s="2" t="n">
        <v>1338</v>
      </c>
      <c r="B1346" s="53" t="n">
        <f aca="true">NORMINV(RAND(),0,B$7)</f>
        <v>0.97802534645561</v>
      </c>
      <c r="C1346" s="53" t="n">
        <f aca="true">NORMINV(RAND(),0,C$7)</f>
        <v>-0.307635720239646</v>
      </c>
      <c r="D1346" s="53" t="n">
        <f aca="true">NORMINV(RAND(),0,D$7)</f>
        <v>0.157497667779609</v>
      </c>
      <c r="E1346" s="53" t="n">
        <f aca="true">NORMINV(RAND(),0,E$7)</f>
        <v>-0.19838664503024</v>
      </c>
      <c r="F1346" s="53" t="n">
        <f aca="true">NORMINV(RAND(),0,F$7)</f>
        <v>0.0313198170486605</v>
      </c>
      <c r="G1346" s="53" t="n">
        <f aca="true">NORMINV(RAND(),0,G$7)</f>
        <v>0.968482311101499</v>
      </c>
      <c r="H1346" s="53" t="n">
        <f aca="true">NORMINV(RAND(),0,H$7)</f>
        <v>-0.0487477125935665</v>
      </c>
      <c r="I1346" s="53" t="n">
        <f aca="false">SUM(B1346:H1346)</f>
        <v>1.58055506452193</v>
      </c>
      <c r="J1346" s="53" t="n">
        <f aca="true">NORMINV(RAND(),0,J$7)</f>
        <v>0.681713427861767</v>
      </c>
      <c r="K1346" s="53" t="n">
        <f aca="true">NORMINV(RAND(),0,K$7)</f>
        <v>-0.15367569763296</v>
      </c>
      <c r="L1346" s="53" t="n">
        <f aca="true">NORMINV(RAND(),0,L$7)</f>
        <v>0.0818890290587057</v>
      </c>
      <c r="M1346" s="53" t="n">
        <f aca="true">NORMINV(RAND(),0,M$7)</f>
        <v>-0.245902416818008</v>
      </c>
      <c r="N1346" s="53" t="n">
        <f aca="true">NORMINV(RAND(),0,N$7)</f>
        <v>-0.0106467001905121</v>
      </c>
      <c r="O1346" s="53" t="n">
        <f aca="false">SUM(J1346:N1346)</f>
        <v>0.353377642278993</v>
      </c>
    </row>
    <row r="1347" customFormat="false" ht="15" hidden="false" customHeight="false" outlineLevel="0" collapsed="false">
      <c r="A1347" s="2" t="n">
        <v>1339</v>
      </c>
      <c r="B1347" s="53" t="n">
        <f aca="true">NORMINV(RAND(),0,B$7)</f>
        <v>-1.74492382596286</v>
      </c>
      <c r="C1347" s="53" t="n">
        <f aca="true">NORMINV(RAND(),0,C$7)</f>
        <v>-0.204161514903394</v>
      </c>
      <c r="D1347" s="53" t="n">
        <f aca="true">NORMINV(RAND(),0,D$7)</f>
        <v>-0.65161952239372</v>
      </c>
      <c r="E1347" s="53" t="n">
        <f aca="true">NORMINV(RAND(),0,E$7)</f>
        <v>-0.213776358956845</v>
      </c>
      <c r="F1347" s="53" t="n">
        <f aca="true">NORMINV(RAND(),0,F$7)</f>
        <v>-0.510309191746905</v>
      </c>
      <c r="G1347" s="53" t="n">
        <f aca="true">NORMINV(RAND(),0,G$7)</f>
        <v>-0.434277355281208</v>
      </c>
      <c r="H1347" s="53" t="n">
        <f aca="true">NORMINV(RAND(),0,H$7)</f>
        <v>-0.253576608349788</v>
      </c>
      <c r="I1347" s="53" t="n">
        <f aca="false">SUM(B1347:H1347)</f>
        <v>-4.01264437759472</v>
      </c>
      <c r="J1347" s="53" t="n">
        <f aca="true">NORMINV(RAND(),0,J$7)</f>
        <v>-2.89957376018761</v>
      </c>
      <c r="K1347" s="53" t="n">
        <f aca="true">NORMINV(RAND(),0,K$7)</f>
        <v>0.0837737820878627</v>
      </c>
      <c r="L1347" s="53" t="n">
        <f aca="true">NORMINV(RAND(),0,L$7)</f>
        <v>0.092527962969449</v>
      </c>
      <c r="M1347" s="53" t="n">
        <f aca="true">NORMINV(RAND(),0,M$7)</f>
        <v>0.128785727502586</v>
      </c>
      <c r="N1347" s="53" t="n">
        <f aca="true">NORMINV(RAND(),0,N$7)</f>
        <v>-0.572746324852384</v>
      </c>
      <c r="O1347" s="53" t="n">
        <f aca="false">SUM(J1347:N1347)</f>
        <v>-3.1672326124801</v>
      </c>
    </row>
    <row r="1348" customFormat="false" ht="15" hidden="false" customHeight="false" outlineLevel="0" collapsed="false">
      <c r="A1348" s="2" t="n">
        <v>1340</v>
      </c>
      <c r="B1348" s="53" t="n">
        <f aca="true">NORMINV(RAND(),0,B$7)</f>
        <v>-1.50512646849302</v>
      </c>
      <c r="C1348" s="53" t="n">
        <f aca="true">NORMINV(RAND(),0,C$7)</f>
        <v>-0.347024425000732</v>
      </c>
      <c r="D1348" s="53" t="n">
        <f aca="true">NORMINV(RAND(),0,D$7)</f>
        <v>1.11441645344451</v>
      </c>
      <c r="E1348" s="53" t="n">
        <f aca="true">NORMINV(RAND(),0,E$7)</f>
        <v>-0.308803827373615</v>
      </c>
      <c r="F1348" s="53" t="n">
        <f aca="true">NORMINV(RAND(),0,F$7)</f>
        <v>-0.260651818375879</v>
      </c>
      <c r="G1348" s="53" t="n">
        <f aca="true">NORMINV(RAND(),0,G$7)</f>
        <v>-2.16134307817629</v>
      </c>
      <c r="H1348" s="53" t="n">
        <f aca="true">NORMINV(RAND(),0,H$7)</f>
        <v>-0.274096362610333</v>
      </c>
      <c r="I1348" s="53" t="n">
        <f aca="false">SUM(B1348:H1348)</f>
        <v>-3.74262952658536</v>
      </c>
      <c r="J1348" s="53" t="n">
        <f aca="true">NORMINV(RAND(),0,J$7)</f>
        <v>3.67144866438251</v>
      </c>
      <c r="K1348" s="53" t="n">
        <f aca="true">NORMINV(RAND(),0,K$7)</f>
        <v>-1.18113964673138</v>
      </c>
      <c r="L1348" s="53" t="n">
        <f aca="true">NORMINV(RAND(),0,L$7)</f>
        <v>-0.108307768596408</v>
      </c>
      <c r="M1348" s="53" t="n">
        <f aca="true">NORMINV(RAND(),0,M$7)</f>
        <v>-0.0995261599554999</v>
      </c>
      <c r="N1348" s="53" t="n">
        <f aca="true">NORMINV(RAND(),0,N$7)</f>
        <v>-0.278198569847845</v>
      </c>
      <c r="O1348" s="53" t="n">
        <f aca="false">SUM(J1348:N1348)</f>
        <v>2.00427651925137</v>
      </c>
    </row>
    <row r="1349" customFormat="false" ht="15" hidden="false" customHeight="false" outlineLevel="0" collapsed="false">
      <c r="A1349" s="2" t="n">
        <v>1341</v>
      </c>
      <c r="B1349" s="53" t="n">
        <f aca="true">NORMINV(RAND(),0,B$7)</f>
        <v>0.0377097779935059</v>
      </c>
      <c r="C1349" s="53" t="n">
        <f aca="true">NORMINV(RAND(),0,C$7)</f>
        <v>0.0580418844038089</v>
      </c>
      <c r="D1349" s="53" t="n">
        <f aca="true">NORMINV(RAND(),0,D$7)</f>
        <v>1.80052302851499</v>
      </c>
      <c r="E1349" s="53" t="n">
        <f aca="true">NORMINV(RAND(),0,E$7)</f>
        <v>-0.174199019999539</v>
      </c>
      <c r="F1349" s="53" t="n">
        <f aca="true">NORMINV(RAND(),0,F$7)</f>
        <v>0.187305397564138</v>
      </c>
      <c r="G1349" s="53" t="n">
        <f aca="true">NORMINV(RAND(),0,G$7)</f>
        <v>-0.760572203325886</v>
      </c>
      <c r="H1349" s="53" t="n">
        <f aca="true">NORMINV(RAND(),0,H$7)</f>
        <v>1.06646521979509</v>
      </c>
      <c r="I1349" s="53" t="n">
        <f aca="false">SUM(B1349:H1349)</f>
        <v>2.21527408494611</v>
      </c>
      <c r="J1349" s="53" t="n">
        <f aca="true">NORMINV(RAND(),0,J$7)</f>
        <v>-1.57089902078592</v>
      </c>
      <c r="K1349" s="53" t="n">
        <f aca="true">NORMINV(RAND(),0,K$7)</f>
        <v>0.704671327438922</v>
      </c>
      <c r="L1349" s="53" t="n">
        <f aca="true">NORMINV(RAND(),0,L$7)</f>
        <v>-0.580220136097663</v>
      </c>
      <c r="M1349" s="53" t="n">
        <f aca="true">NORMINV(RAND(),0,M$7)</f>
        <v>0.0288643446972642</v>
      </c>
      <c r="N1349" s="53" t="n">
        <f aca="true">NORMINV(RAND(),0,N$7)</f>
        <v>-0.453319122287654</v>
      </c>
      <c r="O1349" s="53" t="n">
        <f aca="false">SUM(J1349:N1349)</f>
        <v>-1.87090260703505</v>
      </c>
    </row>
    <row r="1350" customFormat="false" ht="15" hidden="false" customHeight="false" outlineLevel="0" collapsed="false">
      <c r="A1350" s="2" t="n">
        <v>1342</v>
      </c>
      <c r="B1350" s="53" t="n">
        <f aca="true">NORMINV(RAND(),0,B$7)</f>
        <v>0.641752618790795</v>
      </c>
      <c r="C1350" s="53" t="n">
        <f aca="true">NORMINV(RAND(),0,C$7)</f>
        <v>-0.766834398340322</v>
      </c>
      <c r="D1350" s="53" t="n">
        <f aca="true">NORMINV(RAND(),0,D$7)</f>
        <v>-0.869132915529994</v>
      </c>
      <c r="E1350" s="53" t="n">
        <f aca="true">NORMINV(RAND(),0,E$7)</f>
        <v>-0.382944893364993</v>
      </c>
      <c r="F1350" s="53" t="n">
        <f aca="true">NORMINV(RAND(),0,F$7)</f>
        <v>-0.00747108509958896</v>
      </c>
      <c r="G1350" s="53" t="n">
        <f aca="true">NORMINV(RAND(),0,G$7)</f>
        <v>-0.0303461383226138</v>
      </c>
      <c r="H1350" s="53" t="n">
        <f aca="true">NORMINV(RAND(),0,H$7)</f>
        <v>0.115136246954776</v>
      </c>
      <c r="I1350" s="53" t="n">
        <f aca="false">SUM(B1350:H1350)</f>
        <v>-1.29984056491194</v>
      </c>
      <c r="J1350" s="53" t="n">
        <f aca="true">NORMINV(RAND(),0,J$7)</f>
        <v>-2.62169530019107</v>
      </c>
      <c r="K1350" s="53" t="n">
        <f aca="true">NORMINV(RAND(),0,K$7)</f>
        <v>-0.556165837853368</v>
      </c>
      <c r="L1350" s="53" t="n">
        <f aca="true">NORMINV(RAND(),0,L$7)</f>
        <v>-0.461867287331391</v>
      </c>
      <c r="M1350" s="53" t="n">
        <f aca="true">NORMINV(RAND(),0,M$7)</f>
        <v>-0.119906851644416</v>
      </c>
      <c r="N1350" s="53" t="n">
        <f aca="true">NORMINV(RAND(),0,N$7)</f>
        <v>-0.336080951943318</v>
      </c>
      <c r="O1350" s="53" t="n">
        <f aca="false">SUM(J1350:N1350)</f>
        <v>-4.09571622896356</v>
      </c>
    </row>
    <row r="1351" customFormat="false" ht="15" hidden="false" customHeight="false" outlineLevel="0" collapsed="false">
      <c r="A1351" s="2" t="n">
        <v>1343</v>
      </c>
      <c r="B1351" s="53" t="n">
        <f aca="true">NORMINV(RAND(),0,B$7)</f>
        <v>1.44938772621002</v>
      </c>
      <c r="C1351" s="53" t="n">
        <f aca="true">NORMINV(RAND(),0,C$7)</f>
        <v>-0.0452206981112973</v>
      </c>
      <c r="D1351" s="53" t="n">
        <f aca="true">NORMINV(RAND(),0,D$7)</f>
        <v>1.31490674848481</v>
      </c>
      <c r="E1351" s="53" t="n">
        <f aca="true">NORMINV(RAND(),0,E$7)</f>
        <v>0.30448964650619</v>
      </c>
      <c r="F1351" s="53" t="n">
        <f aca="true">NORMINV(RAND(),0,F$7)</f>
        <v>0.0714622398009724</v>
      </c>
      <c r="G1351" s="53" t="n">
        <f aca="true">NORMINV(RAND(),0,G$7)</f>
        <v>0.692635763039193</v>
      </c>
      <c r="H1351" s="53" t="n">
        <f aca="true">NORMINV(RAND(),0,H$7)</f>
        <v>-0.142578252040143</v>
      </c>
      <c r="I1351" s="53" t="n">
        <f aca="false">SUM(B1351:H1351)</f>
        <v>3.64508317388974</v>
      </c>
      <c r="J1351" s="53" t="n">
        <f aca="true">NORMINV(RAND(),0,J$7)</f>
        <v>-0.822359852717054</v>
      </c>
      <c r="K1351" s="53" t="n">
        <f aca="true">NORMINV(RAND(),0,K$7)</f>
        <v>0.456410507579381</v>
      </c>
      <c r="L1351" s="53" t="n">
        <f aca="true">NORMINV(RAND(),0,L$7)</f>
        <v>-0.213518242616775</v>
      </c>
      <c r="M1351" s="53" t="n">
        <f aca="true">NORMINV(RAND(),0,M$7)</f>
        <v>-0.00224097344686828</v>
      </c>
      <c r="N1351" s="53" t="n">
        <f aca="true">NORMINV(RAND(),0,N$7)</f>
        <v>-0.191647530075438</v>
      </c>
      <c r="O1351" s="53" t="n">
        <f aca="false">SUM(J1351:N1351)</f>
        <v>-0.773356091276755</v>
      </c>
    </row>
    <row r="1352" customFormat="false" ht="15" hidden="false" customHeight="false" outlineLevel="0" collapsed="false">
      <c r="A1352" s="2" t="n">
        <v>1344</v>
      </c>
      <c r="B1352" s="53" t="n">
        <f aca="true">NORMINV(RAND(),0,B$7)</f>
        <v>0.604291072096981</v>
      </c>
      <c r="C1352" s="53" t="n">
        <f aca="true">NORMINV(RAND(),0,C$7)</f>
        <v>0.23544721168402</v>
      </c>
      <c r="D1352" s="53" t="n">
        <f aca="true">NORMINV(RAND(),0,D$7)</f>
        <v>1.61656553581499</v>
      </c>
      <c r="E1352" s="53" t="n">
        <f aca="true">NORMINV(RAND(),0,E$7)</f>
        <v>-0.218290275740071</v>
      </c>
      <c r="F1352" s="53" t="n">
        <f aca="true">NORMINV(RAND(),0,F$7)</f>
        <v>0.129695479507456</v>
      </c>
      <c r="G1352" s="53" t="n">
        <f aca="true">NORMINV(RAND(),0,G$7)</f>
        <v>-0.683799165623827</v>
      </c>
      <c r="H1352" s="53" t="n">
        <f aca="true">NORMINV(RAND(),0,H$7)</f>
        <v>-0.10856894477681</v>
      </c>
      <c r="I1352" s="53" t="n">
        <f aca="false">SUM(B1352:H1352)</f>
        <v>1.57534091296274</v>
      </c>
      <c r="J1352" s="53" t="n">
        <f aca="true">NORMINV(RAND(),0,J$7)</f>
        <v>-0.943379062083834</v>
      </c>
      <c r="K1352" s="53" t="n">
        <f aca="true">NORMINV(RAND(),0,K$7)</f>
        <v>-0.393510361017003</v>
      </c>
      <c r="L1352" s="53" t="n">
        <f aca="true">NORMINV(RAND(),0,L$7)</f>
        <v>0.28691527832608</v>
      </c>
      <c r="M1352" s="53" t="n">
        <f aca="true">NORMINV(RAND(),0,M$7)</f>
        <v>0.0416636771703816</v>
      </c>
      <c r="N1352" s="53" t="n">
        <f aca="true">NORMINV(RAND(),0,N$7)</f>
        <v>-0.383237218724465</v>
      </c>
      <c r="O1352" s="53" t="n">
        <f aca="false">SUM(J1352:N1352)</f>
        <v>-1.39154768632884</v>
      </c>
    </row>
    <row r="1353" customFormat="false" ht="15" hidden="false" customHeight="false" outlineLevel="0" collapsed="false">
      <c r="A1353" s="2" t="n">
        <v>1345</v>
      </c>
      <c r="B1353" s="53" t="n">
        <f aca="true">NORMINV(RAND(),0,B$7)</f>
        <v>0.454431001792419</v>
      </c>
      <c r="C1353" s="53" t="n">
        <f aca="true">NORMINV(RAND(),0,C$7)</f>
        <v>1.8976024071532</v>
      </c>
      <c r="D1353" s="53" t="n">
        <f aca="true">NORMINV(RAND(),0,D$7)</f>
        <v>2.27916626638448</v>
      </c>
      <c r="E1353" s="53" t="n">
        <f aca="true">NORMINV(RAND(),0,E$7)</f>
        <v>0.24614094300434</v>
      </c>
      <c r="F1353" s="53" t="n">
        <f aca="true">NORMINV(RAND(),0,F$7)</f>
        <v>0.321946608813834</v>
      </c>
      <c r="G1353" s="53" t="n">
        <f aca="true">NORMINV(RAND(),0,G$7)</f>
        <v>-0.55583496905591</v>
      </c>
      <c r="H1353" s="53" t="n">
        <f aca="true">NORMINV(RAND(),0,H$7)</f>
        <v>0.0383932480566155</v>
      </c>
      <c r="I1353" s="53" t="n">
        <f aca="false">SUM(B1353:H1353)</f>
        <v>4.68184550614898</v>
      </c>
      <c r="J1353" s="53" t="n">
        <f aca="true">NORMINV(RAND(),0,J$7)</f>
        <v>-1.14970366517761</v>
      </c>
      <c r="K1353" s="53" t="n">
        <f aca="true">NORMINV(RAND(),0,K$7)</f>
        <v>0.507516949013226</v>
      </c>
      <c r="L1353" s="53" t="n">
        <f aca="true">NORMINV(RAND(),0,L$7)</f>
        <v>0.649981317872095</v>
      </c>
      <c r="M1353" s="53" t="n">
        <f aca="true">NORMINV(RAND(),0,M$7)</f>
        <v>-0.412245100317731</v>
      </c>
      <c r="N1353" s="53" t="n">
        <f aca="true">NORMINV(RAND(),0,N$7)</f>
        <v>-0.180108872699393</v>
      </c>
      <c r="O1353" s="53" t="n">
        <f aca="false">SUM(J1353:N1353)</f>
        <v>-0.584559371309417</v>
      </c>
    </row>
    <row r="1354" customFormat="false" ht="15" hidden="false" customHeight="false" outlineLevel="0" collapsed="false">
      <c r="A1354" s="2" t="n">
        <v>1346</v>
      </c>
      <c r="B1354" s="53" t="n">
        <f aca="true">NORMINV(RAND(),0,B$7)</f>
        <v>-0.404139134696509</v>
      </c>
      <c r="C1354" s="53" t="n">
        <f aca="true">NORMINV(RAND(),0,C$7)</f>
        <v>0.263657360490736</v>
      </c>
      <c r="D1354" s="53" t="n">
        <f aca="true">NORMINV(RAND(),0,D$7)</f>
        <v>0.0371936614704389</v>
      </c>
      <c r="E1354" s="53" t="n">
        <f aca="true">NORMINV(RAND(),0,E$7)</f>
        <v>0.272276119335658</v>
      </c>
      <c r="F1354" s="53" t="n">
        <f aca="true">NORMINV(RAND(),0,F$7)</f>
        <v>0.0636036597717787</v>
      </c>
      <c r="G1354" s="53" t="n">
        <f aca="true">NORMINV(RAND(),0,G$7)</f>
        <v>0.773734045828203</v>
      </c>
      <c r="H1354" s="53" t="n">
        <f aca="true">NORMINV(RAND(),0,H$7)</f>
        <v>-0.205151669872596</v>
      </c>
      <c r="I1354" s="53" t="n">
        <f aca="false">SUM(B1354:H1354)</f>
        <v>0.801174042327709</v>
      </c>
      <c r="J1354" s="53" t="n">
        <f aca="true">NORMINV(RAND(),0,J$7)</f>
        <v>-0.504277976298979</v>
      </c>
      <c r="K1354" s="53" t="n">
        <f aca="true">NORMINV(RAND(),0,K$7)</f>
        <v>0.367529937072394</v>
      </c>
      <c r="L1354" s="53" t="n">
        <f aca="true">NORMINV(RAND(),0,L$7)</f>
        <v>-0.712070786737779</v>
      </c>
      <c r="M1354" s="53" t="n">
        <f aca="true">NORMINV(RAND(),0,M$7)</f>
        <v>0.226700374077675</v>
      </c>
      <c r="N1354" s="53" t="n">
        <f aca="true">NORMINV(RAND(),0,N$7)</f>
        <v>-0.156774213739989</v>
      </c>
      <c r="O1354" s="53" t="n">
        <f aca="false">SUM(J1354:N1354)</f>
        <v>-0.778892665626677</v>
      </c>
    </row>
    <row r="1355" customFormat="false" ht="15" hidden="false" customHeight="false" outlineLevel="0" collapsed="false">
      <c r="A1355" s="2" t="n">
        <v>1347</v>
      </c>
      <c r="B1355" s="53" t="n">
        <f aca="true">NORMINV(RAND(),0,B$7)</f>
        <v>0.299289962989106</v>
      </c>
      <c r="C1355" s="53" t="n">
        <f aca="true">NORMINV(RAND(),0,C$7)</f>
        <v>-0.158661641697295</v>
      </c>
      <c r="D1355" s="53" t="n">
        <f aca="true">NORMINV(RAND(),0,D$7)</f>
        <v>-0.345332312457722</v>
      </c>
      <c r="E1355" s="53" t="n">
        <f aca="true">NORMINV(RAND(),0,E$7)</f>
        <v>-0.27845808928953</v>
      </c>
      <c r="F1355" s="53" t="n">
        <f aca="true">NORMINV(RAND(),0,F$7)</f>
        <v>0.166419616703656</v>
      </c>
      <c r="G1355" s="53" t="n">
        <f aca="true">NORMINV(RAND(),0,G$7)</f>
        <v>-1.14816290306395</v>
      </c>
      <c r="H1355" s="53" t="n">
        <f aca="true">NORMINV(RAND(),0,H$7)</f>
        <v>-0.228055064764545</v>
      </c>
      <c r="I1355" s="53" t="n">
        <f aca="false">SUM(B1355:H1355)</f>
        <v>-1.69296043158028</v>
      </c>
      <c r="J1355" s="53" t="n">
        <f aca="true">NORMINV(RAND(),0,J$7)</f>
        <v>0.813758855862094</v>
      </c>
      <c r="K1355" s="53" t="n">
        <f aca="true">NORMINV(RAND(),0,K$7)</f>
        <v>0.431861899222754</v>
      </c>
      <c r="L1355" s="53" t="n">
        <f aca="true">NORMINV(RAND(),0,L$7)</f>
        <v>-0.232014941790249</v>
      </c>
      <c r="M1355" s="53" t="n">
        <f aca="true">NORMINV(RAND(),0,M$7)</f>
        <v>0.193525863446256</v>
      </c>
      <c r="N1355" s="53" t="n">
        <f aca="true">NORMINV(RAND(),0,N$7)</f>
        <v>-0.430761433798383</v>
      </c>
      <c r="O1355" s="53" t="n">
        <f aca="false">SUM(J1355:N1355)</f>
        <v>0.776370242942472</v>
      </c>
    </row>
    <row r="1356" customFormat="false" ht="15" hidden="false" customHeight="false" outlineLevel="0" collapsed="false">
      <c r="A1356" s="2" t="n">
        <v>1348</v>
      </c>
      <c r="B1356" s="53" t="n">
        <f aca="true">NORMINV(RAND(),0,B$7)</f>
        <v>-0.687800763214188</v>
      </c>
      <c r="C1356" s="53" t="n">
        <f aca="true">NORMINV(RAND(),0,C$7)</f>
        <v>1.88469857972276</v>
      </c>
      <c r="D1356" s="53" t="n">
        <f aca="true">NORMINV(RAND(),0,D$7)</f>
        <v>4.3005506388526</v>
      </c>
      <c r="E1356" s="53" t="n">
        <f aca="true">NORMINV(RAND(),0,E$7)</f>
        <v>-0.0349434849305319</v>
      </c>
      <c r="F1356" s="53" t="n">
        <f aca="true">NORMINV(RAND(),0,F$7)</f>
        <v>-0.170191749081516</v>
      </c>
      <c r="G1356" s="53" t="n">
        <f aca="true">NORMINV(RAND(),0,G$7)</f>
        <v>0.861373944398306</v>
      </c>
      <c r="H1356" s="53" t="n">
        <f aca="true">NORMINV(RAND(),0,H$7)</f>
        <v>-0.040500608966409</v>
      </c>
      <c r="I1356" s="53" t="n">
        <f aca="false">SUM(B1356:H1356)</f>
        <v>6.11318655678103</v>
      </c>
      <c r="J1356" s="53" t="n">
        <f aca="true">NORMINV(RAND(),0,J$7)</f>
        <v>-0.445742955892971</v>
      </c>
      <c r="K1356" s="53" t="n">
        <f aca="true">NORMINV(RAND(),0,K$7)</f>
        <v>-0.568253090393258</v>
      </c>
      <c r="L1356" s="53" t="n">
        <f aca="true">NORMINV(RAND(),0,L$7)</f>
        <v>-0.11980625180175</v>
      </c>
      <c r="M1356" s="53" t="n">
        <f aca="true">NORMINV(RAND(),0,M$7)</f>
        <v>0.152845267584524</v>
      </c>
      <c r="N1356" s="53" t="n">
        <f aca="true">NORMINV(RAND(),0,N$7)</f>
        <v>-0.354012737542498</v>
      </c>
      <c r="O1356" s="53" t="n">
        <f aca="false">SUM(J1356:N1356)</f>
        <v>-1.33496976804595</v>
      </c>
    </row>
    <row r="1357" customFormat="false" ht="15" hidden="false" customHeight="false" outlineLevel="0" collapsed="false">
      <c r="A1357" s="2" t="n">
        <v>1349</v>
      </c>
      <c r="B1357" s="53" t="n">
        <f aca="true">NORMINV(RAND(),0,B$7)</f>
        <v>1.61074660696671</v>
      </c>
      <c r="C1357" s="53" t="n">
        <f aca="true">NORMINV(RAND(),0,C$7)</f>
        <v>0.960303616117941</v>
      </c>
      <c r="D1357" s="53" t="n">
        <f aca="true">NORMINV(RAND(),0,D$7)</f>
        <v>1.95354514210635</v>
      </c>
      <c r="E1357" s="53" t="n">
        <f aca="true">NORMINV(RAND(),0,E$7)</f>
        <v>0.0996075346312831</v>
      </c>
      <c r="F1357" s="53" t="n">
        <f aca="true">NORMINV(RAND(),0,F$7)</f>
        <v>-0.0141952609939403</v>
      </c>
      <c r="G1357" s="53" t="n">
        <f aca="true">NORMINV(RAND(),0,G$7)</f>
        <v>1.82992719269172</v>
      </c>
      <c r="H1357" s="53" t="n">
        <f aca="true">NORMINV(RAND(),0,H$7)</f>
        <v>-0.325326042560664</v>
      </c>
      <c r="I1357" s="53" t="n">
        <f aca="false">SUM(B1357:H1357)</f>
        <v>6.1146087889594</v>
      </c>
      <c r="J1357" s="53" t="n">
        <f aca="true">NORMINV(RAND(),0,J$7)</f>
        <v>2.36558224485752</v>
      </c>
      <c r="K1357" s="53" t="n">
        <f aca="true">NORMINV(RAND(),0,K$7)</f>
        <v>1.22364132240211</v>
      </c>
      <c r="L1357" s="53" t="n">
        <f aca="true">NORMINV(RAND(),0,L$7)</f>
        <v>0.0951243376101506</v>
      </c>
      <c r="M1357" s="53" t="n">
        <f aca="true">NORMINV(RAND(),0,M$7)</f>
        <v>0.125913257983892</v>
      </c>
      <c r="N1357" s="53" t="n">
        <f aca="true">NORMINV(RAND(),0,N$7)</f>
        <v>-0.441802189236751</v>
      </c>
      <c r="O1357" s="53" t="n">
        <f aca="false">SUM(J1357:N1357)</f>
        <v>3.36845897361692</v>
      </c>
    </row>
    <row r="1358" customFormat="false" ht="15" hidden="false" customHeight="false" outlineLevel="0" collapsed="false">
      <c r="A1358" s="2" t="n">
        <v>1350</v>
      </c>
      <c r="B1358" s="53" t="n">
        <f aca="true">NORMINV(RAND(),0,B$7)</f>
        <v>1.3092921717193</v>
      </c>
      <c r="C1358" s="53" t="n">
        <f aca="true">NORMINV(RAND(),0,C$7)</f>
        <v>0.952551466368355</v>
      </c>
      <c r="D1358" s="53" t="n">
        <f aca="true">NORMINV(RAND(),0,D$7)</f>
        <v>1.36115582238656</v>
      </c>
      <c r="E1358" s="53" t="n">
        <f aca="true">NORMINV(RAND(),0,E$7)</f>
        <v>-0.275868628007928</v>
      </c>
      <c r="F1358" s="53" t="n">
        <f aca="true">NORMINV(RAND(),0,F$7)</f>
        <v>0.361333578036165</v>
      </c>
      <c r="G1358" s="53" t="n">
        <f aca="true">NORMINV(RAND(),0,G$7)</f>
        <v>1.13565105295525</v>
      </c>
      <c r="H1358" s="53" t="n">
        <f aca="true">NORMINV(RAND(),0,H$7)</f>
        <v>-0.100321490443818</v>
      </c>
      <c r="I1358" s="53" t="n">
        <f aca="false">SUM(B1358:H1358)</f>
        <v>4.74379397301389</v>
      </c>
      <c r="J1358" s="53" t="n">
        <f aca="true">NORMINV(RAND(),0,J$7)</f>
        <v>-3.63389757241187</v>
      </c>
      <c r="K1358" s="53" t="n">
        <f aca="true">NORMINV(RAND(),0,K$7)</f>
        <v>0.612184134587346</v>
      </c>
      <c r="L1358" s="53" t="n">
        <f aca="true">NORMINV(RAND(),0,L$7)</f>
        <v>0.00160272904381674</v>
      </c>
      <c r="M1358" s="53" t="n">
        <f aca="true">NORMINV(RAND(),0,M$7)</f>
        <v>-0.015911465291485</v>
      </c>
      <c r="N1358" s="53" t="n">
        <f aca="true">NORMINV(RAND(),0,N$7)</f>
        <v>0.620853692944509</v>
      </c>
      <c r="O1358" s="53" t="n">
        <f aca="false">SUM(J1358:N1358)</f>
        <v>-2.41516848112768</v>
      </c>
    </row>
    <row r="1359" customFormat="false" ht="15" hidden="false" customHeight="false" outlineLevel="0" collapsed="false">
      <c r="A1359" s="2" t="n">
        <v>1351</v>
      </c>
      <c r="B1359" s="53" t="n">
        <f aca="true">NORMINV(RAND(),0,B$7)</f>
        <v>1.13119319125911</v>
      </c>
      <c r="C1359" s="53" t="n">
        <f aca="true">NORMINV(RAND(),0,C$7)</f>
        <v>-0.984705187495797</v>
      </c>
      <c r="D1359" s="53" t="n">
        <f aca="true">NORMINV(RAND(),0,D$7)</f>
        <v>-2.65760478333211</v>
      </c>
      <c r="E1359" s="53" t="n">
        <f aca="true">NORMINV(RAND(),0,E$7)</f>
        <v>0.078685350944754</v>
      </c>
      <c r="F1359" s="53" t="n">
        <f aca="true">NORMINV(RAND(),0,F$7)</f>
        <v>0.276348359282694</v>
      </c>
      <c r="G1359" s="53" t="n">
        <f aca="true">NORMINV(RAND(),0,G$7)</f>
        <v>0.772869412490474</v>
      </c>
      <c r="H1359" s="53" t="n">
        <f aca="true">NORMINV(RAND(),0,H$7)</f>
        <v>-0.45849717116225</v>
      </c>
      <c r="I1359" s="53" t="n">
        <f aca="false">SUM(B1359:H1359)</f>
        <v>-1.84171082801312</v>
      </c>
      <c r="J1359" s="53" t="n">
        <f aca="true">NORMINV(RAND(),0,J$7)</f>
        <v>1.03591109503187</v>
      </c>
      <c r="K1359" s="53" t="n">
        <f aca="true">NORMINV(RAND(),0,K$7)</f>
        <v>-0.602806402757665</v>
      </c>
      <c r="L1359" s="53" t="n">
        <f aca="true">NORMINV(RAND(),0,L$7)</f>
        <v>-0.509661283210871</v>
      </c>
      <c r="M1359" s="53" t="n">
        <f aca="true">NORMINV(RAND(),0,M$7)</f>
        <v>-0.225509478263679</v>
      </c>
      <c r="N1359" s="53" t="n">
        <f aca="true">NORMINV(RAND(),0,N$7)</f>
        <v>0.412984677337066</v>
      </c>
      <c r="O1359" s="53" t="n">
        <f aca="false">SUM(J1359:N1359)</f>
        <v>0.110918608136725</v>
      </c>
    </row>
    <row r="1360" customFormat="false" ht="15" hidden="false" customHeight="false" outlineLevel="0" collapsed="false">
      <c r="A1360" s="2" t="n">
        <v>1352</v>
      </c>
      <c r="B1360" s="53" t="n">
        <f aca="true">NORMINV(RAND(),0,B$7)</f>
        <v>-1.68988232310624</v>
      </c>
      <c r="C1360" s="53" t="n">
        <f aca="true">NORMINV(RAND(),0,C$7)</f>
        <v>-0.506390454508519</v>
      </c>
      <c r="D1360" s="53" t="n">
        <f aca="true">NORMINV(RAND(),0,D$7)</f>
        <v>-0.389408432217921</v>
      </c>
      <c r="E1360" s="53" t="n">
        <f aca="true">NORMINV(RAND(),0,E$7)</f>
        <v>0.0668305286824981</v>
      </c>
      <c r="F1360" s="53" t="n">
        <f aca="true">NORMINV(RAND(),0,F$7)</f>
        <v>0.0129349061567396</v>
      </c>
      <c r="G1360" s="53" t="n">
        <f aca="true">NORMINV(RAND(),0,G$7)</f>
        <v>-2.52128990366191</v>
      </c>
      <c r="H1360" s="53" t="n">
        <f aca="true">NORMINV(RAND(),0,H$7)</f>
        <v>-0.0470545668030207</v>
      </c>
      <c r="I1360" s="53" t="n">
        <f aca="false">SUM(B1360:H1360)</f>
        <v>-5.07426024545837</v>
      </c>
      <c r="J1360" s="53" t="n">
        <f aca="true">NORMINV(RAND(),0,J$7)</f>
        <v>-4.0428562671877</v>
      </c>
      <c r="K1360" s="53" t="n">
        <f aca="true">NORMINV(RAND(),0,K$7)</f>
        <v>-0.308981912453294</v>
      </c>
      <c r="L1360" s="53" t="n">
        <f aca="true">NORMINV(RAND(),0,L$7)</f>
        <v>-0.0199933078769501</v>
      </c>
      <c r="M1360" s="53" t="n">
        <f aca="true">NORMINV(RAND(),0,M$7)</f>
        <v>0.138685857902986</v>
      </c>
      <c r="N1360" s="53" t="n">
        <f aca="true">NORMINV(RAND(),0,N$7)</f>
        <v>0.191767941141419</v>
      </c>
      <c r="O1360" s="53" t="n">
        <f aca="false">SUM(J1360:N1360)</f>
        <v>-4.04137768847354</v>
      </c>
    </row>
    <row r="1361" customFormat="false" ht="15" hidden="false" customHeight="false" outlineLevel="0" collapsed="false">
      <c r="A1361" s="2" t="n">
        <v>1353</v>
      </c>
      <c r="B1361" s="53" t="n">
        <f aca="true">NORMINV(RAND(),0,B$7)</f>
        <v>-0.57919138346441</v>
      </c>
      <c r="C1361" s="53" t="n">
        <f aca="true">NORMINV(RAND(),0,C$7)</f>
        <v>-1.03656727254858</v>
      </c>
      <c r="D1361" s="53" t="n">
        <f aca="true">NORMINV(RAND(),0,D$7)</f>
        <v>-2.19982610449612</v>
      </c>
      <c r="E1361" s="53" t="n">
        <f aca="true">NORMINV(RAND(),0,E$7)</f>
        <v>0.576914573530711</v>
      </c>
      <c r="F1361" s="53" t="n">
        <f aca="true">NORMINV(RAND(),0,F$7)</f>
        <v>0.175777800957033</v>
      </c>
      <c r="G1361" s="53" t="n">
        <f aca="true">NORMINV(RAND(),0,G$7)</f>
        <v>0.60086572496801</v>
      </c>
      <c r="H1361" s="53" t="n">
        <f aca="true">NORMINV(RAND(),0,H$7)</f>
        <v>0.00915821526061164</v>
      </c>
      <c r="I1361" s="53" t="n">
        <f aca="false">SUM(B1361:H1361)</f>
        <v>-2.45286844579275</v>
      </c>
      <c r="J1361" s="53" t="n">
        <f aca="true">NORMINV(RAND(),0,J$7)</f>
        <v>-0.0183835048405955</v>
      </c>
      <c r="K1361" s="53" t="n">
        <f aca="true">NORMINV(RAND(),0,K$7)</f>
        <v>-2.18209622829094</v>
      </c>
      <c r="L1361" s="53" t="n">
        <f aca="true">NORMINV(RAND(),0,L$7)</f>
        <v>0.253770347205375</v>
      </c>
      <c r="M1361" s="53" t="n">
        <f aca="true">NORMINV(RAND(),0,M$7)</f>
        <v>0.0306141422079334</v>
      </c>
      <c r="N1361" s="53" t="n">
        <f aca="true">NORMINV(RAND(),0,N$7)</f>
        <v>-0.283294488070846</v>
      </c>
      <c r="O1361" s="53" t="n">
        <f aca="false">SUM(J1361:N1361)</f>
        <v>-2.19938973178907</v>
      </c>
    </row>
    <row r="1362" customFormat="false" ht="15" hidden="false" customHeight="false" outlineLevel="0" collapsed="false">
      <c r="A1362" s="2" t="n">
        <v>1354</v>
      </c>
      <c r="B1362" s="53" t="n">
        <f aca="true">NORMINV(RAND(),0,B$7)</f>
        <v>-0.139746180309267</v>
      </c>
      <c r="C1362" s="53" t="n">
        <f aca="true">NORMINV(RAND(),0,C$7)</f>
        <v>0.515872849255177</v>
      </c>
      <c r="D1362" s="53" t="n">
        <f aca="true">NORMINV(RAND(),0,D$7)</f>
        <v>-1.02066466602391</v>
      </c>
      <c r="E1362" s="53" t="n">
        <f aca="true">NORMINV(RAND(),0,E$7)</f>
        <v>-0.461674097416404</v>
      </c>
      <c r="F1362" s="53" t="n">
        <f aca="true">NORMINV(RAND(),0,F$7)</f>
        <v>0.23659124925971</v>
      </c>
      <c r="G1362" s="53" t="n">
        <f aca="true">NORMINV(RAND(),0,G$7)</f>
        <v>1.21465191167506</v>
      </c>
      <c r="H1362" s="53" t="n">
        <f aca="true">NORMINV(RAND(),0,H$7)</f>
        <v>-0.438892229549528</v>
      </c>
      <c r="I1362" s="53" t="n">
        <f aca="false">SUM(B1362:H1362)</f>
        <v>-0.0938611631091655</v>
      </c>
      <c r="J1362" s="53" t="n">
        <f aca="true">NORMINV(RAND(),0,J$7)</f>
        <v>-0.563848897914551</v>
      </c>
      <c r="K1362" s="53" t="n">
        <f aca="true">NORMINV(RAND(),0,K$7)</f>
        <v>1.80436041942227</v>
      </c>
      <c r="L1362" s="53" t="n">
        <f aca="true">NORMINV(RAND(),0,L$7)</f>
        <v>-0.108778951236795</v>
      </c>
      <c r="M1362" s="53" t="n">
        <f aca="true">NORMINV(RAND(),0,M$7)</f>
        <v>0.156190083616211</v>
      </c>
      <c r="N1362" s="53" t="n">
        <f aca="true">NORMINV(RAND(),0,N$7)</f>
        <v>-0.427622630465627</v>
      </c>
      <c r="O1362" s="53" t="n">
        <f aca="false">SUM(J1362:N1362)</f>
        <v>0.860300023421512</v>
      </c>
    </row>
    <row r="1363" customFormat="false" ht="15" hidden="false" customHeight="false" outlineLevel="0" collapsed="false">
      <c r="A1363" s="2" t="n">
        <v>1355</v>
      </c>
      <c r="B1363" s="53" t="n">
        <f aca="true">NORMINV(RAND(),0,B$7)</f>
        <v>-0.0868860330951756</v>
      </c>
      <c r="C1363" s="53" t="n">
        <f aca="true">NORMINV(RAND(),0,C$7)</f>
        <v>-1.53070985336151</v>
      </c>
      <c r="D1363" s="53" t="n">
        <f aca="true">NORMINV(RAND(),0,D$7)</f>
        <v>0.653402931380275</v>
      </c>
      <c r="E1363" s="53" t="n">
        <f aca="true">NORMINV(RAND(),0,E$7)</f>
        <v>-0.0597885410092949</v>
      </c>
      <c r="F1363" s="53" t="n">
        <f aca="true">NORMINV(RAND(),0,F$7)</f>
        <v>0.268116119410403</v>
      </c>
      <c r="G1363" s="53" t="n">
        <f aca="true">NORMINV(RAND(),0,G$7)</f>
        <v>-1.35756821733426</v>
      </c>
      <c r="H1363" s="53" t="n">
        <f aca="true">NORMINV(RAND(),0,H$7)</f>
        <v>-0.0959570124356245</v>
      </c>
      <c r="I1363" s="53" t="n">
        <f aca="false">SUM(B1363:H1363)</f>
        <v>-2.20939060644519</v>
      </c>
      <c r="J1363" s="53" t="n">
        <f aca="true">NORMINV(RAND(),0,J$7)</f>
        <v>-0.72784128182821</v>
      </c>
      <c r="K1363" s="53" t="n">
        <f aca="true">NORMINV(RAND(),0,K$7)</f>
        <v>0.29045610832071</v>
      </c>
      <c r="L1363" s="53" t="n">
        <f aca="true">NORMINV(RAND(),0,L$7)</f>
        <v>-0.605961549229121</v>
      </c>
      <c r="M1363" s="53" t="n">
        <f aca="true">NORMINV(RAND(),0,M$7)</f>
        <v>0.0302516979548516</v>
      </c>
      <c r="N1363" s="53" t="n">
        <f aca="true">NORMINV(RAND(),0,N$7)</f>
        <v>-0.268165723849909</v>
      </c>
      <c r="O1363" s="53" t="n">
        <f aca="false">SUM(J1363:N1363)</f>
        <v>-1.28126074863168</v>
      </c>
    </row>
    <row r="1364" customFormat="false" ht="15" hidden="false" customHeight="false" outlineLevel="0" collapsed="false">
      <c r="A1364" s="2" t="n">
        <v>1356</v>
      </c>
      <c r="B1364" s="53" t="n">
        <f aca="true">NORMINV(RAND(),0,B$7)</f>
        <v>1.47873536853782</v>
      </c>
      <c r="C1364" s="53" t="n">
        <f aca="true">NORMINV(RAND(),0,C$7)</f>
        <v>1.30486441257777</v>
      </c>
      <c r="D1364" s="53" t="n">
        <f aca="true">NORMINV(RAND(),0,D$7)</f>
        <v>3.26490552858102</v>
      </c>
      <c r="E1364" s="53" t="n">
        <f aca="true">NORMINV(RAND(),0,E$7)</f>
        <v>-0.132151541243539</v>
      </c>
      <c r="F1364" s="53" t="n">
        <f aca="true">NORMINV(RAND(),0,F$7)</f>
        <v>-0.111264751848393</v>
      </c>
      <c r="G1364" s="53" t="n">
        <f aca="true">NORMINV(RAND(),0,G$7)</f>
        <v>0.0372419548802971</v>
      </c>
      <c r="H1364" s="53" t="n">
        <f aca="true">NORMINV(RAND(),0,H$7)</f>
        <v>0.121622525661027</v>
      </c>
      <c r="I1364" s="53" t="n">
        <f aca="false">SUM(B1364:H1364)</f>
        <v>5.963953497146</v>
      </c>
      <c r="J1364" s="53" t="n">
        <f aca="true">NORMINV(RAND(),0,J$7)</f>
        <v>-1.82513759963225</v>
      </c>
      <c r="K1364" s="53" t="n">
        <f aca="true">NORMINV(RAND(),0,K$7)</f>
        <v>-0.660170447052726</v>
      </c>
      <c r="L1364" s="53" t="n">
        <f aca="true">NORMINV(RAND(),0,L$7)</f>
        <v>0.152592847807896</v>
      </c>
      <c r="M1364" s="53" t="n">
        <f aca="true">NORMINV(RAND(),0,M$7)</f>
        <v>0.185907858800527</v>
      </c>
      <c r="N1364" s="53" t="n">
        <f aca="true">NORMINV(RAND(),0,N$7)</f>
        <v>-0.176250704561725</v>
      </c>
      <c r="O1364" s="53" t="n">
        <f aca="false">SUM(J1364:N1364)</f>
        <v>-2.32305804463828</v>
      </c>
    </row>
    <row r="1365" customFormat="false" ht="15" hidden="false" customHeight="false" outlineLevel="0" collapsed="false">
      <c r="A1365" s="2" t="n">
        <v>1357</v>
      </c>
      <c r="B1365" s="53" t="n">
        <f aca="true">NORMINV(RAND(),0,B$7)</f>
        <v>1.7075137648617</v>
      </c>
      <c r="C1365" s="53" t="n">
        <f aca="true">NORMINV(RAND(),0,C$7)</f>
        <v>-1.96124865453778</v>
      </c>
      <c r="D1365" s="53" t="n">
        <f aca="true">NORMINV(RAND(),0,D$7)</f>
        <v>1.49232896991097</v>
      </c>
      <c r="E1365" s="53" t="n">
        <f aca="true">NORMINV(RAND(),0,E$7)</f>
        <v>-0.183974810846799</v>
      </c>
      <c r="F1365" s="53" t="n">
        <f aca="true">NORMINV(RAND(),0,F$7)</f>
        <v>-0.221187726340669</v>
      </c>
      <c r="G1365" s="53" t="n">
        <f aca="true">NORMINV(RAND(),0,G$7)</f>
        <v>2.41145492724044</v>
      </c>
      <c r="H1365" s="53" t="n">
        <f aca="true">NORMINV(RAND(),0,H$7)</f>
        <v>0.435914452137854</v>
      </c>
      <c r="I1365" s="53" t="n">
        <f aca="false">SUM(B1365:H1365)</f>
        <v>3.68080092242571</v>
      </c>
      <c r="J1365" s="53" t="n">
        <f aca="true">NORMINV(RAND(),0,J$7)</f>
        <v>-0.375555347437362</v>
      </c>
      <c r="K1365" s="53" t="n">
        <f aca="true">NORMINV(RAND(),0,K$7)</f>
        <v>-0.264517548313356</v>
      </c>
      <c r="L1365" s="53" t="n">
        <f aca="true">NORMINV(RAND(),0,L$7)</f>
        <v>0.56634447432598</v>
      </c>
      <c r="M1365" s="53" t="n">
        <f aca="true">NORMINV(RAND(),0,M$7)</f>
        <v>-0.0686880093353925</v>
      </c>
      <c r="N1365" s="53" t="n">
        <f aca="true">NORMINV(RAND(),0,N$7)</f>
        <v>0.438007713103263</v>
      </c>
      <c r="O1365" s="53" t="n">
        <f aca="false">SUM(J1365:N1365)</f>
        <v>0.295591282343132</v>
      </c>
    </row>
    <row r="1366" customFormat="false" ht="15" hidden="false" customHeight="false" outlineLevel="0" collapsed="false">
      <c r="A1366" s="2" t="n">
        <v>1358</v>
      </c>
      <c r="B1366" s="53" t="n">
        <f aca="true">NORMINV(RAND(),0,B$7)</f>
        <v>1.53094338394894</v>
      </c>
      <c r="C1366" s="53" t="n">
        <f aca="true">NORMINV(RAND(),0,C$7)</f>
        <v>1.69029995403021</v>
      </c>
      <c r="D1366" s="53" t="n">
        <f aca="true">NORMINV(RAND(),0,D$7)</f>
        <v>2.1105612818356</v>
      </c>
      <c r="E1366" s="53" t="n">
        <f aca="true">NORMINV(RAND(),0,E$7)</f>
        <v>0.0374052697183081</v>
      </c>
      <c r="F1366" s="53" t="n">
        <f aca="true">NORMINV(RAND(),0,F$7)</f>
        <v>-0.4755807574359</v>
      </c>
      <c r="G1366" s="53" t="n">
        <f aca="true">NORMINV(RAND(),0,G$7)</f>
        <v>-0.316790291808113</v>
      </c>
      <c r="H1366" s="53" t="n">
        <f aca="true">NORMINV(RAND(),0,H$7)</f>
        <v>0.316276332443897</v>
      </c>
      <c r="I1366" s="53" t="n">
        <f aca="false">SUM(B1366:H1366)</f>
        <v>4.89311517273295</v>
      </c>
      <c r="J1366" s="53" t="n">
        <f aca="true">NORMINV(RAND(),0,J$7)</f>
        <v>-0.878123511762431</v>
      </c>
      <c r="K1366" s="53" t="n">
        <f aca="true">NORMINV(RAND(),0,K$7)</f>
        <v>0.440900181575733</v>
      </c>
      <c r="L1366" s="53" t="n">
        <f aca="true">NORMINV(RAND(),0,L$7)</f>
        <v>0.400650062443818</v>
      </c>
      <c r="M1366" s="53" t="n">
        <f aca="true">NORMINV(RAND(),0,M$7)</f>
        <v>-0.368927453969847</v>
      </c>
      <c r="N1366" s="53" t="n">
        <f aca="true">NORMINV(RAND(),0,N$7)</f>
        <v>0.322328868106778</v>
      </c>
      <c r="O1366" s="53" t="n">
        <f aca="false">SUM(J1366:N1366)</f>
        <v>-0.0831718536059494</v>
      </c>
    </row>
    <row r="1367" customFormat="false" ht="15" hidden="false" customHeight="false" outlineLevel="0" collapsed="false">
      <c r="A1367" s="2" t="n">
        <v>1359</v>
      </c>
      <c r="B1367" s="53" t="n">
        <f aca="true">NORMINV(RAND(),0,B$7)</f>
        <v>2.20571978965944</v>
      </c>
      <c r="C1367" s="53" t="n">
        <f aca="true">NORMINV(RAND(),0,C$7)</f>
        <v>-0.164688050038834</v>
      </c>
      <c r="D1367" s="53" t="n">
        <f aca="true">NORMINV(RAND(),0,D$7)</f>
        <v>-2.98985359383196</v>
      </c>
      <c r="E1367" s="53" t="n">
        <f aca="true">NORMINV(RAND(),0,E$7)</f>
        <v>-0.0187339761126472</v>
      </c>
      <c r="F1367" s="53" t="n">
        <f aca="true">NORMINV(RAND(),0,F$7)</f>
        <v>-0.189196456905969</v>
      </c>
      <c r="G1367" s="53" t="n">
        <f aca="true">NORMINV(RAND(),0,G$7)</f>
        <v>0.3278131417637</v>
      </c>
      <c r="H1367" s="53" t="n">
        <f aca="true">NORMINV(RAND(),0,H$7)</f>
        <v>0.469319214129272</v>
      </c>
      <c r="I1367" s="53" t="n">
        <f aca="false">SUM(B1367:H1367)</f>
        <v>-0.359619931337</v>
      </c>
      <c r="J1367" s="53" t="n">
        <f aca="true">NORMINV(RAND(),0,J$7)</f>
        <v>-0.92977732953368</v>
      </c>
      <c r="K1367" s="53" t="n">
        <f aca="true">NORMINV(RAND(),0,K$7)</f>
        <v>0.786175074403909</v>
      </c>
      <c r="L1367" s="53" t="n">
        <f aca="true">NORMINV(RAND(),0,L$7)</f>
        <v>0.0473259260071044</v>
      </c>
      <c r="M1367" s="53" t="n">
        <f aca="true">NORMINV(RAND(),0,M$7)</f>
        <v>-0.284564777580695</v>
      </c>
      <c r="N1367" s="53" t="n">
        <f aca="true">NORMINV(RAND(),0,N$7)</f>
        <v>0.22704540582438</v>
      </c>
      <c r="O1367" s="53" t="n">
        <f aca="false">SUM(J1367:N1367)</f>
        <v>-0.153795700878982</v>
      </c>
    </row>
    <row r="1368" customFormat="false" ht="15" hidden="false" customHeight="false" outlineLevel="0" collapsed="false">
      <c r="A1368" s="2" t="n">
        <v>1360</v>
      </c>
      <c r="B1368" s="53" t="n">
        <f aca="true">NORMINV(RAND(),0,B$7)</f>
        <v>1.50091246304897</v>
      </c>
      <c r="C1368" s="53" t="n">
        <f aca="true">NORMINV(RAND(),0,C$7)</f>
        <v>-1.17784596458466</v>
      </c>
      <c r="D1368" s="53" t="n">
        <f aca="true">NORMINV(RAND(),0,D$7)</f>
        <v>-0.258644129811562</v>
      </c>
      <c r="E1368" s="53" t="n">
        <f aca="true">NORMINV(RAND(),0,E$7)</f>
        <v>0.181063599753121</v>
      </c>
      <c r="F1368" s="53" t="n">
        <f aca="true">NORMINV(RAND(),0,F$7)</f>
        <v>0.246930454540055</v>
      </c>
      <c r="G1368" s="53" t="n">
        <f aca="true">NORMINV(RAND(),0,G$7)</f>
        <v>0.966723066457398</v>
      </c>
      <c r="H1368" s="53" t="n">
        <f aca="true">NORMINV(RAND(),0,H$7)</f>
        <v>-0.19750979101324</v>
      </c>
      <c r="I1368" s="53" t="n">
        <f aca="false">SUM(B1368:H1368)</f>
        <v>1.26162969839009</v>
      </c>
      <c r="J1368" s="53" t="n">
        <f aca="true">NORMINV(RAND(),0,J$7)</f>
        <v>-1.23215204865032</v>
      </c>
      <c r="K1368" s="53" t="n">
        <f aca="true">NORMINV(RAND(),0,K$7)</f>
        <v>-0.0491235695454687</v>
      </c>
      <c r="L1368" s="53" t="n">
        <f aca="true">NORMINV(RAND(),0,L$7)</f>
        <v>0.499997087387656</v>
      </c>
      <c r="M1368" s="53" t="n">
        <f aca="true">NORMINV(RAND(),0,M$7)</f>
        <v>0.0989072272191107</v>
      </c>
      <c r="N1368" s="53" t="n">
        <f aca="true">NORMINV(RAND(),0,N$7)</f>
        <v>-0.0560679377731288</v>
      </c>
      <c r="O1368" s="53" t="n">
        <f aca="false">SUM(J1368:N1368)</f>
        <v>-0.738439241362152</v>
      </c>
    </row>
    <row r="1369" customFormat="false" ht="15" hidden="false" customHeight="false" outlineLevel="0" collapsed="false">
      <c r="A1369" s="2" t="n">
        <v>1361</v>
      </c>
      <c r="B1369" s="53" t="n">
        <f aca="true">NORMINV(RAND(),0,B$7)</f>
        <v>0.647861096382493</v>
      </c>
      <c r="C1369" s="53" t="n">
        <f aca="true">NORMINV(RAND(),0,C$7)</f>
        <v>-2.55623480632848</v>
      </c>
      <c r="D1369" s="53" t="n">
        <f aca="true">NORMINV(RAND(),0,D$7)</f>
        <v>-3.10436022687233</v>
      </c>
      <c r="E1369" s="53" t="n">
        <f aca="true">NORMINV(RAND(),0,E$7)</f>
        <v>-0.474400535418586</v>
      </c>
      <c r="F1369" s="53" t="n">
        <f aca="true">NORMINV(RAND(),0,F$7)</f>
        <v>0.596455298703584</v>
      </c>
      <c r="G1369" s="53" t="n">
        <f aca="true">NORMINV(RAND(),0,G$7)</f>
        <v>1.12939997626836</v>
      </c>
      <c r="H1369" s="53" t="n">
        <f aca="true">NORMINV(RAND(),0,H$7)</f>
        <v>0.241726968985986</v>
      </c>
      <c r="I1369" s="53" t="n">
        <f aca="false">SUM(B1369:H1369)</f>
        <v>-3.51955222827897</v>
      </c>
      <c r="J1369" s="53" t="n">
        <f aca="true">NORMINV(RAND(),0,J$7)</f>
        <v>-1.09978809644973</v>
      </c>
      <c r="K1369" s="53" t="n">
        <f aca="true">NORMINV(RAND(),0,K$7)</f>
        <v>-0.912060583154143</v>
      </c>
      <c r="L1369" s="53" t="n">
        <f aca="true">NORMINV(RAND(),0,L$7)</f>
        <v>-0.236698259608516</v>
      </c>
      <c r="M1369" s="53" t="n">
        <f aca="true">NORMINV(RAND(),0,M$7)</f>
        <v>-0.0548629369494403</v>
      </c>
      <c r="N1369" s="53" t="n">
        <f aca="true">NORMINV(RAND(),0,N$7)</f>
        <v>-0.412745982430657</v>
      </c>
      <c r="O1369" s="53" t="n">
        <f aca="false">SUM(J1369:N1369)</f>
        <v>-2.71615585859248</v>
      </c>
    </row>
    <row r="1370" customFormat="false" ht="15" hidden="false" customHeight="false" outlineLevel="0" collapsed="false">
      <c r="A1370" s="2" t="n">
        <v>1362</v>
      </c>
      <c r="B1370" s="53" t="n">
        <f aca="true">NORMINV(RAND(),0,B$7)</f>
        <v>-1.75443660449884</v>
      </c>
      <c r="C1370" s="53" t="n">
        <f aca="true">NORMINV(RAND(),0,C$7)</f>
        <v>0.9722175754915</v>
      </c>
      <c r="D1370" s="53" t="n">
        <f aca="true">NORMINV(RAND(),0,D$7)</f>
        <v>0.500627211290192</v>
      </c>
      <c r="E1370" s="53" t="n">
        <f aca="true">NORMINV(RAND(),0,E$7)</f>
        <v>-0.120201075904858</v>
      </c>
      <c r="F1370" s="53" t="n">
        <f aca="true">NORMINV(RAND(),0,F$7)</f>
        <v>0.232974493370056</v>
      </c>
      <c r="G1370" s="53" t="n">
        <f aca="true">NORMINV(RAND(),0,G$7)</f>
        <v>1.63216468047164</v>
      </c>
      <c r="H1370" s="53" t="n">
        <f aca="true">NORMINV(RAND(),0,H$7)</f>
        <v>0.40381131592905</v>
      </c>
      <c r="I1370" s="53" t="n">
        <f aca="false">SUM(B1370:H1370)</f>
        <v>1.86715759614874</v>
      </c>
      <c r="J1370" s="53" t="n">
        <f aca="true">NORMINV(RAND(),0,J$7)</f>
        <v>-3.55975622593116</v>
      </c>
      <c r="K1370" s="53" t="n">
        <f aca="true">NORMINV(RAND(),0,K$7)</f>
        <v>-1.05527221592171</v>
      </c>
      <c r="L1370" s="53" t="n">
        <f aca="true">NORMINV(RAND(),0,L$7)</f>
        <v>-0.183357714905705</v>
      </c>
      <c r="M1370" s="53" t="n">
        <f aca="true">NORMINV(RAND(),0,M$7)</f>
        <v>0.0792213698638383</v>
      </c>
      <c r="N1370" s="53" t="n">
        <f aca="true">NORMINV(RAND(),0,N$7)</f>
        <v>0.0739606502972678</v>
      </c>
      <c r="O1370" s="53" t="n">
        <f aca="false">SUM(J1370:N1370)</f>
        <v>-4.64520413659747</v>
      </c>
    </row>
    <row r="1371" customFormat="false" ht="15" hidden="false" customHeight="false" outlineLevel="0" collapsed="false">
      <c r="A1371" s="2" t="n">
        <v>1363</v>
      </c>
      <c r="B1371" s="53" t="n">
        <f aca="true">NORMINV(RAND(),0,B$7)</f>
        <v>3.28748384027109</v>
      </c>
      <c r="C1371" s="53" t="n">
        <f aca="true">NORMINV(RAND(),0,C$7)</f>
        <v>-0.874236439728878</v>
      </c>
      <c r="D1371" s="53" t="n">
        <f aca="true">NORMINV(RAND(),0,D$7)</f>
        <v>0.427875047607237</v>
      </c>
      <c r="E1371" s="53" t="n">
        <f aca="true">NORMINV(RAND(),0,E$7)</f>
        <v>0.469363146993379</v>
      </c>
      <c r="F1371" s="53" t="n">
        <f aca="true">NORMINV(RAND(),0,F$7)</f>
        <v>-0.350951615324334</v>
      </c>
      <c r="G1371" s="53" t="n">
        <f aca="true">NORMINV(RAND(),0,G$7)</f>
        <v>-0.543255751264619</v>
      </c>
      <c r="H1371" s="53" t="n">
        <f aca="true">NORMINV(RAND(),0,H$7)</f>
        <v>0.270792952981706</v>
      </c>
      <c r="I1371" s="53" t="n">
        <f aca="false">SUM(B1371:H1371)</f>
        <v>2.68707118153558</v>
      </c>
      <c r="J1371" s="53" t="n">
        <f aca="true">NORMINV(RAND(),0,J$7)</f>
        <v>0.377881088165417</v>
      </c>
      <c r="K1371" s="53" t="n">
        <f aca="true">NORMINV(RAND(),0,K$7)</f>
        <v>0.000677312581178597</v>
      </c>
      <c r="L1371" s="53" t="n">
        <f aca="true">NORMINV(RAND(),0,L$7)</f>
        <v>-0.627365746006286</v>
      </c>
      <c r="M1371" s="53" t="n">
        <f aca="true">NORMINV(RAND(),0,M$7)</f>
        <v>-0.184106734182635</v>
      </c>
      <c r="N1371" s="53" t="n">
        <f aca="true">NORMINV(RAND(),0,N$7)</f>
        <v>-0.576243389159213</v>
      </c>
      <c r="O1371" s="53" t="n">
        <f aca="false">SUM(J1371:N1371)</f>
        <v>-1.00915746860154</v>
      </c>
    </row>
    <row r="1372" customFormat="false" ht="15" hidden="false" customHeight="false" outlineLevel="0" collapsed="false">
      <c r="A1372" s="2" t="n">
        <v>1364</v>
      </c>
      <c r="B1372" s="53" t="n">
        <f aca="true">NORMINV(RAND(),0,B$7)</f>
        <v>1.23900424006969</v>
      </c>
      <c r="C1372" s="53" t="n">
        <f aca="true">NORMINV(RAND(),0,C$7)</f>
        <v>1.67804496729733</v>
      </c>
      <c r="D1372" s="53" t="n">
        <f aca="true">NORMINV(RAND(),0,D$7)</f>
        <v>1.63064294006406</v>
      </c>
      <c r="E1372" s="53" t="n">
        <f aca="true">NORMINV(RAND(),0,E$7)</f>
        <v>0.0542919881232389</v>
      </c>
      <c r="F1372" s="53" t="n">
        <f aca="true">NORMINV(RAND(),0,F$7)</f>
        <v>-0.0916974799446952</v>
      </c>
      <c r="G1372" s="53" t="n">
        <f aca="true">NORMINV(RAND(),0,G$7)</f>
        <v>1.18103558971452</v>
      </c>
      <c r="H1372" s="53" t="n">
        <f aca="true">NORMINV(RAND(),0,H$7)</f>
        <v>-0.52320813081478</v>
      </c>
      <c r="I1372" s="53" t="n">
        <f aca="false">SUM(B1372:H1372)</f>
        <v>5.16811411450936</v>
      </c>
      <c r="J1372" s="53" t="n">
        <f aca="true">NORMINV(RAND(),0,J$7)</f>
        <v>0.205297387369915</v>
      </c>
      <c r="K1372" s="53" t="n">
        <f aca="true">NORMINV(RAND(),0,K$7)</f>
        <v>1.06893266959005</v>
      </c>
      <c r="L1372" s="53" t="n">
        <f aca="true">NORMINV(RAND(),0,L$7)</f>
        <v>0.135361481842151</v>
      </c>
      <c r="M1372" s="53" t="n">
        <f aca="true">NORMINV(RAND(),0,M$7)</f>
        <v>0.0651161679622071</v>
      </c>
      <c r="N1372" s="53" t="n">
        <f aca="true">NORMINV(RAND(),0,N$7)</f>
        <v>0.640918909346889</v>
      </c>
      <c r="O1372" s="53" t="n">
        <f aca="false">SUM(J1372:N1372)</f>
        <v>2.11562661611121</v>
      </c>
    </row>
    <row r="1373" customFormat="false" ht="15" hidden="false" customHeight="false" outlineLevel="0" collapsed="false">
      <c r="A1373" s="2" t="n">
        <v>1365</v>
      </c>
      <c r="B1373" s="53" t="n">
        <f aca="true">NORMINV(RAND(),0,B$7)</f>
        <v>1.66598927923742</v>
      </c>
      <c r="C1373" s="53" t="n">
        <f aca="true">NORMINV(RAND(),0,C$7)</f>
        <v>1.18013357775323</v>
      </c>
      <c r="D1373" s="53" t="n">
        <f aca="true">NORMINV(RAND(),0,D$7)</f>
        <v>0.672911200674378</v>
      </c>
      <c r="E1373" s="53" t="n">
        <f aca="true">NORMINV(RAND(),0,E$7)</f>
        <v>0.100740841836765</v>
      </c>
      <c r="F1373" s="53" t="n">
        <f aca="true">NORMINV(RAND(),0,F$7)</f>
        <v>-0.219164002634432</v>
      </c>
      <c r="G1373" s="53" t="n">
        <f aca="true">NORMINV(RAND(),0,G$7)</f>
        <v>-1.36082921596102</v>
      </c>
      <c r="H1373" s="53" t="n">
        <f aca="true">NORMINV(RAND(),0,H$7)</f>
        <v>-0.71986181682436</v>
      </c>
      <c r="I1373" s="53" t="n">
        <f aca="false">SUM(B1373:H1373)</f>
        <v>1.31991986408198</v>
      </c>
      <c r="J1373" s="53" t="n">
        <f aca="true">NORMINV(RAND(),0,J$7)</f>
        <v>-1.54221129905976</v>
      </c>
      <c r="K1373" s="53" t="n">
        <f aca="true">NORMINV(RAND(),0,K$7)</f>
        <v>0.912218556109019</v>
      </c>
      <c r="L1373" s="53" t="n">
        <f aca="true">NORMINV(RAND(),0,L$7)</f>
        <v>0.535219730656741</v>
      </c>
      <c r="M1373" s="53" t="n">
        <f aca="true">NORMINV(RAND(),0,M$7)</f>
        <v>-0.165238758481406</v>
      </c>
      <c r="N1373" s="53" t="n">
        <f aca="true">NORMINV(RAND(),0,N$7)</f>
        <v>0.00371474015371497</v>
      </c>
      <c r="O1373" s="53" t="n">
        <f aca="false">SUM(J1373:N1373)</f>
        <v>-0.256297030621691</v>
      </c>
    </row>
    <row r="1374" customFormat="false" ht="15" hidden="false" customHeight="false" outlineLevel="0" collapsed="false">
      <c r="A1374" s="2" t="n">
        <v>1366</v>
      </c>
      <c r="B1374" s="53" t="n">
        <f aca="true">NORMINV(RAND(),0,B$7)</f>
        <v>0.183827124092588</v>
      </c>
      <c r="C1374" s="53" t="n">
        <f aca="true">NORMINV(RAND(),0,C$7)</f>
        <v>2.79147456416729</v>
      </c>
      <c r="D1374" s="53" t="n">
        <f aca="true">NORMINV(RAND(),0,D$7)</f>
        <v>4.04465972529042</v>
      </c>
      <c r="E1374" s="53" t="n">
        <f aca="true">NORMINV(RAND(),0,E$7)</f>
        <v>0.0372915100682429</v>
      </c>
      <c r="F1374" s="53" t="n">
        <f aca="true">NORMINV(RAND(),0,F$7)</f>
        <v>-0.136717512538551</v>
      </c>
      <c r="G1374" s="53" t="n">
        <f aca="true">NORMINV(RAND(),0,G$7)</f>
        <v>1.97195300430307</v>
      </c>
      <c r="H1374" s="53" t="n">
        <f aca="true">NORMINV(RAND(),0,H$7)</f>
        <v>0.437740811011089</v>
      </c>
      <c r="I1374" s="53" t="n">
        <f aca="false">SUM(B1374:H1374)</f>
        <v>9.33022922639414</v>
      </c>
      <c r="J1374" s="53" t="n">
        <f aca="true">NORMINV(RAND(),0,J$7)</f>
        <v>4.05320857633356</v>
      </c>
      <c r="K1374" s="53" t="n">
        <f aca="true">NORMINV(RAND(),0,K$7)</f>
        <v>0.831918565762646</v>
      </c>
      <c r="L1374" s="53" t="n">
        <f aca="true">NORMINV(RAND(),0,L$7)</f>
        <v>-0.11594513320817</v>
      </c>
      <c r="M1374" s="53" t="n">
        <f aca="true">NORMINV(RAND(),0,M$7)</f>
        <v>-0.0256753004830417</v>
      </c>
      <c r="N1374" s="53" t="n">
        <f aca="true">NORMINV(RAND(),0,N$7)</f>
        <v>-0.129615780595968</v>
      </c>
      <c r="O1374" s="53" t="n">
        <f aca="false">SUM(J1374:N1374)</f>
        <v>4.61389092780903</v>
      </c>
    </row>
    <row r="1375" customFormat="false" ht="15" hidden="false" customHeight="false" outlineLevel="0" collapsed="false">
      <c r="A1375" s="2" t="n">
        <v>1367</v>
      </c>
      <c r="B1375" s="53" t="n">
        <f aca="true">NORMINV(RAND(),0,B$7)</f>
        <v>2.09289884222161</v>
      </c>
      <c r="C1375" s="53" t="n">
        <f aca="true">NORMINV(RAND(),0,C$7)</f>
        <v>-0.441467051914894</v>
      </c>
      <c r="D1375" s="53" t="n">
        <f aca="true">NORMINV(RAND(),0,D$7)</f>
        <v>0.540249905637834</v>
      </c>
      <c r="E1375" s="53" t="n">
        <f aca="true">NORMINV(RAND(),0,E$7)</f>
        <v>-0.221443345790376</v>
      </c>
      <c r="F1375" s="53" t="n">
        <f aca="true">NORMINV(RAND(),0,F$7)</f>
        <v>0.359870700573331</v>
      </c>
      <c r="G1375" s="53" t="n">
        <f aca="true">NORMINV(RAND(),0,G$7)</f>
        <v>1.08507680580358</v>
      </c>
      <c r="H1375" s="53" t="n">
        <f aca="true">NORMINV(RAND(),0,H$7)</f>
        <v>0.0437576485077336</v>
      </c>
      <c r="I1375" s="53" t="n">
        <f aca="false">SUM(B1375:H1375)</f>
        <v>3.45894350503882</v>
      </c>
      <c r="J1375" s="53" t="n">
        <f aca="true">NORMINV(RAND(),0,J$7)</f>
        <v>-2.49282788814414</v>
      </c>
      <c r="K1375" s="53" t="n">
        <f aca="true">NORMINV(RAND(),0,K$7)</f>
        <v>0.831668812109713</v>
      </c>
      <c r="L1375" s="53" t="n">
        <f aca="true">NORMINV(RAND(),0,L$7)</f>
        <v>-0.46684100708405</v>
      </c>
      <c r="M1375" s="53" t="n">
        <f aca="true">NORMINV(RAND(),0,M$7)</f>
        <v>-0.473829360081187</v>
      </c>
      <c r="N1375" s="53" t="n">
        <f aca="true">NORMINV(RAND(),0,N$7)</f>
        <v>-0.902362486643723</v>
      </c>
      <c r="O1375" s="53" t="n">
        <f aca="false">SUM(J1375:N1375)</f>
        <v>-3.50419192984339</v>
      </c>
    </row>
    <row r="1376" customFormat="false" ht="15" hidden="false" customHeight="false" outlineLevel="0" collapsed="false">
      <c r="A1376" s="2" t="n">
        <v>1368</v>
      </c>
      <c r="B1376" s="53" t="n">
        <f aca="true">NORMINV(RAND(),0,B$7)</f>
        <v>-1.09861816477592</v>
      </c>
      <c r="C1376" s="53" t="n">
        <f aca="true">NORMINV(RAND(),0,C$7)</f>
        <v>-0.328910967634243</v>
      </c>
      <c r="D1376" s="53" t="n">
        <f aca="true">NORMINV(RAND(),0,D$7)</f>
        <v>1.87683912882438</v>
      </c>
      <c r="E1376" s="53" t="n">
        <f aca="true">NORMINV(RAND(),0,E$7)</f>
        <v>-0.550922511904014</v>
      </c>
      <c r="F1376" s="53" t="n">
        <f aca="true">NORMINV(RAND(),0,F$7)</f>
        <v>0.371620262598175</v>
      </c>
      <c r="G1376" s="53" t="n">
        <f aca="true">NORMINV(RAND(),0,G$7)</f>
        <v>-1.44120612002555</v>
      </c>
      <c r="H1376" s="53" t="n">
        <f aca="true">NORMINV(RAND(),0,H$7)</f>
        <v>-0.064896490915082</v>
      </c>
      <c r="I1376" s="53" t="n">
        <f aca="false">SUM(B1376:H1376)</f>
        <v>-1.23609486383225</v>
      </c>
      <c r="J1376" s="53" t="n">
        <f aca="true">NORMINV(RAND(),0,J$7)</f>
        <v>-1.46593213103805</v>
      </c>
      <c r="K1376" s="53" t="n">
        <f aca="true">NORMINV(RAND(),0,K$7)</f>
        <v>0.732307494424957</v>
      </c>
      <c r="L1376" s="53" t="n">
        <f aca="true">NORMINV(RAND(),0,L$7)</f>
        <v>0.195437922948811</v>
      </c>
      <c r="M1376" s="53" t="n">
        <f aca="true">NORMINV(RAND(),0,M$7)</f>
        <v>0.0330227355233371</v>
      </c>
      <c r="N1376" s="53" t="n">
        <f aca="true">NORMINV(RAND(),0,N$7)</f>
        <v>0.196703593092954</v>
      </c>
      <c r="O1376" s="53" t="n">
        <f aca="false">SUM(J1376:N1376)</f>
        <v>-0.308460385047988</v>
      </c>
    </row>
    <row r="1377" customFormat="false" ht="15" hidden="false" customHeight="false" outlineLevel="0" collapsed="false">
      <c r="A1377" s="2" t="n">
        <v>1369</v>
      </c>
      <c r="B1377" s="53" t="n">
        <f aca="true">NORMINV(RAND(),0,B$7)</f>
        <v>-0.970992054502443</v>
      </c>
      <c r="C1377" s="53" t="n">
        <f aca="true">NORMINV(RAND(),0,C$7)</f>
        <v>1.79207620849374</v>
      </c>
      <c r="D1377" s="53" t="n">
        <f aca="true">NORMINV(RAND(),0,D$7)</f>
        <v>1.50512182240977</v>
      </c>
      <c r="E1377" s="53" t="n">
        <f aca="true">NORMINV(RAND(),0,E$7)</f>
        <v>0.0771019568725079</v>
      </c>
      <c r="F1377" s="53" t="n">
        <f aca="true">NORMINV(RAND(),0,F$7)</f>
        <v>-0.302416388817899</v>
      </c>
      <c r="G1377" s="53" t="n">
        <f aca="true">NORMINV(RAND(),0,G$7)</f>
        <v>1.17801611569044</v>
      </c>
      <c r="H1377" s="53" t="n">
        <f aca="true">NORMINV(RAND(),0,H$7)</f>
        <v>0.486033133941467</v>
      </c>
      <c r="I1377" s="53" t="n">
        <f aca="false">SUM(B1377:H1377)</f>
        <v>3.76494079408758</v>
      </c>
      <c r="J1377" s="53" t="n">
        <f aca="true">NORMINV(RAND(),0,J$7)</f>
        <v>-4.76646586398404</v>
      </c>
      <c r="K1377" s="53" t="n">
        <f aca="true">NORMINV(RAND(),0,K$7)</f>
        <v>-0.321135330753537</v>
      </c>
      <c r="L1377" s="53" t="n">
        <f aca="true">NORMINV(RAND(),0,L$7)</f>
        <v>0.110283699059417</v>
      </c>
      <c r="M1377" s="53" t="n">
        <f aca="true">NORMINV(RAND(),0,M$7)</f>
        <v>-0.171479722498474</v>
      </c>
      <c r="N1377" s="53" t="n">
        <f aca="true">NORMINV(RAND(),0,N$7)</f>
        <v>0.165209595265379</v>
      </c>
      <c r="O1377" s="53" t="n">
        <f aca="false">SUM(J1377:N1377)</f>
        <v>-4.98358762291126</v>
      </c>
    </row>
    <row r="1378" customFormat="false" ht="15" hidden="false" customHeight="false" outlineLevel="0" collapsed="false">
      <c r="A1378" s="2" t="n">
        <v>1370</v>
      </c>
      <c r="B1378" s="53" t="n">
        <f aca="true">NORMINV(RAND(),0,B$7)</f>
        <v>-1.6016716015431</v>
      </c>
      <c r="C1378" s="53" t="n">
        <f aca="true">NORMINV(RAND(),0,C$7)</f>
        <v>-0.263576928217464</v>
      </c>
      <c r="D1378" s="53" t="n">
        <f aca="true">NORMINV(RAND(),0,D$7)</f>
        <v>0.190420697657755</v>
      </c>
      <c r="E1378" s="53" t="n">
        <f aca="true">NORMINV(RAND(),0,E$7)</f>
        <v>-0.153239502794534</v>
      </c>
      <c r="F1378" s="53" t="n">
        <f aca="true">NORMINV(RAND(),0,F$7)</f>
        <v>-0.526306608654015</v>
      </c>
      <c r="G1378" s="53" t="n">
        <f aca="true">NORMINV(RAND(),0,G$7)</f>
        <v>-0.963046957064478</v>
      </c>
      <c r="H1378" s="53" t="n">
        <f aca="true">NORMINV(RAND(),0,H$7)</f>
        <v>0.234998685913751</v>
      </c>
      <c r="I1378" s="53" t="n">
        <f aca="false">SUM(B1378:H1378)</f>
        <v>-3.08242221470208</v>
      </c>
      <c r="J1378" s="53" t="n">
        <f aca="true">NORMINV(RAND(),0,J$7)</f>
        <v>-1.93426621748533</v>
      </c>
      <c r="K1378" s="53" t="n">
        <f aca="true">NORMINV(RAND(),0,K$7)</f>
        <v>0.479162383959455</v>
      </c>
      <c r="L1378" s="53" t="n">
        <f aca="true">NORMINV(RAND(),0,L$7)</f>
        <v>0.0776971552046431</v>
      </c>
      <c r="M1378" s="53" t="n">
        <f aca="true">NORMINV(RAND(),0,M$7)</f>
        <v>-0.230200138191568</v>
      </c>
      <c r="N1378" s="53" t="n">
        <f aca="true">NORMINV(RAND(),0,N$7)</f>
        <v>0.271997409365983</v>
      </c>
      <c r="O1378" s="53" t="n">
        <f aca="false">SUM(J1378:N1378)</f>
        <v>-1.33560940714682</v>
      </c>
    </row>
    <row r="1379" customFormat="false" ht="15" hidden="false" customHeight="false" outlineLevel="0" collapsed="false">
      <c r="A1379" s="2" t="n">
        <v>1371</v>
      </c>
      <c r="B1379" s="53" t="n">
        <f aca="true">NORMINV(RAND(),0,B$7)</f>
        <v>0.653163622605529</v>
      </c>
      <c r="C1379" s="53" t="n">
        <f aca="true">NORMINV(RAND(),0,C$7)</f>
        <v>0.782077983209109</v>
      </c>
      <c r="D1379" s="53" t="n">
        <f aca="true">NORMINV(RAND(),0,D$7)</f>
        <v>-2.57352665450942</v>
      </c>
      <c r="E1379" s="53" t="n">
        <f aca="true">NORMINV(RAND(),0,E$7)</f>
        <v>-0.21454587777935</v>
      </c>
      <c r="F1379" s="53" t="n">
        <f aca="true">NORMINV(RAND(),0,F$7)</f>
        <v>0.0587158369780315</v>
      </c>
      <c r="G1379" s="53" t="n">
        <f aca="true">NORMINV(RAND(),0,G$7)</f>
        <v>1.13060857439768</v>
      </c>
      <c r="H1379" s="53" t="n">
        <f aca="true">NORMINV(RAND(),0,H$7)</f>
        <v>0.325660522367985</v>
      </c>
      <c r="I1379" s="53" t="n">
        <f aca="false">SUM(B1379:H1379)</f>
        <v>0.16215400726956</v>
      </c>
      <c r="J1379" s="53" t="n">
        <f aca="true">NORMINV(RAND(),0,J$7)</f>
        <v>0.761592628611797</v>
      </c>
      <c r="K1379" s="53" t="n">
        <f aca="true">NORMINV(RAND(),0,K$7)</f>
        <v>-0.408411371437171</v>
      </c>
      <c r="L1379" s="53" t="n">
        <f aca="true">NORMINV(RAND(),0,L$7)</f>
        <v>0.578409705408156</v>
      </c>
      <c r="M1379" s="53" t="n">
        <f aca="true">NORMINV(RAND(),0,M$7)</f>
        <v>-0.346273939073894</v>
      </c>
      <c r="N1379" s="53" t="n">
        <f aca="true">NORMINV(RAND(),0,N$7)</f>
        <v>-0.801671910989518</v>
      </c>
      <c r="O1379" s="53" t="n">
        <f aca="false">SUM(J1379:N1379)</f>
        <v>-0.21635488748063</v>
      </c>
    </row>
    <row r="1380" customFormat="false" ht="15" hidden="false" customHeight="false" outlineLevel="0" collapsed="false">
      <c r="A1380" s="2" t="n">
        <v>1372</v>
      </c>
      <c r="B1380" s="53" t="n">
        <f aca="true">NORMINV(RAND(),0,B$7)</f>
        <v>-0.843716160078487</v>
      </c>
      <c r="C1380" s="53" t="n">
        <f aca="true">NORMINV(RAND(),0,C$7)</f>
        <v>-4.10187885116112</v>
      </c>
      <c r="D1380" s="53" t="n">
        <f aca="true">NORMINV(RAND(),0,D$7)</f>
        <v>-0.0756492062823935</v>
      </c>
      <c r="E1380" s="53" t="n">
        <f aca="true">NORMINV(RAND(),0,E$7)</f>
        <v>0.0645011472235051</v>
      </c>
      <c r="F1380" s="53" t="n">
        <f aca="true">NORMINV(RAND(),0,F$7)</f>
        <v>0.537217640804727</v>
      </c>
      <c r="G1380" s="53" t="n">
        <f aca="true">NORMINV(RAND(),0,G$7)</f>
        <v>1.19163064782142</v>
      </c>
      <c r="H1380" s="53" t="n">
        <f aca="true">NORMINV(RAND(),0,H$7)</f>
        <v>-0.338859174678405</v>
      </c>
      <c r="I1380" s="53" t="n">
        <f aca="false">SUM(B1380:H1380)</f>
        <v>-3.56675395635076</v>
      </c>
      <c r="J1380" s="53" t="n">
        <f aca="true">NORMINV(RAND(),0,J$7)</f>
        <v>0.733198635691207</v>
      </c>
      <c r="K1380" s="53" t="n">
        <f aca="true">NORMINV(RAND(),0,K$7)</f>
        <v>0.971298003254553</v>
      </c>
      <c r="L1380" s="53" t="n">
        <f aca="true">NORMINV(RAND(),0,L$7)</f>
        <v>-0.738316591922988</v>
      </c>
      <c r="M1380" s="53" t="n">
        <f aca="true">NORMINV(RAND(),0,M$7)</f>
        <v>-0.345926694921125</v>
      </c>
      <c r="N1380" s="53" t="n">
        <f aca="true">NORMINV(RAND(),0,N$7)</f>
        <v>0.258319745154803</v>
      </c>
      <c r="O1380" s="53" t="n">
        <f aca="false">SUM(J1380:N1380)</f>
        <v>0.878573097256451</v>
      </c>
    </row>
    <row r="1381" customFormat="false" ht="15" hidden="false" customHeight="false" outlineLevel="0" collapsed="false">
      <c r="A1381" s="2" t="n">
        <v>1373</v>
      </c>
      <c r="B1381" s="53" t="n">
        <f aca="true">NORMINV(RAND(),0,B$7)</f>
        <v>-0.0800152530347373</v>
      </c>
      <c r="C1381" s="53" t="n">
        <f aca="true">NORMINV(RAND(),0,C$7)</f>
        <v>0.571519438665435</v>
      </c>
      <c r="D1381" s="53" t="n">
        <f aca="true">NORMINV(RAND(),0,D$7)</f>
        <v>0.70717755768199</v>
      </c>
      <c r="E1381" s="53" t="n">
        <f aca="true">NORMINV(RAND(),0,E$7)</f>
        <v>-0.28078725276147</v>
      </c>
      <c r="F1381" s="53" t="n">
        <f aca="true">NORMINV(RAND(),0,F$7)</f>
        <v>-0.114882183559556</v>
      </c>
      <c r="G1381" s="53" t="n">
        <f aca="true">NORMINV(RAND(),0,G$7)</f>
        <v>-0.22304612231628</v>
      </c>
      <c r="H1381" s="53" t="n">
        <f aca="true">NORMINV(RAND(),0,H$7)</f>
        <v>0.201342186559594</v>
      </c>
      <c r="I1381" s="53" t="n">
        <f aca="false">SUM(B1381:H1381)</f>
        <v>0.781308371234976</v>
      </c>
      <c r="J1381" s="53" t="n">
        <f aca="true">NORMINV(RAND(),0,J$7)</f>
        <v>1.7387115371907</v>
      </c>
      <c r="K1381" s="53" t="n">
        <f aca="true">NORMINV(RAND(),0,K$7)</f>
        <v>-0.445772655323487</v>
      </c>
      <c r="L1381" s="53" t="n">
        <f aca="true">NORMINV(RAND(),0,L$7)</f>
        <v>-0.0699944362794003</v>
      </c>
      <c r="M1381" s="53" t="n">
        <f aca="true">NORMINV(RAND(),0,M$7)</f>
        <v>-0.149000531684028</v>
      </c>
      <c r="N1381" s="53" t="n">
        <f aca="true">NORMINV(RAND(),0,N$7)</f>
        <v>0.376521123796475</v>
      </c>
      <c r="O1381" s="53" t="n">
        <f aca="false">SUM(J1381:N1381)</f>
        <v>1.45046503770026</v>
      </c>
    </row>
    <row r="1382" customFormat="false" ht="15" hidden="false" customHeight="false" outlineLevel="0" collapsed="false">
      <c r="A1382" s="2" t="n">
        <v>1374</v>
      </c>
      <c r="B1382" s="53" t="n">
        <f aca="true">NORMINV(RAND(),0,B$7)</f>
        <v>0.401638614153137</v>
      </c>
      <c r="C1382" s="53" t="n">
        <f aca="true">NORMINV(RAND(),0,C$7)</f>
        <v>1.23832637203325</v>
      </c>
      <c r="D1382" s="53" t="n">
        <f aca="true">NORMINV(RAND(),0,D$7)</f>
        <v>-2.02551481810619</v>
      </c>
      <c r="E1382" s="53" t="n">
        <f aca="true">NORMINV(RAND(),0,E$7)</f>
        <v>0.0572043116444408</v>
      </c>
      <c r="F1382" s="53" t="n">
        <f aca="true">NORMINV(RAND(),0,F$7)</f>
        <v>-0.779138382669617</v>
      </c>
      <c r="G1382" s="53" t="n">
        <f aca="true">NORMINV(RAND(),0,G$7)</f>
        <v>-1.48252154456165</v>
      </c>
      <c r="H1382" s="53" t="n">
        <f aca="true">NORMINV(RAND(),0,H$7)</f>
        <v>0.960318838623374</v>
      </c>
      <c r="I1382" s="53" t="n">
        <f aca="false">SUM(B1382:H1382)</f>
        <v>-1.62968660888326</v>
      </c>
      <c r="J1382" s="53" t="n">
        <f aca="true">NORMINV(RAND(),0,J$7)</f>
        <v>-3.32904095997994</v>
      </c>
      <c r="K1382" s="53" t="n">
        <f aca="true">NORMINV(RAND(),0,K$7)</f>
        <v>-0.731219157520117</v>
      </c>
      <c r="L1382" s="53" t="n">
        <f aca="true">NORMINV(RAND(),0,L$7)</f>
        <v>-0.0645990009960971</v>
      </c>
      <c r="M1382" s="53" t="n">
        <f aca="true">NORMINV(RAND(),0,M$7)</f>
        <v>-0.268403662263633</v>
      </c>
      <c r="N1382" s="53" t="n">
        <f aca="true">NORMINV(RAND(),0,N$7)</f>
        <v>-0.180505688181496</v>
      </c>
      <c r="O1382" s="53" t="n">
        <f aca="false">SUM(J1382:N1382)</f>
        <v>-4.57376846894128</v>
      </c>
    </row>
    <row r="1383" customFormat="false" ht="15" hidden="false" customHeight="false" outlineLevel="0" collapsed="false">
      <c r="A1383" s="2" t="n">
        <v>1375</v>
      </c>
      <c r="B1383" s="53" t="n">
        <f aca="true">NORMINV(RAND(),0,B$7)</f>
        <v>-0.798725731619793</v>
      </c>
      <c r="C1383" s="53" t="n">
        <f aca="true">NORMINV(RAND(),0,C$7)</f>
        <v>-1.29289621982636</v>
      </c>
      <c r="D1383" s="53" t="n">
        <f aca="true">NORMINV(RAND(),0,D$7)</f>
        <v>1.22124423886296</v>
      </c>
      <c r="E1383" s="53" t="n">
        <f aca="true">NORMINV(RAND(),0,E$7)</f>
        <v>0.104922286839145</v>
      </c>
      <c r="F1383" s="53" t="n">
        <f aca="true">NORMINV(RAND(),0,F$7)</f>
        <v>-0.102557061664327</v>
      </c>
      <c r="G1383" s="53" t="n">
        <f aca="true">NORMINV(RAND(),0,G$7)</f>
        <v>-1.11510720616829</v>
      </c>
      <c r="H1383" s="53" t="n">
        <f aca="true">NORMINV(RAND(),0,H$7)</f>
        <v>-0.149943963262431</v>
      </c>
      <c r="I1383" s="53" t="n">
        <f aca="false">SUM(B1383:H1383)</f>
        <v>-2.13306365683909</v>
      </c>
      <c r="J1383" s="53" t="n">
        <f aca="true">NORMINV(RAND(),0,J$7)</f>
        <v>-1.96814977020682</v>
      </c>
      <c r="K1383" s="53" t="n">
        <f aca="true">NORMINV(RAND(),0,K$7)</f>
        <v>1.22545424686315</v>
      </c>
      <c r="L1383" s="53" t="n">
        <f aca="true">NORMINV(RAND(),0,L$7)</f>
        <v>-0.395227373912615</v>
      </c>
      <c r="M1383" s="53" t="n">
        <f aca="true">NORMINV(RAND(),0,M$7)</f>
        <v>0.161785573427053</v>
      </c>
      <c r="N1383" s="53" t="n">
        <f aca="true">NORMINV(RAND(),0,N$7)</f>
        <v>-0.269334443426572</v>
      </c>
      <c r="O1383" s="53" t="n">
        <f aca="false">SUM(J1383:N1383)</f>
        <v>-1.2454717672558</v>
      </c>
    </row>
    <row r="1384" customFormat="false" ht="15" hidden="false" customHeight="false" outlineLevel="0" collapsed="false">
      <c r="A1384" s="2" t="n">
        <v>1376</v>
      </c>
      <c r="B1384" s="53" t="n">
        <f aca="true">NORMINV(RAND(),0,B$7)</f>
        <v>0.2503689107942</v>
      </c>
      <c r="C1384" s="53" t="n">
        <f aca="true">NORMINV(RAND(),0,C$7)</f>
        <v>-0.303193083940046</v>
      </c>
      <c r="D1384" s="53" t="n">
        <f aca="true">NORMINV(RAND(),0,D$7)</f>
        <v>0.824094703210038</v>
      </c>
      <c r="E1384" s="53" t="n">
        <f aca="true">NORMINV(RAND(),0,E$7)</f>
        <v>0.0767550916219342</v>
      </c>
      <c r="F1384" s="53" t="n">
        <f aca="true">NORMINV(RAND(),0,F$7)</f>
        <v>0.239158357572852</v>
      </c>
      <c r="G1384" s="53" t="n">
        <f aca="true">NORMINV(RAND(),0,G$7)</f>
        <v>0.2585109931122</v>
      </c>
      <c r="H1384" s="53" t="n">
        <f aca="true">NORMINV(RAND(),0,H$7)</f>
        <v>-0.467167104769576</v>
      </c>
      <c r="I1384" s="53" t="n">
        <f aca="false">SUM(B1384:H1384)</f>
        <v>0.878527867601601</v>
      </c>
      <c r="J1384" s="53" t="n">
        <f aca="true">NORMINV(RAND(),0,J$7)</f>
        <v>-0.535709865188506</v>
      </c>
      <c r="K1384" s="53" t="n">
        <f aca="true">NORMINV(RAND(),0,K$7)</f>
        <v>0.355678208902643</v>
      </c>
      <c r="L1384" s="53" t="n">
        <f aca="true">NORMINV(RAND(),0,L$7)</f>
        <v>-0.227154231204467</v>
      </c>
      <c r="M1384" s="53" t="n">
        <f aca="true">NORMINV(RAND(),0,M$7)</f>
        <v>0.360040642575329</v>
      </c>
      <c r="N1384" s="53" t="n">
        <f aca="true">NORMINV(RAND(),0,N$7)</f>
        <v>0.13271781497588</v>
      </c>
      <c r="O1384" s="53" t="n">
        <f aca="false">SUM(J1384:N1384)</f>
        <v>0.0855725700608799</v>
      </c>
    </row>
    <row r="1385" customFormat="false" ht="15" hidden="false" customHeight="false" outlineLevel="0" collapsed="false">
      <c r="A1385" s="2" t="n">
        <v>1377</v>
      </c>
      <c r="B1385" s="53" t="n">
        <f aca="true">NORMINV(RAND(),0,B$7)</f>
        <v>-0.536355888219827</v>
      </c>
      <c r="C1385" s="53" t="n">
        <f aca="true">NORMINV(RAND(),0,C$7)</f>
        <v>1.85955829592341</v>
      </c>
      <c r="D1385" s="53" t="n">
        <f aca="true">NORMINV(RAND(),0,D$7)</f>
        <v>0.822291778440188</v>
      </c>
      <c r="E1385" s="53" t="n">
        <f aca="true">NORMINV(RAND(),0,E$7)</f>
        <v>-0.0997008622514416</v>
      </c>
      <c r="F1385" s="53" t="n">
        <f aca="true">NORMINV(RAND(),0,F$7)</f>
        <v>-0.457212018967159</v>
      </c>
      <c r="G1385" s="53" t="n">
        <f aca="true">NORMINV(RAND(),0,G$7)</f>
        <v>-0.195336561387778</v>
      </c>
      <c r="H1385" s="53" t="n">
        <f aca="true">NORMINV(RAND(),0,H$7)</f>
        <v>-0.437647404327182</v>
      </c>
      <c r="I1385" s="53" t="n">
        <f aca="false">SUM(B1385:H1385)</f>
        <v>0.955597339210213</v>
      </c>
      <c r="J1385" s="53" t="n">
        <f aca="true">NORMINV(RAND(),0,J$7)</f>
        <v>2.26198690016987</v>
      </c>
      <c r="K1385" s="53" t="n">
        <f aca="true">NORMINV(RAND(),0,K$7)</f>
        <v>-0.745521114205698</v>
      </c>
      <c r="L1385" s="53" t="n">
        <f aca="true">NORMINV(RAND(),0,L$7)</f>
        <v>-0.0586162691583799</v>
      </c>
      <c r="M1385" s="53" t="n">
        <f aca="true">NORMINV(RAND(),0,M$7)</f>
        <v>0.0242187512034437</v>
      </c>
      <c r="N1385" s="53" t="n">
        <f aca="true">NORMINV(RAND(),0,N$7)</f>
        <v>0.0972100988993286</v>
      </c>
      <c r="O1385" s="53" t="n">
        <f aca="false">SUM(J1385:N1385)</f>
        <v>1.57927836690857</v>
      </c>
    </row>
    <row r="1386" customFormat="false" ht="15" hidden="false" customHeight="false" outlineLevel="0" collapsed="false">
      <c r="A1386" s="2" t="n">
        <v>1378</v>
      </c>
      <c r="B1386" s="53" t="n">
        <f aca="true">NORMINV(RAND(),0,B$7)</f>
        <v>-0.554887954015559</v>
      </c>
      <c r="C1386" s="53" t="n">
        <f aca="true">NORMINV(RAND(),0,C$7)</f>
        <v>-0.859662614205758</v>
      </c>
      <c r="D1386" s="53" t="n">
        <f aca="true">NORMINV(RAND(),0,D$7)</f>
        <v>-0.966177840041647</v>
      </c>
      <c r="E1386" s="53" t="n">
        <f aca="true">NORMINV(RAND(),0,E$7)</f>
        <v>0.179476695433412</v>
      </c>
      <c r="F1386" s="53" t="n">
        <f aca="true">NORMINV(RAND(),0,F$7)</f>
        <v>-0.0310324684276613</v>
      </c>
      <c r="G1386" s="53" t="n">
        <f aca="true">NORMINV(RAND(),0,G$7)</f>
        <v>0.03248873269073</v>
      </c>
      <c r="H1386" s="53" t="n">
        <f aca="true">NORMINV(RAND(),0,H$7)</f>
        <v>0.452488056126848</v>
      </c>
      <c r="I1386" s="53" t="n">
        <f aca="false">SUM(B1386:H1386)</f>
        <v>-1.74730739243963</v>
      </c>
      <c r="J1386" s="53" t="n">
        <f aca="true">NORMINV(RAND(),0,J$7)</f>
        <v>-3.91306347262765</v>
      </c>
      <c r="K1386" s="53" t="n">
        <f aca="true">NORMINV(RAND(),0,K$7)</f>
        <v>-1.17421668442382</v>
      </c>
      <c r="L1386" s="53" t="n">
        <f aca="true">NORMINV(RAND(),0,L$7)</f>
        <v>0.0539727254795425</v>
      </c>
      <c r="M1386" s="53" t="n">
        <f aca="true">NORMINV(RAND(),0,M$7)</f>
        <v>0.103933060685193</v>
      </c>
      <c r="N1386" s="53" t="n">
        <f aca="true">NORMINV(RAND(),0,N$7)</f>
        <v>0.361899995365481</v>
      </c>
      <c r="O1386" s="53" t="n">
        <f aca="false">SUM(J1386:N1386)</f>
        <v>-4.56747437552126</v>
      </c>
    </row>
    <row r="1387" customFormat="false" ht="15" hidden="false" customHeight="false" outlineLevel="0" collapsed="false">
      <c r="A1387" s="2" t="n">
        <v>1379</v>
      </c>
      <c r="B1387" s="53" t="n">
        <f aca="true">NORMINV(RAND(),0,B$7)</f>
        <v>0.481390030982845</v>
      </c>
      <c r="C1387" s="53" t="n">
        <f aca="true">NORMINV(RAND(),0,C$7)</f>
        <v>-1.85353594959411</v>
      </c>
      <c r="D1387" s="53" t="n">
        <f aca="true">NORMINV(RAND(),0,D$7)</f>
        <v>0.12565881912288</v>
      </c>
      <c r="E1387" s="53" t="n">
        <f aca="true">NORMINV(RAND(),0,E$7)</f>
        <v>0.20790090799843</v>
      </c>
      <c r="F1387" s="53" t="n">
        <f aca="true">NORMINV(RAND(),0,F$7)</f>
        <v>0.131185791735901</v>
      </c>
      <c r="G1387" s="53" t="n">
        <f aca="true">NORMINV(RAND(),0,G$7)</f>
        <v>1.24906590397395</v>
      </c>
      <c r="H1387" s="53" t="n">
        <f aca="true">NORMINV(RAND(),0,H$7)</f>
        <v>-0.0470407069380291</v>
      </c>
      <c r="I1387" s="53" t="n">
        <f aca="false">SUM(B1387:H1387)</f>
        <v>0.294624797281865</v>
      </c>
      <c r="J1387" s="53" t="n">
        <f aca="true">NORMINV(RAND(),0,J$7)</f>
        <v>1.33304924676991</v>
      </c>
      <c r="K1387" s="53" t="n">
        <f aca="true">NORMINV(RAND(),0,K$7)</f>
        <v>0.19869426704072</v>
      </c>
      <c r="L1387" s="53" t="n">
        <f aca="true">NORMINV(RAND(),0,L$7)</f>
        <v>-0.433787263219582</v>
      </c>
      <c r="M1387" s="53" t="n">
        <f aca="true">NORMINV(RAND(),0,M$7)</f>
        <v>0.0525793375282324</v>
      </c>
      <c r="N1387" s="53" t="n">
        <f aca="true">NORMINV(RAND(),0,N$7)</f>
        <v>0.219675604806427</v>
      </c>
      <c r="O1387" s="53" t="n">
        <f aca="false">SUM(J1387:N1387)</f>
        <v>1.37021119292571</v>
      </c>
    </row>
    <row r="1388" customFormat="false" ht="15" hidden="false" customHeight="false" outlineLevel="0" collapsed="false">
      <c r="A1388" s="2" t="n">
        <v>1380</v>
      </c>
      <c r="B1388" s="53" t="n">
        <f aca="true">NORMINV(RAND(),0,B$7)</f>
        <v>-0.609769400414145</v>
      </c>
      <c r="C1388" s="53" t="n">
        <f aca="true">NORMINV(RAND(),0,C$7)</f>
        <v>0.56269110998476</v>
      </c>
      <c r="D1388" s="53" t="n">
        <f aca="true">NORMINV(RAND(),0,D$7)</f>
        <v>1.63892468224649</v>
      </c>
      <c r="E1388" s="53" t="n">
        <f aca="true">NORMINV(RAND(),0,E$7)</f>
        <v>-0.129037382257183</v>
      </c>
      <c r="F1388" s="53" t="n">
        <f aca="true">NORMINV(RAND(),0,F$7)</f>
        <v>-0.258001916886665</v>
      </c>
      <c r="G1388" s="53" t="n">
        <f aca="true">NORMINV(RAND(),0,G$7)</f>
        <v>0.494338244592498</v>
      </c>
      <c r="H1388" s="53" t="n">
        <f aca="true">NORMINV(RAND(),0,H$7)</f>
        <v>0.107505550826673</v>
      </c>
      <c r="I1388" s="53" t="n">
        <f aca="false">SUM(B1388:H1388)</f>
        <v>1.80665088809243</v>
      </c>
      <c r="J1388" s="53" t="n">
        <f aca="true">NORMINV(RAND(),0,J$7)</f>
        <v>-0.87949980198855</v>
      </c>
      <c r="K1388" s="53" t="n">
        <f aca="true">NORMINV(RAND(),0,K$7)</f>
        <v>0.450722204665408</v>
      </c>
      <c r="L1388" s="53" t="n">
        <f aca="true">NORMINV(RAND(),0,L$7)</f>
        <v>-0.20799902802202</v>
      </c>
      <c r="M1388" s="53" t="n">
        <f aca="true">NORMINV(RAND(),0,M$7)</f>
        <v>0.133143080227011</v>
      </c>
      <c r="N1388" s="53" t="n">
        <f aca="true">NORMINV(RAND(),0,N$7)</f>
        <v>-0.494860535713225</v>
      </c>
      <c r="O1388" s="53" t="n">
        <f aca="false">SUM(J1388:N1388)</f>
        <v>-0.998494080831376</v>
      </c>
    </row>
    <row r="1389" customFormat="false" ht="15" hidden="false" customHeight="false" outlineLevel="0" collapsed="false">
      <c r="A1389" s="2" t="n">
        <v>1381</v>
      </c>
      <c r="B1389" s="53" t="n">
        <f aca="true">NORMINV(RAND(),0,B$7)</f>
        <v>0.828120280496046</v>
      </c>
      <c r="C1389" s="53" t="n">
        <f aca="true">NORMINV(RAND(),0,C$7)</f>
        <v>2.21319387202052</v>
      </c>
      <c r="D1389" s="53" t="n">
        <f aca="true">NORMINV(RAND(),0,D$7)</f>
        <v>0.45836575748184</v>
      </c>
      <c r="E1389" s="53" t="n">
        <f aca="true">NORMINV(RAND(),0,E$7)</f>
        <v>-0.248080069083524</v>
      </c>
      <c r="F1389" s="53" t="n">
        <f aca="true">NORMINV(RAND(),0,F$7)</f>
        <v>0.41945077873161</v>
      </c>
      <c r="G1389" s="53" t="n">
        <f aca="true">NORMINV(RAND(),0,G$7)</f>
        <v>1.44649967369965</v>
      </c>
      <c r="H1389" s="53" t="n">
        <f aca="true">NORMINV(RAND(),0,H$7)</f>
        <v>0.642906378823469</v>
      </c>
      <c r="I1389" s="53" t="n">
        <f aca="false">SUM(B1389:H1389)</f>
        <v>5.76045667216961</v>
      </c>
      <c r="J1389" s="53" t="n">
        <f aca="true">NORMINV(RAND(),0,J$7)</f>
        <v>-1.88048075420595</v>
      </c>
      <c r="K1389" s="53" t="n">
        <f aca="true">NORMINV(RAND(),0,K$7)</f>
        <v>0.582647593927272</v>
      </c>
      <c r="L1389" s="53" t="n">
        <f aca="true">NORMINV(RAND(),0,L$7)</f>
        <v>-0.111415452939618</v>
      </c>
      <c r="M1389" s="53" t="n">
        <f aca="true">NORMINV(RAND(),0,M$7)</f>
        <v>0.16796646432695</v>
      </c>
      <c r="N1389" s="53" t="n">
        <f aca="true">NORMINV(RAND(),0,N$7)</f>
        <v>0.163256907232304</v>
      </c>
      <c r="O1389" s="53" t="n">
        <f aca="false">SUM(J1389:N1389)</f>
        <v>-1.07802524165904</v>
      </c>
    </row>
    <row r="1390" customFormat="false" ht="15" hidden="false" customHeight="false" outlineLevel="0" collapsed="false">
      <c r="A1390" s="2" t="n">
        <v>1382</v>
      </c>
      <c r="B1390" s="53" t="n">
        <f aca="true">NORMINV(RAND(),0,B$7)</f>
        <v>2.7873247846397</v>
      </c>
      <c r="C1390" s="53" t="n">
        <f aca="true">NORMINV(RAND(),0,C$7)</f>
        <v>0.407436041240395</v>
      </c>
      <c r="D1390" s="53" t="n">
        <f aca="true">NORMINV(RAND(),0,D$7)</f>
        <v>-2.25367880220912</v>
      </c>
      <c r="E1390" s="53" t="n">
        <f aca="true">NORMINV(RAND(),0,E$7)</f>
        <v>0.295874147055696</v>
      </c>
      <c r="F1390" s="53" t="n">
        <f aca="true">NORMINV(RAND(),0,F$7)</f>
        <v>0.27890401571261</v>
      </c>
      <c r="G1390" s="53" t="n">
        <f aca="true">NORMINV(RAND(),0,G$7)</f>
        <v>-2.28933704936318</v>
      </c>
      <c r="H1390" s="53" t="n">
        <f aca="true">NORMINV(RAND(),0,H$7)</f>
        <v>0.0350593226621048</v>
      </c>
      <c r="I1390" s="53" t="n">
        <f aca="false">SUM(B1390:H1390)</f>
        <v>-0.738417540261797</v>
      </c>
      <c r="J1390" s="53" t="n">
        <f aca="true">NORMINV(RAND(),0,J$7)</f>
        <v>-1.66094317529779</v>
      </c>
      <c r="K1390" s="53" t="n">
        <f aca="true">NORMINV(RAND(),0,K$7)</f>
        <v>-0.0932551057301011</v>
      </c>
      <c r="L1390" s="53" t="n">
        <f aca="true">NORMINV(RAND(),0,L$7)</f>
        <v>-0.19166166963089</v>
      </c>
      <c r="M1390" s="53" t="n">
        <f aca="true">NORMINV(RAND(),0,M$7)</f>
        <v>0.182332314954229</v>
      </c>
      <c r="N1390" s="53" t="n">
        <f aca="true">NORMINV(RAND(),0,N$7)</f>
        <v>-0.474359334295978</v>
      </c>
      <c r="O1390" s="53" t="n">
        <f aca="false">SUM(J1390:N1390)</f>
        <v>-2.23788697000053</v>
      </c>
    </row>
    <row r="1391" customFormat="false" ht="15" hidden="false" customHeight="false" outlineLevel="0" collapsed="false">
      <c r="A1391" s="2" t="n">
        <v>1383</v>
      </c>
      <c r="B1391" s="53" t="n">
        <f aca="true">NORMINV(RAND(),0,B$7)</f>
        <v>0.829919005072933</v>
      </c>
      <c r="C1391" s="53" t="n">
        <f aca="true">NORMINV(RAND(),0,C$7)</f>
        <v>-1.06594304572575</v>
      </c>
      <c r="D1391" s="53" t="n">
        <f aca="true">NORMINV(RAND(),0,D$7)</f>
        <v>1.25467050969586</v>
      </c>
      <c r="E1391" s="53" t="n">
        <f aca="true">NORMINV(RAND(),0,E$7)</f>
        <v>-0.270564071312049</v>
      </c>
      <c r="F1391" s="53" t="n">
        <f aca="true">NORMINV(RAND(),0,F$7)</f>
        <v>0.141386055790796</v>
      </c>
      <c r="G1391" s="53" t="n">
        <f aca="true">NORMINV(RAND(),0,G$7)</f>
        <v>2.20303900779964</v>
      </c>
      <c r="H1391" s="53" t="n">
        <f aca="true">NORMINV(RAND(),0,H$7)</f>
        <v>0.0715909913652429</v>
      </c>
      <c r="I1391" s="53" t="n">
        <f aca="false">SUM(B1391:H1391)</f>
        <v>3.16409845268667</v>
      </c>
      <c r="J1391" s="53" t="n">
        <f aca="true">NORMINV(RAND(),0,J$7)</f>
        <v>1.91060238797028</v>
      </c>
      <c r="K1391" s="53" t="n">
        <f aca="true">NORMINV(RAND(),0,K$7)</f>
        <v>-0.245552773983983</v>
      </c>
      <c r="L1391" s="53" t="n">
        <f aca="true">NORMINV(RAND(),0,L$7)</f>
        <v>0.204239630355414</v>
      </c>
      <c r="M1391" s="53" t="n">
        <f aca="true">NORMINV(RAND(),0,M$7)</f>
        <v>-0.0587003798432555</v>
      </c>
      <c r="N1391" s="53" t="n">
        <f aca="true">NORMINV(RAND(),0,N$7)</f>
        <v>-0.134873377045441</v>
      </c>
      <c r="O1391" s="53" t="n">
        <f aca="false">SUM(J1391:N1391)</f>
        <v>1.67571548745301</v>
      </c>
    </row>
    <row r="1392" customFormat="false" ht="15" hidden="false" customHeight="false" outlineLevel="0" collapsed="false">
      <c r="A1392" s="2" t="n">
        <v>1384</v>
      </c>
      <c r="B1392" s="53" t="n">
        <f aca="true">NORMINV(RAND(),0,B$7)</f>
        <v>0.368997628768999</v>
      </c>
      <c r="C1392" s="53" t="n">
        <f aca="true">NORMINV(RAND(),0,C$7)</f>
        <v>0.770379632516729</v>
      </c>
      <c r="D1392" s="53" t="n">
        <f aca="true">NORMINV(RAND(),0,D$7)</f>
        <v>-2.84216553786329</v>
      </c>
      <c r="E1392" s="53" t="n">
        <f aca="true">NORMINV(RAND(),0,E$7)</f>
        <v>0.0230761529468856</v>
      </c>
      <c r="F1392" s="53" t="n">
        <f aca="true">NORMINV(RAND(),0,F$7)</f>
        <v>0.104873454158436</v>
      </c>
      <c r="G1392" s="53" t="n">
        <f aca="true">NORMINV(RAND(),0,G$7)</f>
        <v>1.93766321393845</v>
      </c>
      <c r="H1392" s="53" t="n">
        <f aca="true">NORMINV(RAND(),0,H$7)</f>
        <v>0.547093977156548</v>
      </c>
      <c r="I1392" s="53" t="n">
        <f aca="false">SUM(B1392:H1392)</f>
        <v>0.909918521622752</v>
      </c>
      <c r="J1392" s="53" t="n">
        <f aca="true">NORMINV(RAND(),0,J$7)</f>
        <v>-2.24688790922947</v>
      </c>
      <c r="K1392" s="53" t="n">
        <f aca="true">NORMINV(RAND(),0,K$7)</f>
        <v>-0.528882932716218</v>
      </c>
      <c r="L1392" s="53" t="n">
        <f aca="true">NORMINV(RAND(),0,L$7)</f>
        <v>0.453044240742083</v>
      </c>
      <c r="M1392" s="53" t="n">
        <f aca="true">NORMINV(RAND(),0,M$7)</f>
        <v>0.100572429579581</v>
      </c>
      <c r="N1392" s="53" t="n">
        <f aca="true">NORMINV(RAND(),0,N$7)</f>
        <v>-0.381288365700137</v>
      </c>
      <c r="O1392" s="53" t="n">
        <f aca="false">SUM(J1392:N1392)</f>
        <v>-2.60344253732417</v>
      </c>
    </row>
    <row r="1393" customFormat="false" ht="15" hidden="false" customHeight="false" outlineLevel="0" collapsed="false">
      <c r="A1393" s="2" t="n">
        <v>1385</v>
      </c>
      <c r="B1393" s="53" t="n">
        <f aca="true">NORMINV(RAND(),0,B$7)</f>
        <v>3.82709150639322</v>
      </c>
      <c r="C1393" s="53" t="n">
        <f aca="true">NORMINV(RAND(),0,C$7)</f>
        <v>-0.611761811534179</v>
      </c>
      <c r="D1393" s="53" t="n">
        <f aca="true">NORMINV(RAND(),0,D$7)</f>
        <v>0.662353696717315</v>
      </c>
      <c r="E1393" s="53" t="n">
        <f aca="true">NORMINV(RAND(),0,E$7)</f>
        <v>-0.0159461548114836</v>
      </c>
      <c r="F1393" s="53" t="n">
        <f aca="true">NORMINV(RAND(),0,F$7)</f>
        <v>0.00621888253210662</v>
      </c>
      <c r="G1393" s="53" t="n">
        <f aca="true">NORMINV(RAND(),0,G$7)</f>
        <v>-0.765510025895372</v>
      </c>
      <c r="H1393" s="53" t="n">
        <f aca="true">NORMINV(RAND(),0,H$7)</f>
        <v>0.231804053490264</v>
      </c>
      <c r="I1393" s="53" t="n">
        <f aca="false">SUM(B1393:H1393)</f>
        <v>3.33425014689187</v>
      </c>
      <c r="J1393" s="53" t="n">
        <f aca="true">NORMINV(RAND(),0,J$7)</f>
        <v>-1.44978410877743</v>
      </c>
      <c r="K1393" s="53" t="n">
        <f aca="true">NORMINV(RAND(),0,K$7)</f>
        <v>-0.30657055552515</v>
      </c>
      <c r="L1393" s="53" t="n">
        <f aca="true">NORMINV(RAND(),0,L$7)</f>
        <v>-0.695329259979038</v>
      </c>
      <c r="M1393" s="53" t="n">
        <f aca="true">NORMINV(RAND(),0,M$7)</f>
        <v>-0.100966641178992</v>
      </c>
      <c r="N1393" s="53" t="n">
        <f aca="true">NORMINV(RAND(),0,N$7)</f>
        <v>-0.0146329599538392</v>
      </c>
      <c r="O1393" s="53" t="n">
        <f aca="false">SUM(J1393:N1393)</f>
        <v>-2.56728352541445</v>
      </c>
    </row>
    <row r="1394" customFormat="false" ht="15" hidden="false" customHeight="false" outlineLevel="0" collapsed="false">
      <c r="A1394" s="2" t="n">
        <v>1386</v>
      </c>
      <c r="B1394" s="53" t="n">
        <f aca="true">NORMINV(RAND(),0,B$7)</f>
        <v>2.00212544386319</v>
      </c>
      <c r="C1394" s="53" t="n">
        <f aca="true">NORMINV(RAND(),0,C$7)</f>
        <v>-1.63673324006112</v>
      </c>
      <c r="D1394" s="53" t="n">
        <f aca="true">NORMINV(RAND(),0,D$7)</f>
        <v>1.83245265172232</v>
      </c>
      <c r="E1394" s="53" t="n">
        <f aca="true">NORMINV(RAND(),0,E$7)</f>
        <v>-0.0831036339749383</v>
      </c>
      <c r="F1394" s="53" t="n">
        <f aca="true">NORMINV(RAND(),0,F$7)</f>
        <v>0.138430100064045</v>
      </c>
      <c r="G1394" s="53" t="n">
        <f aca="true">NORMINV(RAND(),0,G$7)</f>
        <v>1.03701449341999</v>
      </c>
      <c r="H1394" s="53" t="n">
        <f aca="true">NORMINV(RAND(),0,H$7)</f>
        <v>0.494650701083635</v>
      </c>
      <c r="I1394" s="53" t="n">
        <f aca="false">SUM(B1394:H1394)</f>
        <v>3.78483651611711</v>
      </c>
      <c r="J1394" s="53" t="n">
        <f aca="true">NORMINV(RAND(),0,J$7)</f>
        <v>3.76947862838393</v>
      </c>
      <c r="K1394" s="53" t="n">
        <f aca="true">NORMINV(RAND(),0,K$7)</f>
        <v>1.14786181062482</v>
      </c>
      <c r="L1394" s="53" t="n">
        <f aca="true">NORMINV(RAND(),0,L$7)</f>
        <v>0.00915116115238561</v>
      </c>
      <c r="M1394" s="53" t="n">
        <f aca="true">NORMINV(RAND(),0,M$7)</f>
        <v>-0.196428905738672</v>
      </c>
      <c r="N1394" s="53" t="n">
        <f aca="true">NORMINV(RAND(),0,N$7)</f>
        <v>0.139355478509582</v>
      </c>
      <c r="O1394" s="53" t="n">
        <f aca="false">SUM(J1394:N1394)</f>
        <v>4.86941817293204</v>
      </c>
    </row>
    <row r="1395" customFormat="false" ht="15" hidden="false" customHeight="false" outlineLevel="0" collapsed="false">
      <c r="A1395" s="2" t="n">
        <v>1387</v>
      </c>
      <c r="B1395" s="53" t="n">
        <f aca="true">NORMINV(RAND(),0,B$7)</f>
        <v>-2.34632563964064</v>
      </c>
      <c r="C1395" s="53" t="n">
        <f aca="true">NORMINV(RAND(),0,C$7)</f>
        <v>2.92515349652772</v>
      </c>
      <c r="D1395" s="53" t="n">
        <f aca="true">NORMINV(RAND(),0,D$7)</f>
        <v>-2.27884049597748</v>
      </c>
      <c r="E1395" s="53" t="n">
        <f aca="true">NORMINV(RAND(),0,E$7)</f>
        <v>0.765012013566419</v>
      </c>
      <c r="F1395" s="53" t="n">
        <f aca="true">NORMINV(RAND(),0,F$7)</f>
        <v>-0.129324819282478</v>
      </c>
      <c r="G1395" s="53" t="n">
        <f aca="true">NORMINV(RAND(),0,G$7)</f>
        <v>-0.435266927088992</v>
      </c>
      <c r="H1395" s="53" t="n">
        <f aca="true">NORMINV(RAND(),0,H$7)</f>
        <v>-0.239166839494648</v>
      </c>
      <c r="I1395" s="53" t="n">
        <f aca="false">SUM(B1395:H1395)</f>
        <v>-1.7387592113901</v>
      </c>
      <c r="J1395" s="53" t="n">
        <f aca="true">NORMINV(RAND(),0,J$7)</f>
        <v>-2.58744287481068</v>
      </c>
      <c r="K1395" s="53" t="n">
        <f aca="true">NORMINV(RAND(),0,K$7)</f>
        <v>0.604714121098201</v>
      </c>
      <c r="L1395" s="53" t="n">
        <f aca="true">NORMINV(RAND(),0,L$7)</f>
        <v>-0.209528021804719</v>
      </c>
      <c r="M1395" s="53" t="n">
        <f aca="true">NORMINV(RAND(),0,M$7)</f>
        <v>0.553780532808364</v>
      </c>
      <c r="N1395" s="53" t="n">
        <f aca="true">NORMINV(RAND(),0,N$7)</f>
        <v>0.29341131618761</v>
      </c>
      <c r="O1395" s="53" t="n">
        <f aca="false">SUM(J1395:N1395)</f>
        <v>-1.34506492652122</v>
      </c>
    </row>
    <row r="1396" customFormat="false" ht="15" hidden="false" customHeight="false" outlineLevel="0" collapsed="false">
      <c r="A1396" s="2" t="n">
        <v>1388</v>
      </c>
      <c r="B1396" s="53" t="n">
        <f aca="true">NORMINV(RAND(),0,B$7)</f>
        <v>1.09011704628319</v>
      </c>
      <c r="C1396" s="53" t="n">
        <f aca="true">NORMINV(RAND(),0,C$7)</f>
        <v>0.149575636073512</v>
      </c>
      <c r="D1396" s="53" t="n">
        <f aca="true">NORMINV(RAND(),0,D$7)</f>
        <v>2.34986352706552</v>
      </c>
      <c r="E1396" s="53" t="n">
        <f aca="true">NORMINV(RAND(),0,E$7)</f>
        <v>0.814252232114694</v>
      </c>
      <c r="F1396" s="53" t="n">
        <f aca="true">NORMINV(RAND(),0,F$7)</f>
        <v>0.197907290186324</v>
      </c>
      <c r="G1396" s="53" t="n">
        <f aca="true">NORMINV(RAND(),0,G$7)</f>
        <v>-0.1872093362809</v>
      </c>
      <c r="H1396" s="53" t="n">
        <f aca="true">NORMINV(RAND(),0,H$7)</f>
        <v>-0.100807014681096</v>
      </c>
      <c r="I1396" s="53" t="n">
        <f aca="false">SUM(B1396:H1396)</f>
        <v>4.31369938076125</v>
      </c>
      <c r="J1396" s="53" t="n">
        <f aca="true">NORMINV(RAND(),0,J$7)</f>
        <v>-2.36927949102918</v>
      </c>
      <c r="K1396" s="53" t="n">
        <f aca="true">NORMINV(RAND(),0,K$7)</f>
        <v>-0.849794448021204</v>
      </c>
      <c r="L1396" s="53" t="n">
        <f aca="true">NORMINV(RAND(),0,L$7)</f>
        <v>-0.446369431254657</v>
      </c>
      <c r="M1396" s="53" t="n">
        <f aca="true">NORMINV(RAND(),0,M$7)</f>
        <v>-0.0264221881468227</v>
      </c>
      <c r="N1396" s="53" t="n">
        <f aca="true">NORMINV(RAND(),0,N$7)</f>
        <v>-0.4951327701845</v>
      </c>
      <c r="O1396" s="53" t="n">
        <f aca="false">SUM(J1396:N1396)</f>
        <v>-4.18699832863636</v>
      </c>
    </row>
    <row r="1397" customFormat="false" ht="15" hidden="false" customHeight="false" outlineLevel="0" collapsed="false">
      <c r="A1397" s="2" t="n">
        <v>1389</v>
      </c>
      <c r="B1397" s="53" t="n">
        <f aca="true">NORMINV(RAND(),0,B$7)</f>
        <v>-3.13884196797715</v>
      </c>
      <c r="C1397" s="53" t="n">
        <f aca="true">NORMINV(RAND(),0,C$7)</f>
        <v>0.343542253568301</v>
      </c>
      <c r="D1397" s="53" t="n">
        <f aca="true">NORMINV(RAND(),0,D$7)</f>
        <v>-0.870818616120544</v>
      </c>
      <c r="E1397" s="53" t="n">
        <f aca="true">NORMINV(RAND(),0,E$7)</f>
        <v>-0.577354512668818</v>
      </c>
      <c r="F1397" s="53" t="n">
        <f aca="true">NORMINV(RAND(),0,F$7)</f>
        <v>-0.6140788220649</v>
      </c>
      <c r="G1397" s="53" t="n">
        <f aca="true">NORMINV(RAND(),0,G$7)</f>
        <v>-0.380415396260969</v>
      </c>
      <c r="H1397" s="53" t="n">
        <f aca="true">NORMINV(RAND(),0,H$7)</f>
        <v>-0.231108403357014</v>
      </c>
      <c r="I1397" s="53" t="n">
        <f aca="false">SUM(B1397:H1397)</f>
        <v>-5.46907546488109</v>
      </c>
      <c r="J1397" s="53" t="n">
        <f aca="true">NORMINV(RAND(),0,J$7)</f>
        <v>-3.82157345745519</v>
      </c>
      <c r="K1397" s="53" t="n">
        <f aca="true">NORMINV(RAND(),0,K$7)</f>
        <v>-0.118612321306761</v>
      </c>
      <c r="L1397" s="53" t="n">
        <f aca="true">NORMINV(RAND(),0,L$7)</f>
        <v>0.0570918853163763</v>
      </c>
      <c r="M1397" s="53" t="n">
        <f aca="true">NORMINV(RAND(),0,M$7)</f>
        <v>-0.0863698928681847</v>
      </c>
      <c r="N1397" s="53" t="n">
        <f aca="true">NORMINV(RAND(),0,N$7)</f>
        <v>-0.0172688710279264</v>
      </c>
      <c r="O1397" s="53" t="n">
        <f aca="false">SUM(J1397:N1397)</f>
        <v>-3.98673265734169</v>
      </c>
    </row>
    <row r="1398" customFormat="false" ht="15" hidden="false" customHeight="false" outlineLevel="0" collapsed="false">
      <c r="A1398" s="2" t="n">
        <v>1390</v>
      </c>
      <c r="B1398" s="53" t="n">
        <f aca="true">NORMINV(RAND(),0,B$7)</f>
        <v>-0.422029204713483</v>
      </c>
      <c r="C1398" s="53" t="n">
        <f aca="true">NORMINV(RAND(),0,C$7)</f>
        <v>0.264999541074012</v>
      </c>
      <c r="D1398" s="53" t="n">
        <f aca="true">NORMINV(RAND(),0,D$7)</f>
        <v>2.12798793971208</v>
      </c>
      <c r="E1398" s="53" t="n">
        <f aca="true">NORMINV(RAND(),0,E$7)</f>
        <v>0.0394984647564943</v>
      </c>
      <c r="F1398" s="53" t="n">
        <f aca="true">NORMINV(RAND(),0,F$7)</f>
        <v>0.180091010631625</v>
      </c>
      <c r="G1398" s="53" t="n">
        <f aca="true">NORMINV(RAND(),0,G$7)</f>
        <v>1.43324370912621</v>
      </c>
      <c r="H1398" s="53" t="n">
        <f aca="true">NORMINV(RAND(),0,H$7)</f>
        <v>0.543715939105022</v>
      </c>
      <c r="I1398" s="53" t="n">
        <f aca="false">SUM(B1398:H1398)</f>
        <v>4.16750739969196</v>
      </c>
      <c r="J1398" s="53" t="n">
        <f aca="true">NORMINV(RAND(),0,J$7)</f>
        <v>-2.08218977923779</v>
      </c>
      <c r="K1398" s="53" t="n">
        <f aca="true">NORMINV(RAND(),0,K$7)</f>
        <v>-0.0899737169963292</v>
      </c>
      <c r="L1398" s="53" t="n">
        <f aca="true">NORMINV(RAND(),0,L$7)</f>
        <v>0.0798861812610252</v>
      </c>
      <c r="M1398" s="53" t="n">
        <f aca="true">NORMINV(RAND(),0,M$7)</f>
        <v>0.0250554154122999</v>
      </c>
      <c r="N1398" s="53" t="n">
        <f aca="true">NORMINV(RAND(),0,N$7)</f>
        <v>0.228927164629472</v>
      </c>
      <c r="O1398" s="53" t="n">
        <f aca="false">SUM(J1398:N1398)</f>
        <v>-1.83829473493133</v>
      </c>
    </row>
    <row r="1399" customFormat="false" ht="15" hidden="false" customHeight="false" outlineLevel="0" collapsed="false">
      <c r="A1399" s="2" t="n">
        <v>1391</v>
      </c>
      <c r="B1399" s="53" t="n">
        <f aca="true">NORMINV(RAND(),0,B$7)</f>
        <v>-1.25776843819924</v>
      </c>
      <c r="C1399" s="53" t="n">
        <f aca="true">NORMINV(RAND(),0,C$7)</f>
        <v>-0.473390740739651</v>
      </c>
      <c r="D1399" s="53" t="n">
        <f aca="true">NORMINV(RAND(),0,D$7)</f>
        <v>0.391672976234163</v>
      </c>
      <c r="E1399" s="53" t="n">
        <f aca="true">NORMINV(RAND(),0,E$7)</f>
        <v>0.508255481393559</v>
      </c>
      <c r="F1399" s="53" t="n">
        <f aca="true">NORMINV(RAND(),0,F$7)</f>
        <v>0.0906403784189598</v>
      </c>
      <c r="G1399" s="53" t="n">
        <f aca="true">NORMINV(RAND(),0,G$7)</f>
        <v>-2.97556221791729</v>
      </c>
      <c r="H1399" s="53" t="n">
        <f aca="true">NORMINV(RAND(),0,H$7)</f>
        <v>-0.273836304951437</v>
      </c>
      <c r="I1399" s="53" t="n">
        <f aca="false">SUM(B1399:H1399)</f>
        <v>-3.98998886576094</v>
      </c>
      <c r="J1399" s="53" t="n">
        <f aca="true">NORMINV(RAND(),0,J$7)</f>
        <v>-2.92548091227642</v>
      </c>
      <c r="K1399" s="53" t="n">
        <f aca="true">NORMINV(RAND(),0,K$7)</f>
        <v>-0.87955505683673</v>
      </c>
      <c r="L1399" s="53" t="n">
        <f aca="true">NORMINV(RAND(),0,L$7)</f>
        <v>-0.0606508320520458</v>
      </c>
      <c r="M1399" s="53" t="n">
        <f aca="true">NORMINV(RAND(),0,M$7)</f>
        <v>0.0902752578477633</v>
      </c>
      <c r="N1399" s="53" t="n">
        <f aca="true">NORMINV(RAND(),0,N$7)</f>
        <v>0.313948092091928</v>
      </c>
      <c r="O1399" s="53" t="n">
        <f aca="false">SUM(J1399:N1399)</f>
        <v>-3.46146345122551</v>
      </c>
    </row>
    <row r="1400" customFormat="false" ht="15" hidden="false" customHeight="false" outlineLevel="0" collapsed="false">
      <c r="A1400" s="2" t="n">
        <v>1392</v>
      </c>
      <c r="B1400" s="53" t="n">
        <f aca="true">NORMINV(RAND(),0,B$7)</f>
        <v>-2.7590954650376</v>
      </c>
      <c r="C1400" s="53" t="n">
        <f aca="true">NORMINV(RAND(),0,C$7)</f>
        <v>2.34375830813774</v>
      </c>
      <c r="D1400" s="53" t="n">
        <f aca="true">NORMINV(RAND(),0,D$7)</f>
        <v>0.560203451420498</v>
      </c>
      <c r="E1400" s="53" t="n">
        <f aca="true">NORMINV(RAND(),0,E$7)</f>
        <v>-0.943490123886596</v>
      </c>
      <c r="F1400" s="53" t="n">
        <f aca="true">NORMINV(RAND(),0,F$7)</f>
        <v>-0.180903455099411</v>
      </c>
      <c r="G1400" s="53" t="n">
        <f aca="true">NORMINV(RAND(),0,G$7)</f>
        <v>-0.511522602787023</v>
      </c>
      <c r="H1400" s="53" t="n">
        <f aca="true">NORMINV(RAND(),0,H$7)</f>
        <v>-0.0294744339071208</v>
      </c>
      <c r="I1400" s="53" t="n">
        <f aca="false">SUM(B1400:H1400)</f>
        <v>-1.52052432115951</v>
      </c>
      <c r="J1400" s="53" t="n">
        <f aca="true">NORMINV(RAND(),0,J$7)</f>
        <v>3.31889262582014</v>
      </c>
      <c r="K1400" s="53" t="n">
        <f aca="true">NORMINV(RAND(),0,K$7)</f>
        <v>0.90841832007696</v>
      </c>
      <c r="L1400" s="53" t="n">
        <f aca="true">NORMINV(RAND(),0,L$7)</f>
        <v>0.0699164865135471</v>
      </c>
      <c r="M1400" s="53" t="n">
        <f aca="true">NORMINV(RAND(),0,M$7)</f>
        <v>0.159637891226033</v>
      </c>
      <c r="N1400" s="53" t="n">
        <f aca="true">NORMINV(RAND(),0,N$7)</f>
        <v>0.36614411796888</v>
      </c>
      <c r="O1400" s="53" t="n">
        <f aca="false">SUM(J1400:N1400)</f>
        <v>4.82300944160556</v>
      </c>
    </row>
    <row r="1401" customFormat="false" ht="15" hidden="false" customHeight="false" outlineLevel="0" collapsed="false">
      <c r="A1401" s="2" t="n">
        <v>1393</v>
      </c>
      <c r="B1401" s="53" t="n">
        <f aca="true">NORMINV(RAND(),0,B$7)</f>
        <v>1.20991729708972</v>
      </c>
      <c r="C1401" s="53" t="n">
        <f aca="true">NORMINV(RAND(),0,C$7)</f>
        <v>1.26957688968212</v>
      </c>
      <c r="D1401" s="53" t="n">
        <f aca="true">NORMINV(RAND(),0,D$7)</f>
        <v>-0.165375112836881</v>
      </c>
      <c r="E1401" s="53" t="n">
        <f aca="true">NORMINV(RAND(),0,E$7)</f>
        <v>0.224238094786198</v>
      </c>
      <c r="F1401" s="53" t="n">
        <f aca="true">NORMINV(RAND(),0,F$7)</f>
        <v>0.305024448986485</v>
      </c>
      <c r="G1401" s="53" t="n">
        <f aca="true">NORMINV(RAND(),0,G$7)</f>
        <v>-0.294672666805417</v>
      </c>
      <c r="H1401" s="53" t="n">
        <f aca="true">NORMINV(RAND(),0,H$7)</f>
        <v>0.270152618096856</v>
      </c>
      <c r="I1401" s="53" t="n">
        <f aca="false">SUM(B1401:H1401)</f>
        <v>2.81886156899908</v>
      </c>
      <c r="J1401" s="53" t="n">
        <f aca="true">NORMINV(RAND(),0,J$7)</f>
        <v>3.13504072406681</v>
      </c>
      <c r="K1401" s="53" t="n">
        <f aca="true">NORMINV(RAND(),0,K$7)</f>
        <v>-0.82051401879759</v>
      </c>
      <c r="L1401" s="53" t="n">
        <f aca="true">NORMINV(RAND(),0,L$7)</f>
        <v>0.0212884745638822</v>
      </c>
      <c r="M1401" s="53" t="n">
        <f aca="true">NORMINV(RAND(),0,M$7)</f>
        <v>0.413270825519982</v>
      </c>
      <c r="N1401" s="53" t="n">
        <f aca="true">NORMINV(RAND(),0,N$7)</f>
        <v>-0.170086002888364</v>
      </c>
      <c r="O1401" s="53" t="n">
        <f aca="false">SUM(J1401:N1401)</f>
        <v>2.57900000246472</v>
      </c>
    </row>
    <row r="1402" customFormat="false" ht="15" hidden="false" customHeight="false" outlineLevel="0" collapsed="false">
      <c r="A1402" s="2" t="n">
        <v>1394</v>
      </c>
      <c r="B1402" s="53" t="n">
        <f aca="true">NORMINV(RAND(),0,B$7)</f>
        <v>-0.753888083799589</v>
      </c>
      <c r="C1402" s="53" t="n">
        <f aca="true">NORMINV(RAND(),0,C$7)</f>
        <v>0.995199079413448</v>
      </c>
      <c r="D1402" s="53" t="n">
        <f aca="true">NORMINV(RAND(),0,D$7)</f>
        <v>0.0768045895475305</v>
      </c>
      <c r="E1402" s="53" t="n">
        <f aca="true">NORMINV(RAND(),0,E$7)</f>
        <v>-0.487310251374634</v>
      </c>
      <c r="F1402" s="53" t="n">
        <f aca="true">NORMINV(RAND(),0,F$7)</f>
        <v>0.278316597613774</v>
      </c>
      <c r="G1402" s="53" t="n">
        <f aca="true">NORMINV(RAND(),0,G$7)</f>
        <v>1.98621426260442</v>
      </c>
      <c r="H1402" s="53" t="n">
        <f aca="true">NORMINV(RAND(),0,H$7)</f>
        <v>0.431135872878243</v>
      </c>
      <c r="I1402" s="53" t="n">
        <f aca="false">SUM(B1402:H1402)</f>
        <v>2.5264720668832</v>
      </c>
      <c r="J1402" s="53" t="n">
        <f aca="true">NORMINV(RAND(),0,J$7)</f>
        <v>-3.38628275544005</v>
      </c>
      <c r="K1402" s="53" t="n">
        <f aca="true">NORMINV(RAND(),0,K$7)</f>
        <v>-0.539843910313602</v>
      </c>
      <c r="L1402" s="53" t="n">
        <f aca="true">NORMINV(RAND(),0,L$7)</f>
        <v>-0.407186700033016</v>
      </c>
      <c r="M1402" s="53" t="n">
        <f aca="true">NORMINV(RAND(),0,M$7)</f>
        <v>0.0227695224139223</v>
      </c>
      <c r="N1402" s="53" t="n">
        <f aca="true">NORMINV(RAND(),0,N$7)</f>
        <v>-0.00795620158992457</v>
      </c>
      <c r="O1402" s="53" t="n">
        <f aca="false">SUM(J1402:N1402)</f>
        <v>-4.31850004496267</v>
      </c>
    </row>
    <row r="1403" customFormat="false" ht="15" hidden="false" customHeight="false" outlineLevel="0" collapsed="false">
      <c r="A1403" s="2" t="n">
        <v>1395</v>
      </c>
      <c r="B1403" s="53" t="n">
        <f aca="true">NORMINV(RAND(),0,B$7)</f>
        <v>3.02472463111447</v>
      </c>
      <c r="C1403" s="53" t="n">
        <f aca="true">NORMINV(RAND(),0,C$7)</f>
        <v>0.0860711662812159</v>
      </c>
      <c r="D1403" s="53" t="n">
        <f aca="true">NORMINV(RAND(),0,D$7)</f>
        <v>0.439672494753928</v>
      </c>
      <c r="E1403" s="53" t="n">
        <f aca="true">NORMINV(RAND(),0,E$7)</f>
        <v>-0.196039252580368</v>
      </c>
      <c r="F1403" s="53" t="n">
        <f aca="true">NORMINV(RAND(),0,F$7)</f>
        <v>0.631527514493442</v>
      </c>
      <c r="G1403" s="53" t="n">
        <f aca="true">NORMINV(RAND(),0,G$7)</f>
        <v>-1.17118926256823</v>
      </c>
      <c r="H1403" s="53" t="n">
        <f aca="true">NORMINV(RAND(),0,H$7)</f>
        <v>-0.283511678293566</v>
      </c>
      <c r="I1403" s="53" t="n">
        <f aca="false">SUM(B1403:H1403)</f>
        <v>2.53125561320089</v>
      </c>
      <c r="J1403" s="53" t="n">
        <f aca="true">NORMINV(RAND(),0,J$7)</f>
        <v>3.42063956591484</v>
      </c>
      <c r="K1403" s="53" t="n">
        <f aca="true">NORMINV(RAND(),0,K$7)</f>
        <v>-1.37489879469097</v>
      </c>
      <c r="L1403" s="53" t="n">
        <f aca="true">NORMINV(RAND(),0,L$7)</f>
        <v>0.381116232712387</v>
      </c>
      <c r="M1403" s="53" t="n">
        <f aca="true">NORMINV(RAND(),0,M$7)</f>
        <v>0.46433682654942</v>
      </c>
      <c r="N1403" s="53" t="n">
        <f aca="true">NORMINV(RAND(),0,N$7)</f>
        <v>0.104703170291954</v>
      </c>
      <c r="O1403" s="53" t="n">
        <f aca="false">SUM(J1403:N1403)</f>
        <v>2.99589700077763</v>
      </c>
    </row>
    <row r="1404" customFormat="false" ht="15" hidden="false" customHeight="false" outlineLevel="0" collapsed="false">
      <c r="A1404" s="2" t="n">
        <v>1396</v>
      </c>
      <c r="B1404" s="53" t="n">
        <f aca="true">NORMINV(RAND(),0,B$7)</f>
        <v>3.55459767798054</v>
      </c>
      <c r="C1404" s="53" t="n">
        <f aca="true">NORMINV(RAND(),0,C$7)</f>
        <v>3.3403133113062</v>
      </c>
      <c r="D1404" s="53" t="n">
        <f aca="true">NORMINV(RAND(),0,D$7)</f>
        <v>-1.08932814406279</v>
      </c>
      <c r="E1404" s="53" t="n">
        <f aca="true">NORMINV(RAND(),0,E$7)</f>
        <v>0.34871984513212</v>
      </c>
      <c r="F1404" s="53" t="n">
        <f aca="true">NORMINV(RAND(),0,F$7)</f>
        <v>0.111865149799807</v>
      </c>
      <c r="G1404" s="53" t="n">
        <f aca="true">NORMINV(RAND(),0,G$7)</f>
        <v>0.859302623855588</v>
      </c>
      <c r="H1404" s="53" t="n">
        <f aca="true">NORMINV(RAND(),0,H$7)</f>
        <v>-0.27487916938966</v>
      </c>
      <c r="I1404" s="53" t="n">
        <f aca="false">SUM(B1404:H1404)</f>
        <v>6.8505912946218</v>
      </c>
      <c r="J1404" s="53" t="n">
        <f aca="true">NORMINV(RAND(),0,J$7)</f>
        <v>-1.96782406871659</v>
      </c>
      <c r="K1404" s="53" t="n">
        <f aca="true">NORMINV(RAND(),0,K$7)</f>
        <v>-1.2996677712294</v>
      </c>
      <c r="L1404" s="53" t="n">
        <f aca="true">NORMINV(RAND(),0,L$7)</f>
        <v>0.0945823710177961</v>
      </c>
      <c r="M1404" s="53" t="n">
        <f aca="true">NORMINV(RAND(),0,M$7)</f>
        <v>-0.135207785117693</v>
      </c>
      <c r="N1404" s="53" t="n">
        <f aca="true">NORMINV(RAND(),0,N$7)</f>
        <v>0.194566004683232</v>
      </c>
      <c r="O1404" s="53" t="n">
        <f aca="false">SUM(J1404:N1404)</f>
        <v>-3.11355124936266</v>
      </c>
    </row>
    <row r="1405" customFormat="false" ht="15" hidden="false" customHeight="false" outlineLevel="0" collapsed="false">
      <c r="A1405" s="2" t="n">
        <v>1397</v>
      </c>
      <c r="B1405" s="53" t="n">
        <f aca="true">NORMINV(RAND(),0,B$7)</f>
        <v>1.57211831007279</v>
      </c>
      <c r="C1405" s="53" t="n">
        <f aca="true">NORMINV(RAND(),0,C$7)</f>
        <v>-1.0298616371018</v>
      </c>
      <c r="D1405" s="53" t="n">
        <f aca="true">NORMINV(RAND(),0,D$7)</f>
        <v>3.52661456591728</v>
      </c>
      <c r="E1405" s="53" t="n">
        <f aca="true">NORMINV(RAND(),0,E$7)</f>
        <v>-0.0466435653352416</v>
      </c>
      <c r="F1405" s="53" t="n">
        <f aca="true">NORMINV(RAND(),0,F$7)</f>
        <v>-0.618948589893973</v>
      </c>
      <c r="G1405" s="53" t="n">
        <f aca="true">NORMINV(RAND(),0,G$7)</f>
        <v>-1.57270035664562</v>
      </c>
      <c r="H1405" s="53" t="n">
        <f aca="true">NORMINV(RAND(),0,H$7)</f>
        <v>0.162991573984097</v>
      </c>
      <c r="I1405" s="53" t="n">
        <f aca="false">SUM(B1405:H1405)</f>
        <v>1.99357030099753</v>
      </c>
      <c r="J1405" s="53" t="n">
        <f aca="true">NORMINV(RAND(),0,J$7)</f>
        <v>-4.3784138482918</v>
      </c>
      <c r="K1405" s="53" t="n">
        <f aca="true">NORMINV(RAND(),0,K$7)</f>
        <v>-1.02342526981075</v>
      </c>
      <c r="L1405" s="53" t="n">
        <f aca="true">NORMINV(RAND(),0,L$7)</f>
        <v>0.641827242941516</v>
      </c>
      <c r="M1405" s="53" t="n">
        <f aca="true">NORMINV(RAND(),0,M$7)</f>
        <v>-0.251626091093675</v>
      </c>
      <c r="N1405" s="53" t="n">
        <f aca="true">NORMINV(RAND(),0,N$7)</f>
        <v>-0.258724203927474</v>
      </c>
      <c r="O1405" s="53" t="n">
        <f aca="false">SUM(J1405:N1405)</f>
        <v>-5.27036217018218</v>
      </c>
    </row>
    <row r="1406" customFormat="false" ht="15" hidden="false" customHeight="false" outlineLevel="0" collapsed="false">
      <c r="A1406" s="2" t="n">
        <v>1398</v>
      </c>
      <c r="B1406" s="53" t="n">
        <f aca="true">NORMINV(RAND(),0,B$7)</f>
        <v>-0.674864218350809</v>
      </c>
      <c r="C1406" s="53" t="n">
        <f aca="true">NORMINV(RAND(),0,C$7)</f>
        <v>-0.64527335268992</v>
      </c>
      <c r="D1406" s="53" t="n">
        <f aca="true">NORMINV(RAND(),0,D$7)</f>
        <v>-0.994994033376918</v>
      </c>
      <c r="E1406" s="53" t="n">
        <f aca="true">NORMINV(RAND(),0,E$7)</f>
        <v>-0.284069628402445</v>
      </c>
      <c r="F1406" s="53" t="n">
        <f aca="true">NORMINV(RAND(),0,F$7)</f>
        <v>0.36033694821307</v>
      </c>
      <c r="G1406" s="53" t="n">
        <f aca="true">NORMINV(RAND(),0,G$7)</f>
        <v>1.5224080520769</v>
      </c>
      <c r="H1406" s="53" t="n">
        <f aca="true">NORMINV(RAND(),0,H$7)</f>
        <v>0.363273006939227</v>
      </c>
      <c r="I1406" s="53" t="n">
        <f aca="false">SUM(B1406:H1406)</f>
        <v>-0.353183225590894</v>
      </c>
      <c r="J1406" s="53" t="n">
        <f aca="true">NORMINV(RAND(),0,J$7)</f>
        <v>3.18721756987937</v>
      </c>
      <c r="K1406" s="53" t="n">
        <f aca="true">NORMINV(RAND(),0,K$7)</f>
        <v>-0.459295413413827</v>
      </c>
      <c r="L1406" s="53" t="n">
        <f aca="true">NORMINV(RAND(),0,L$7)</f>
        <v>-0.753030611570402</v>
      </c>
      <c r="M1406" s="53" t="n">
        <f aca="true">NORMINV(RAND(),0,M$7)</f>
        <v>-0.30177711311303</v>
      </c>
      <c r="N1406" s="53" t="n">
        <f aca="true">NORMINV(RAND(),0,N$7)</f>
        <v>-0.294840070801555</v>
      </c>
      <c r="O1406" s="53" t="n">
        <f aca="false">SUM(J1406:N1406)</f>
        <v>1.37827436098056</v>
      </c>
    </row>
    <row r="1407" customFormat="false" ht="15" hidden="false" customHeight="false" outlineLevel="0" collapsed="false">
      <c r="A1407" s="2" t="n">
        <v>1399</v>
      </c>
      <c r="B1407" s="53" t="n">
        <f aca="true">NORMINV(RAND(),0,B$7)</f>
        <v>-0.612901156964114</v>
      </c>
      <c r="C1407" s="53" t="n">
        <f aca="true">NORMINV(RAND(),0,C$7)</f>
        <v>2.31109381456171</v>
      </c>
      <c r="D1407" s="53" t="n">
        <f aca="true">NORMINV(RAND(),0,D$7)</f>
        <v>-4.16373512203395</v>
      </c>
      <c r="E1407" s="53" t="n">
        <f aca="true">NORMINV(RAND(),0,E$7)</f>
        <v>-0.195350634541804</v>
      </c>
      <c r="F1407" s="53" t="n">
        <f aca="true">NORMINV(RAND(),0,F$7)</f>
        <v>0.150137021987718</v>
      </c>
      <c r="G1407" s="53" t="n">
        <f aca="true">NORMINV(RAND(),0,G$7)</f>
        <v>-0.385278673256062</v>
      </c>
      <c r="H1407" s="53" t="n">
        <f aca="true">NORMINV(RAND(),0,H$7)</f>
        <v>-0.660184709017813</v>
      </c>
      <c r="I1407" s="53" t="n">
        <f aca="false">SUM(B1407:H1407)</f>
        <v>-3.55621945926431</v>
      </c>
      <c r="J1407" s="53" t="n">
        <f aca="true">NORMINV(RAND(),0,J$7)</f>
        <v>0.379570902027908</v>
      </c>
      <c r="K1407" s="53" t="n">
        <f aca="true">NORMINV(RAND(),0,K$7)</f>
        <v>-0.486519335829999</v>
      </c>
      <c r="L1407" s="53" t="n">
        <f aca="true">NORMINV(RAND(),0,L$7)</f>
        <v>0.427294733585822</v>
      </c>
      <c r="M1407" s="53" t="n">
        <f aca="true">NORMINV(RAND(),0,M$7)</f>
        <v>-0.284547004761734</v>
      </c>
      <c r="N1407" s="53" t="n">
        <f aca="true">NORMINV(RAND(),0,N$7)</f>
        <v>-0.119829929782229</v>
      </c>
      <c r="O1407" s="53" t="n">
        <f aca="false">SUM(J1407:N1407)</f>
        <v>-0.0840306347602321</v>
      </c>
    </row>
    <row r="1408" customFormat="false" ht="15" hidden="false" customHeight="false" outlineLevel="0" collapsed="false">
      <c r="A1408" s="2" t="n">
        <v>1400</v>
      </c>
      <c r="B1408" s="53" t="n">
        <f aca="true">NORMINV(RAND(),0,B$7)</f>
        <v>0.276602997913307</v>
      </c>
      <c r="C1408" s="53" t="n">
        <f aca="true">NORMINV(RAND(),0,C$7)</f>
        <v>-1.22721063209048</v>
      </c>
      <c r="D1408" s="53" t="n">
        <f aca="true">NORMINV(RAND(),0,D$7)</f>
        <v>1.23366290073392</v>
      </c>
      <c r="E1408" s="53" t="n">
        <f aca="true">NORMINV(RAND(),0,E$7)</f>
        <v>0.0517680777859699</v>
      </c>
      <c r="F1408" s="53" t="n">
        <f aca="true">NORMINV(RAND(),0,F$7)</f>
        <v>0.444051528698835</v>
      </c>
      <c r="G1408" s="53" t="n">
        <f aca="true">NORMINV(RAND(),0,G$7)</f>
        <v>1.72115774642204</v>
      </c>
      <c r="H1408" s="53" t="n">
        <f aca="true">NORMINV(RAND(),0,H$7)</f>
        <v>0.134820902327824</v>
      </c>
      <c r="I1408" s="53" t="n">
        <f aca="false">SUM(B1408:H1408)</f>
        <v>2.63485352179142</v>
      </c>
      <c r="J1408" s="53" t="n">
        <f aca="true">NORMINV(RAND(),0,J$7)</f>
        <v>2.87667743044606</v>
      </c>
      <c r="K1408" s="53" t="n">
        <f aca="true">NORMINV(RAND(),0,K$7)</f>
        <v>0.367891652093342</v>
      </c>
      <c r="L1408" s="53" t="n">
        <f aca="true">NORMINV(RAND(),0,L$7)</f>
        <v>0.0978465463568043</v>
      </c>
      <c r="M1408" s="53" t="n">
        <f aca="true">NORMINV(RAND(),0,M$7)</f>
        <v>0.173042152165515</v>
      </c>
      <c r="N1408" s="53" t="n">
        <f aca="true">NORMINV(RAND(),0,N$7)</f>
        <v>-0.0759091477263334</v>
      </c>
      <c r="O1408" s="53" t="n">
        <f aca="false">SUM(J1408:N1408)</f>
        <v>3.43954863333539</v>
      </c>
    </row>
    <row r="1409" customFormat="false" ht="15" hidden="false" customHeight="false" outlineLevel="0" collapsed="false">
      <c r="A1409" s="2" t="n">
        <v>1401</v>
      </c>
      <c r="B1409" s="53" t="n">
        <f aca="true">NORMINV(RAND(),0,B$7)</f>
        <v>-3.0155089412449</v>
      </c>
      <c r="C1409" s="53" t="n">
        <f aca="true">NORMINV(RAND(),0,C$7)</f>
        <v>-0.496021035516149</v>
      </c>
      <c r="D1409" s="53" t="n">
        <f aca="true">NORMINV(RAND(),0,D$7)</f>
        <v>-4.77179974210456</v>
      </c>
      <c r="E1409" s="53" t="n">
        <f aca="true">NORMINV(RAND(),0,E$7)</f>
        <v>0.307586152263346</v>
      </c>
      <c r="F1409" s="53" t="n">
        <f aca="true">NORMINV(RAND(),0,F$7)</f>
        <v>-0.88315551464547</v>
      </c>
      <c r="G1409" s="53" t="n">
        <f aca="true">NORMINV(RAND(),0,G$7)</f>
        <v>-1.85414771381679</v>
      </c>
      <c r="H1409" s="53" t="n">
        <f aca="true">NORMINV(RAND(),0,H$7)</f>
        <v>-0.0169344257393958</v>
      </c>
      <c r="I1409" s="53" t="n">
        <f aca="false">SUM(B1409:H1409)</f>
        <v>-10.7299812208039</v>
      </c>
      <c r="J1409" s="53" t="n">
        <f aca="true">NORMINV(RAND(),0,J$7)</f>
        <v>-0.239493647894396</v>
      </c>
      <c r="K1409" s="53" t="n">
        <f aca="true">NORMINV(RAND(),0,K$7)</f>
        <v>-0.278091816742939</v>
      </c>
      <c r="L1409" s="53" t="n">
        <f aca="true">NORMINV(RAND(),0,L$7)</f>
        <v>0.141192125568084</v>
      </c>
      <c r="M1409" s="53" t="n">
        <f aca="true">NORMINV(RAND(),0,M$7)</f>
        <v>0.346067724591118</v>
      </c>
      <c r="N1409" s="53" t="n">
        <f aca="true">NORMINV(RAND(),0,N$7)</f>
        <v>-0.44738495961789</v>
      </c>
      <c r="O1409" s="53" t="n">
        <f aca="false">SUM(J1409:N1409)</f>
        <v>-0.477710574096023</v>
      </c>
    </row>
    <row r="1410" customFormat="false" ht="15" hidden="false" customHeight="false" outlineLevel="0" collapsed="false">
      <c r="A1410" s="2" t="n">
        <v>1402</v>
      </c>
      <c r="B1410" s="53" t="n">
        <f aca="true">NORMINV(RAND(),0,B$7)</f>
        <v>-0.191978601018832</v>
      </c>
      <c r="C1410" s="53" t="n">
        <f aca="true">NORMINV(RAND(),0,C$7)</f>
        <v>1.55503420730778</v>
      </c>
      <c r="D1410" s="53" t="n">
        <f aca="true">NORMINV(RAND(),0,D$7)</f>
        <v>-1.67066695466864</v>
      </c>
      <c r="E1410" s="53" t="n">
        <f aca="true">NORMINV(RAND(),0,E$7)</f>
        <v>0.378742592529425</v>
      </c>
      <c r="F1410" s="53" t="n">
        <f aca="true">NORMINV(RAND(),0,F$7)</f>
        <v>0.0997258511085058</v>
      </c>
      <c r="G1410" s="53" t="n">
        <f aca="true">NORMINV(RAND(),0,G$7)</f>
        <v>-0.682118842507761</v>
      </c>
      <c r="H1410" s="53" t="n">
        <f aca="true">NORMINV(RAND(),0,H$7)</f>
        <v>-0.60948293461863</v>
      </c>
      <c r="I1410" s="53" t="n">
        <f aca="false">SUM(B1410:H1410)</f>
        <v>-1.12074468186816</v>
      </c>
      <c r="J1410" s="53" t="n">
        <f aca="true">NORMINV(RAND(),0,J$7)</f>
        <v>1.07673323119926</v>
      </c>
      <c r="K1410" s="53" t="n">
        <f aca="true">NORMINV(RAND(),0,K$7)</f>
        <v>-0.892897707158465</v>
      </c>
      <c r="L1410" s="53" t="n">
        <f aca="true">NORMINV(RAND(),0,L$7)</f>
        <v>-0.16868905865676</v>
      </c>
      <c r="M1410" s="53" t="n">
        <f aca="true">NORMINV(RAND(),0,M$7)</f>
        <v>0.170246900367482</v>
      </c>
      <c r="N1410" s="53" t="n">
        <f aca="true">NORMINV(RAND(),0,N$7)</f>
        <v>-0.0862656373024949</v>
      </c>
      <c r="O1410" s="53" t="n">
        <f aca="false">SUM(J1410:N1410)</f>
        <v>0.0991277284490205</v>
      </c>
    </row>
    <row r="1411" customFormat="false" ht="15" hidden="false" customHeight="false" outlineLevel="0" collapsed="false">
      <c r="A1411" s="2" t="n">
        <v>1403</v>
      </c>
      <c r="B1411" s="53" t="n">
        <f aca="true">NORMINV(RAND(),0,B$7)</f>
        <v>-0.273543696044662</v>
      </c>
      <c r="C1411" s="53" t="n">
        <f aca="true">NORMINV(RAND(),0,C$7)</f>
        <v>1.98196679802086</v>
      </c>
      <c r="D1411" s="53" t="n">
        <f aca="true">NORMINV(RAND(),0,D$7)</f>
        <v>0.59076882762449</v>
      </c>
      <c r="E1411" s="53" t="n">
        <f aca="true">NORMINV(RAND(),0,E$7)</f>
        <v>0.137615545570126</v>
      </c>
      <c r="F1411" s="53" t="n">
        <f aca="true">NORMINV(RAND(),0,F$7)</f>
        <v>-0.0378775510102785</v>
      </c>
      <c r="G1411" s="53" t="n">
        <f aca="true">NORMINV(RAND(),0,G$7)</f>
        <v>-0.17518112436002</v>
      </c>
      <c r="H1411" s="53" t="n">
        <f aca="true">NORMINV(RAND(),0,H$7)</f>
        <v>0.293583428554457</v>
      </c>
      <c r="I1411" s="53" t="n">
        <f aca="false">SUM(B1411:H1411)</f>
        <v>2.51733222835497</v>
      </c>
      <c r="J1411" s="53" t="n">
        <f aca="true">NORMINV(RAND(),0,J$7)</f>
        <v>-0.669437271267758</v>
      </c>
      <c r="K1411" s="53" t="n">
        <f aca="true">NORMINV(RAND(),0,K$7)</f>
        <v>0.241549079419219</v>
      </c>
      <c r="L1411" s="53" t="n">
        <f aca="true">NORMINV(RAND(),0,L$7)</f>
        <v>-0.618905074910709</v>
      </c>
      <c r="M1411" s="53" t="n">
        <f aca="true">NORMINV(RAND(),0,M$7)</f>
        <v>-0.385807592574802</v>
      </c>
      <c r="N1411" s="53" t="n">
        <f aca="true">NORMINV(RAND(),0,N$7)</f>
        <v>-0.393327421615083</v>
      </c>
      <c r="O1411" s="53" t="n">
        <f aca="false">SUM(J1411:N1411)</f>
        <v>-1.82592828094913</v>
      </c>
    </row>
    <row r="1412" customFormat="false" ht="15" hidden="false" customHeight="false" outlineLevel="0" collapsed="false">
      <c r="A1412" s="2" t="n">
        <v>1404</v>
      </c>
      <c r="B1412" s="53" t="n">
        <f aca="true">NORMINV(RAND(),0,B$7)</f>
        <v>0.364761839432772</v>
      </c>
      <c r="C1412" s="53" t="n">
        <f aca="true">NORMINV(RAND(),0,C$7)</f>
        <v>-0.797413482916783</v>
      </c>
      <c r="D1412" s="53" t="n">
        <f aca="true">NORMINV(RAND(),0,D$7)</f>
        <v>-2.35463113480265</v>
      </c>
      <c r="E1412" s="53" t="n">
        <f aca="true">NORMINV(RAND(),0,E$7)</f>
        <v>0.00450640800665657</v>
      </c>
      <c r="F1412" s="53" t="n">
        <f aca="true">NORMINV(RAND(),0,F$7)</f>
        <v>-0.310870185451211</v>
      </c>
      <c r="G1412" s="53" t="n">
        <f aca="true">NORMINV(RAND(),0,G$7)</f>
        <v>-1.29626148808625</v>
      </c>
      <c r="H1412" s="53" t="n">
        <f aca="true">NORMINV(RAND(),0,H$7)</f>
        <v>-0.0820477037611145</v>
      </c>
      <c r="I1412" s="53" t="n">
        <f aca="false">SUM(B1412:H1412)</f>
        <v>-4.47195574757858</v>
      </c>
      <c r="J1412" s="53" t="n">
        <f aca="true">NORMINV(RAND(),0,J$7)</f>
        <v>-2.43594606580813</v>
      </c>
      <c r="K1412" s="53" t="n">
        <f aca="true">NORMINV(RAND(),0,K$7)</f>
        <v>0.503184958768909</v>
      </c>
      <c r="L1412" s="53" t="n">
        <f aca="true">NORMINV(RAND(),0,L$7)</f>
        <v>0.648975989269833</v>
      </c>
      <c r="M1412" s="53" t="n">
        <f aca="true">NORMINV(RAND(),0,M$7)</f>
        <v>0.229375181252612</v>
      </c>
      <c r="N1412" s="53" t="n">
        <f aca="true">NORMINV(RAND(),0,N$7)</f>
        <v>0.00901919652650487</v>
      </c>
      <c r="O1412" s="53" t="n">
        <f aca="false">SUM(J1412:N1412)</f>
        <v>-1.04539073999027</v>
      </c>
    </row>
    <row r="1413" customFormat="false" ht="15" hidden="false" customHeight="false" outlineLevel="0" collapsed="false">
      <c r="A1413" s="2" t="n">
        <v>1405</v>
      </c>
      <c r="B1413" s="53" t="n">
        <f aca="true">NORMINV(RAND(),0,B$7)</f>
        <v>-0.510283686466477</v>
      </c>
      <c r="C1413" s="53" t="n">
        <f aca="true">NORMINV(RAND(),0,C$7)</f>
        <v>0.622743685703025</v>
      </c>
      <c r="D1413" s="53" t="n">
        <f aca="true">NORMINV(RAND(),0,D$7)</f>
        <v>-1.52615062262573</v>
      </c>
      <c r="E1413" s="53" t="n">
        <f aca="true">NORMINV(RAND(),0,E$7)</f>
        <v>0.101948656398261</v>
      </c>
      <c r="F1413" s="53" t="n">
        <f aca="true">NORMINV(RAND(),0,F$7)</f>
        <v>0.673955515752105</v>
      </c>
      <c r="G1413" s="53" t="n">
        <f aca="true">NORMINV(RAND(),0,G$7)</f>
        <v>0.297219769269159</v>
      </c>
      <c r="H1413" s="53" t="n">
        <f aca="true">NORMINV(RAND(),0,H$7)</f>
        <v>0.000522408184161289</v>
      </c>
      <c r="I1413" s="53" t="n">
        <f aca="false">SUM(B1413:H1413)</f>
        <v>-0.340044273785493</v>
      </c>
      <c r="J1413" s="53" t="n">
        <f aca="true">NORMINV(RAND(),0,J$7)</f>
        <v>1.61489483085228</v>
      </c>
      <c r="K1413" s="53" t="n">
        <f aca="true">NORMINV(RAND(),0,K$7)</f>
        <v>-0.804094770880628</v>
      </c>
      <c r="L1413" s="53" t="n">
        <f aca="true">NORMINV(RAND(),0,L$7)</f>
        <v>0.554852302325344</v>
      </c>
      <c r="M1413" s="53" t="n">
        <f aca="true">NORMINV(RAND(),0,M$7)</f>
        <v>-0.135867414982584</v>
      </c>
      <c r="N1413" s="53" t="n">
        <f aca="true">NORMINV(RAND(),0,N$7)</f>
        <v>-0.614020312072431</v>
      </c>
      <c r="O1413" s="53" t="n">
        <f aca="false">SUM(J1413:N1413)</f>
        <v>0.615764635241979</v>
      </c>
    </row>
    <row r="1414" customFormat="false" ht="15" hidden="false" customHeight="false" outlineLevel="0" collapsed="false">
      <c r="A1414" s="2" t="n">
        <v>1406</v>
      </c>
      <c r="B1414" s="53" t="n">
        <f aca="true">NORMINV(RAND(),0,B$7)</f>
        <v>-0.253976189917166</v>
      </c>
      <c r="C1414" s="53" t="n">
        <f aca="true">NORMINV(RAND(),0,C$7)</f>
        <v>-0.90805373882069</v>
      </c>
      <c r="D1414" s="53" t="n">
        <f aca="true">NORMINV(RAND(),0,D$7)</f>
        <v>-1.70829623491336</v>
      </c>
      <c r="E1414" s="53" t="n">
        <f aca="true">NORMINV(RAND(),0,E$7)</f>
        <v>-0.541585417855185</v>
      </c>
      <c r="F1414" s="53" t="n">
        <f aca="true">NORMINV(RAND(),0,F$7)</f>
        <v>-0.367742863938244</v>
      </c>
      <c r="G1414" s="53" t="n">
        <f aca="true">NORMINV(RAND(),0,G$7)</f>
        <v>-0.406530568037498</v>
      </c>
      <c r="H1414" s="53" t="n">
        <f aca="true">NORMINV(RAND(),0,H$7)</f>
        <v>-0.361408212368839</v>
      </c>
      <c r="I1414" s="53" t="n">
        <f aca="false">SUM(B1414:H1414)</f>
        <v>-4.54759322585099</v>
      </c>
      <c r="J1414" s="53" t="n">
        <f aca="true">NORMINV(RAND(),0,J$7)</f>
        <v>4.087746945513</v>
      </c>
      <c r="K1414" s="53" t="n">
        <f aca="true">NORMINV(RAND(),0,K$7)</f>
        <v>-0.079860815891215</v>
      </c>
      <c r="L1414" s="53" t="n">
        <f aca="true">NORMINV(RAND(),0,L$7)</f>
        <v>-0.415077738740297</v>
      </c>
      <c r="M1414" s="53" t="n">
        <f aca="true">NORMINV(RAND(),0,M$7)</f>
        <v>0.305424202392011</v>
      </c>
      <c r="N1414" s="53" t="n">
        <f aca="true">NORMINV(RAND(),0,N$7)</f>
        <v>-0.326162370015575</v>
      </c>
      <c r="O1414" s="53" t="n">
        <f aca="false">SUM(J1414:N1414)</f>
        <v>3.57207022325793</v>
      </c>
    </row>
    <row r="1415" customFormat="false" ht="15" hidden="false" customHeight="false" outlineLevel="0" collapsed="false">
      <c r="A1415" s="2" t="n">
        <v>1407</v>
      </c>
      <c r="B1415" s="53" t="n">
        <f aca="true">NORMINV(RAND(),0,B$7)</f>
        <v>-1.70722220684789</v>
      </c>
      <c r="C1415" s="53" t="n">
        <f aca="true">NORMINV(RAND(),0,C$7)</f>
        <v>-0.669843876301136</v>
      </c>
      <c r="D1415" s="53" t="n">
        <f aca="true">NORMINV(RAND(),0,D$7)</f>
        <v>-0.422397089596122</v>
      </c>
      <c r="E1415" s="53" t="n">
        <f aca="true">NORMINV(RAND(),0,E$7)</f>
        <v>0.161398592942617</v>
      </c>
      <c r="F1415" s="53" t="n">
        <f aca="true">NORMINV(RAND(),0,F$7)</f>
        <v>0.223316911053998</v>
      </c>
      <c r="G1415" s="53" t="n">
        <f aca="true">NORMINV(RAND(),0,G$7)</f>
        <v>2.39754466025446</v>
      </c>
      <c r="H1415" s="53" t="n">
        <f aca="true">NORMINV(RAND(),0,H$7)</f>
        <v>0.29542307903758</v>
      </c>
      <c r="I1415" s="53" t="n">
        <f aca="false">SUM(B1415:H1415)</f>
        <v>0.278220070543505</v>
      </c>
      <c r="J1415" s="53" t="n">
        <f aca="true">NORMINV(RAND(),0,J$7)</f>
        <v>2.80404063097636</v>
      </c>
      <c r="K1415" s="53" t="n">
        <f aca="true">NORMINV(RAND(),0,K$7)</f>
        <v>-0.754541555214614</v>
      </c>
      <c r="L1415" s="53" t="n">
        <f aca="true">NORMINV(RAND(),0,L$7)</f>
        <v>0.227923702092867</v>
      </c>
      <c r="M1415" s="53" t="n">
        <f aca="true">NORMINV(RAND(),0,M$7)</f>
        <v>-0.0478835802805951</v>
      </c>
      <c r="N1415" s="53" t="n">
        <f aca="true">NORMINV(RAND(),0,N$7)</f>
        <v>-0.596444478139809</v>
      </c>
      <c r="O1415" s="53" t="n">
        <f aca="false">SUM(J1415:N1415)</f>
        <v>1.63309471943421</v>
      </c>
    </row>
    <row r="1416" customFormat="false" ht="15" hidden="false" customHeight="false" outlineLevel="0" collapsed="false">
      <c r="A1416" s="2" t="n">
        <v>1408</v>
      </c>
      <c r="B1416" s="53" t="n">
        <f aca="true">NORMINV(RAND(),0,B$7)</f>
        <v>-1.15775845913925</v>
      </c>
      <c r="C1416" s="53" t="n">
        <f aca="true">NORMINV(RAND(),0,C$7)</f>
        <v>1.56294705605192</v>
      </c>
      <c r="D1416" s="53" t="n">
        <f aca="true">NORMINV(RAND(),0,D$7)</f>
        <v>1.73674570538633</v>
      </c>
      <c r="E1416" s="53" t="n">
        <f aca="true">NORMINV(RAND(),0,E$7)</f>
        <v>0.605887667307195</v>
      </c>
      <c r="F1416" s="53" t="n">
        <f aca="true">NORMINV(RAND(),0,F$7)</f>
        <v>-0.273100242480836</v>
      </c>
      <c r="G1416" s="53" t="n">
        <f aca="true">NORMINV(RAND(),0,G$7)</f>
        <v>-0.956040653288976</v>
      </c>
      <c r="H1416" s="53" t="n">
        <f aca="true">NORMINV(RAND(),0,H$7)</f>
        <v>-0.716549232084369</v>
      </c>
      <c r="I1416" s="53" t="n">
        <f aca="false">SUM(B1416:H1416)</f>
        <v>0.80213184175201</v>
      </c>
      <c r="J1416" s="53" t="n">
        <f aca="true">NORMINV(RAND(),0,J$7)</f>
        <v>1.78674244559423</v>
      </c>
      <c r="K1416" s="53" t="n">
        <f aca="true">NORMINV(RAND(),0,K$7)</f>
        <v>1.21489928498508</v>
      </c>
      <c r="L1416" s="53" t="n">
        <f aca="true">NORMINV(RAND(),0,L$7)</f>
        <v>0.236967665287919</v>
      </c>
      <c r="M1416" s="53" t="n">
        <f aca="true">NORMINV(RAND(),0,M$7)</f>
        <v>0.0490681907527831</v>
      </c>
      <c r="N1416" s="53" t="n">
        <f aca="true">NORMINV(RAND(),0,N$7)</f>
        <v>0.349758813882641</v>
      </c>
      <c r="O1416" s="53" t="n">
        <f aca="false">SUM(J1416:N1416)</f>
        <v>3.63743640050266</v>
      </c>
    </row>
    <row r="1417" customFormat="false" ht="15" hidden="false" customHeight="false" outlineLevel="0" collapsed="false">
      <c r="A1417" s="2" t="n">
        <v>1409</v>
      </c>
      <c r="B1417" s="53" t="n">
        <f aca="true">NORMINV(RAND(),0,B$7)</f>
        <v>0.383736905387967</v>
      </c>
      <c r="C1417" s="53" t="n">
        <f aca="true">NORMINV(RAND(),0,C$7)</f>
        <v>-0.105202646064402</v>
      </c>
      <c r="D1417" s="53" t="n">
        <f aca="true">NORMINV(RAND(),0,D$7)</f>
        <v>-0.879273828261523</v>
      </c>
      <c r="E1417" s="53" t="n">
        <f aca="true">NORMINV(RAND(),0,E$7)</f>
        <v>-0.230975740935786</v>
      </c>
      <c r="F1417" s="53" t="n">
        <f aca="true">NORMINV(RAND(),0,F$7)</f>
        <v>-0.368130967751162</v>
      </c>
      <c r="G1417" s="53" t="n">
        <f aca="true">NORMINV(RAND(),0,G$7)</f>
        <v>-0.933757886858208</v>
      </c>
      <c r="H1417" s="53" t="n">
        <f aca="true">NORMINV(RAND(),0,H$7)</f>
        <v>0.149723046316986</v>
      </c>
      <c r="I1417" s="53" t="n">
        <f aca="false">SUM(B1417:H1417)</f>
        <v>-1.98388111816613</v>
      </c>
      <c r="J1417" s="53" t="n">
        <f aca="true">NORMINV(RAND(),0,J$7)</f>
        <v>1.89785183968696</v>
      </c>
      <c r="K1417" s="53" t="n">
        <f aca="true">NORMINV(RAND(),0,K$7)</f>
        <v>-0.380721955829643</v>
      </c>
      <c r="L1417" s="53" t="n">
        <f aca="true">NORMINV(RAND(),0,L$7)</f>
        <v>0.118581306517639</v>
      </c>
      <c r="M1417" s="53" t="n">
        <f aca="true">NORMINV(RAND(),0,M$7)</f>
        <v>0.37475781397545</v>
      </c>
      <c r="N1417" s="53" t="n">
        <f aca="true">NORMINV(RAND(),0,N$7)</f>
        <v>0.330042164967144</v>
      </c>
      <c r="O1417" s="53" t="n">
        <f aca="false">SUM(J1417:N1417)</f>
        <v>2.34051116931755</v>
      </c>
    </row>
    <row r="1418" customFormat="false" ht="15" hidden="false" customHeight="false" outlineLevel="0" collapsed="false">
      <c r="A1418" s="2" t="n">
        <v>1410</v>
      </c>
      <c r="B1418" s="53" t="n">
        <f aca="true">NORMINV(RAND(),0,B$7)</f>
        <v>1.19155037905261</v>
      </c>
      <c r="C1418" s="53" t="n">
        <f aca="true">NORMINV(RAND(),0,C$7)</f>
        <v>-0.0351990123600838</v>
      </c>
      <c r="D1418" s="53" t="n">
        <f aca="true">NORMINV(RAND(),0,D$7)</f>
        <v>-0.225268498650961</v>
      </c>
      <c r="E1418" s="53" t="n">
        <f aca="true">NORMINV(RAND(),0,E$7)</f>
        <v>-0.471876890260382</v>
      </c>
      <c r="F1418" s="53" t="n">
        <f aca="true">NORMINV(RAND(),0,F$7)</f>
        <v>-0.240277412355001</v>
      </c>
      <c r="G1418" s="53" t="n">
        <f aca="true">NORMINV(RAND(),0,G$7)</f>
        <v>1.69076431330825</v>
      </c>
      <c r="H1418" s="53" t="n">
        <f aca="true">NORMINV(RAND(),0,H$7)</f>
        <v>0.28176399182544</v>
      </c>
      <c r="I1418" s="53" t="n">
        <f aca="false">SUM(B1418:H1418)</f>
        <v>2.19145687055988</v>
      </c>
      <c r="J1418" s="53" t="n">
        <f aca="true">NORMINV(RAND(),0,J$7)</f>
        <v>0.375282977018115</v>
      </c>
      <c r="K1418" s="53" t="n">
        <f aca="true">NORMINV(RAND(),0,K$7)</f>
        <v>-0.957437125572405</v>
      </c>
      <c r="L1418" s="53" t="n">
        <f aca="true">NORMINV(RAND(),0,L$7)</f>
        <v>1.14961194760166</v>
      </c>
      <c r="M1418" s="53" t="n">
        <f aca="true">NORMINV(RAND(),0,M$7)</f>
        <v>0.134655965030359</v>
      </c>
      <c r="N1418" s="53" t="n">
        <f aca="true">NORMINV(RAND(),0,N$7)</f>
        <v>-0.640192177371105</v>
      </c>
      <c r="O1418" s="53" t="n">
        <f aca="false">SUM(J1418:N1418)</f>
        <v>0.0619215867066221</v>
      </c>
    </row>
    <row r="1419" customFormat="false" ht="15" hidden="false" customHeight="false" outlineLevel="0" collapsed="false">
      <c r="A1419" s="2" t="n">
        <v>1411</v>
      </c>
      <c r="B1419" s="53" t="n">
        <f aca="true">NORMINV(RAND(),0,B$7)</f>
        <v>4.90179617061698</v>
      </c>
      <c r="C1419" s="53" t="n">
        <f aca="true">NORMINV(RAND(),0,C$7)</f>
        <v>-0.710990615861724</v>
      </c>
      <c r="D1419" s="53" t="n">
        <f aca="true">NORMINV(RAND(),0,D$7)</f>
        <v>-0.306343695263984</v>
      </c>
      <c r="E1419" s="53" t="n">
        <f aca="true">NORMINV(RAND(),0,E$7)</f>
        <v>-0.76588402373822</v>
      </c>
      <c r="F1419" s="53" t="n">
        <f aca="true">NORMINV(RAND(),0,F$7)</f>
        <v>0.0880864117708909</v>
      </c>
      <c r="G1419" s="53" t="n">
        <f aca="true">NORMINV(RAND(),0,G$7)</f>
        <v>1.32060239369442</v>
      </c>
      <c r="H1419" s="53" t="n">
        <f aca="true">NORMINV(RAND(),0,H$7)</f>
        <v>0.258591336509248</v>
      </c>
      <c r="I1419" s="53" t="n">
        <f aca="false">SUM(B1419:H1419)</f>
        <v>4.78585797772761</v>
      </c>
      <c r="J1419" s="53" t="n">
        <f aca="true">NORMINV(RAND(),0,J$7)</f>
        <v>2.5087317858747</v>
      </c>
      <c r="K1419" s="53" t="n">
        <f aca="true">NORMINV(RAND(),0,K$7)</f>
        <v>-0.1756853905309</v>
      </c>
      <c r="L1419" s="53" t="n">
        <f aca="true">NORMINV(RAND(),0,L$7)</f>
        <v>0.213575271629494</v>
      </c>
      <c r="M1419" s="53" t="n">
        <f aca="true">NORMINV(RAND(),0,M$7)</f>
        <v>-0.00225755425649372</v>
      </c>
      <c r="N1419" s="53" t="n">
        <f aca="true">NORMINV(RAND(),0,N$7)</f>
        <v>0.470071751511199</v>
      </c>
      <c r="O1419" s="53" t="n">
        <f aca="false">SUM(J1419:N1419)</f>
        <v>3.014435864228</v>
      </c>
    </row>
    <row r="1420" customFormat="false" ht="15" hidden="false" customHeight="false" outlineLevel="0" collapsed="false">
      <c r="A1420" s="2" t="n">
        <v>1412</v>
      </c>
      <c r="B1420" s="53" t="n">
        <f aca="true">NORMINV(RAND(),0,B$7)</f>
        <v>0.519781604495073</v>
      </c>
      <c r="C1420" s="53" t="n">
        <f aca="true">NORMINV(RAND(),0,C$7)</f>
        <v>-0.793058146830146</v>
      </c>
      <c r="D1420" s="53" t="n">
        <f aca="true">NORMINV(RAND(),0,D$7)</f>
        <v>-1.52841469784545</v>
      </c>
      <c r="E1420" s="53" t="n">
        <f aca="true">NORMINV(RAND(),0,E$7)</f>
        <v>0.434525123196969</v>
      </c>
      <c r="F1420" s="53" t="n">
        <f aca="true">NORMINV(RAND(),0,F$7)</f>
        <v>-0.0606014086985234</v>
      </c>
      <c r="G1420" s="53" t="n">
        <f aca="true">NORMINV(RAND(),0,G$7)</f>
        <v>0.256194644368258</v>
      </c>
      <c r="H1420" s="53" t="n">
        <f aca="true">NORMINV(RAND(),0,H$7)</f>
        <v>-0.328885816224076</v>
      </c>
      <c r="I1420" s="53" t="n">
        <f aca="false">SUM(B1420:H1420)</f>
        <v>-1.50045869753789</v>
      </c>
      <c r="J1420" s="53" t="n">
        <f aca="true">NORMINV(RAND(),0,J$7)</f>
        <v>2.22231206861805</v>
      </c>
      <c r="K1420" s="53" t="n">
        <f aca="true">NORMINV(RAND(),0,K$7)</f>
        <v>-0.383016410886424</v>
      </c>
      <c r="L1420" s="53" t="n">
        <f aca="true">NORMINV(RAND(),0,L$7)</f>
        <v>-0.0246858401927257</v>
      </c>
      <c r="M1420" s="53" t="n">
        <f aca="true">NORMINV(RAND(),0,M$7)</f>
        <v>0.0352629855316675</v>
      </c>
      <c r="N1420" s="53" t="n">
        <f aca="true">NORMINV(RAND(),0,N$7)</f>
        <v>-0.240571298903848</v>
      </c>
      <c r="O1420" s="53" t="n">
        <f aca="false">SUM(J1420:N1420)</f>
        <v>1.60930150416672</v>
      </c>
    </row>
    <row r="1421" customFormat="false" ht="15" hidden="false" customHeight="false" outlineLevel="0" collapsed="false">
      <c r="A1421" s="2" t="n">
        <v>1413</v>
      </c>
      <c r="B1421" s="53" t="n">
        <f aca="true">NORMINV(RAND(),0,B$7)</f>
        <v>0.782144768208511</v>
      </c>
      <c r="C1421" s="53" t="n">
        <f aca="true">NORMINV(RAND(),0,C$7)</f>
        <v>0.35311756004591</v>
      </c>
      <c r="D1421" s="53" t="n">
        <f aca="true">NORMINV(RAND(),0,D$7)</f>
        <v>-0.162388017892474</v>
      </c>
      <c r="E1421" s="53" t="n">
        <f aca="true">NORMINV(RAND(),0,E$7)</f>
        <v>0.616264739988238</v>
      </c>
      <c r="F1421" s="53" t="n">
        <f aca="true">NORMINV(RAND(),0,F$7)</f>
        <v>0.730213819185932</v>
      </c>
      <c r="G1421" s="53" t="n">
        <f aca="true">NORMINV(RAND(),0,G$7)</f>
        <v>0.215710029967262</v>
      </c>
      <c r="H1421" s="53" t="n">
        <f aca="true">NORMINV(RAND(),0,H$7)</f>
        <v>0.0803970663022104</v>
      </c>
      <c r="I1421" s="53" t="n">
        <f aca="false">SUM(B1421:H1421)</f>
        <v>2.61545996580559</v>
      </c>
      <c r="J1421" s="53" t="n">
        <f aca="true">NORMINV(RAND(),0,J$7)</f>
        <v>1.0491304347171</v>
      </c>
      <c r="K1421" s="53" t="n">
        <f aca="true">NORMINV(RAND(),0,K$7)</f>
        <v>0.211556822171013</v>
      </c>
      <c r="L1421" s="53" t="n">
        <f aca="true">NORMINV(RAND(),0,L$7)</f>
        <v>0.547770474720898</v>
      </c>
      <c r="M1421" s="53" t="n">
        <f aca="true">NORMINV(RAND(),0,M$7)</f>
        <v>0.293438252166155</v>
      </c>
      <c r="N1421" s="53" t="n">
        <f aca="true">NORMINV(RAND(),0,N$7)</f>
        <v>-0.695914115506462</v>
      </c>
      <c r="O1421" s="53" t="n">
        <f aca="false">SUM(J1421:N1421)</f>
        <v>1.40598186826871</v>
      </c>
    </row>
    <row r="1422" customFormat="false" ht="15" hidden="false" customHeight="false" outlineLevel="0" collapsed="false">
      <c r="A1422" s="2" t="n">
        <v>1414</v>
      </c>
      <c r="B1422" s="53" t="n">
        <f aca="true">NORMINV(RAND(),0,B$7)</f>
        <v>0.0338850006580157</v>
      </c>
      <c r="C1422" s="53" t="n">
        <f aca="true">NORMINV(RAND(),0,C$7)</f>
        <v>-1.22935562410986</v>
      </c>
      <c r="D1422" s="53" t="n">
        <f aca="true">NORMINV(RAND(),0,D$7)</f>
        <v>1.22524842921459</v>
      </c>
      <c r="E1422" s="53" t="n">
        <f aca="true">NORMINV(RAND(),0,E$7)</f>
        <v>-0.093165799824905</v>
      </c>
      <c r="F1422" s="53" t="n">
        <f aca="true">NORMINV(RAND(),0,F$7)</f>
        <v>0.0107001013627984</v>
      </c>
      <c r="G1422" s="53" t="n">
        <f aca="true">NORMINV(RAND(),0,G$7)</f>
        <v>-0.260564396337871</v>
      </c>
      <c r="H1422" s="53" t="n">
        <f aca="true">NORMINV(RAND(),0,H$7)</f>
        <v>-0.0391221475430285</v>
      </c>
      <c r="I1422" s="53" t="n">
        <f aca="false">SUM(B1422:H1422)</f>
        <v>-0.352374436580267</v>
      </c>
      <c r="J1422" s="53" t="n">
        <f aca="true">NORMINV(RAND(),0,J$7)</f>
        <v>0.282283414076437</v>
      </c>
      <c r="K1422" s="53" t="n">
        <f aca="true">NORMINV(RAND(),0,K$7)</f>
        <v>-0.797216452935772</v>
      </c>
      <c r="L1422" s="53" t="n">
        <f aca="true">NORMINV(RAND(),0,L$7)</f>
        <v>0.437306486693843</v>
      </c>
      <c r="M1422" s="53" t="n">
        <f aca="true">NORMINV(RAND(),0,M$7)</f>
        <v>-0.139015067521721</v>
      </c>
      <c r="N1422" s="53" t="n">
        <f aca="true">NORMINV(RAND(),0,N$7)</f>
        <v>-0.372775371385704</v>
      </c>
      <c r="O1422" s="53" t="n">
        <f aca="false">SUM(J1422:N1422)</f>
        <v>-0.589416991072917</v>
      </c>
    </row>
    <row r="1423" customFormat="false" ht="15" hidden="false" customHeight="false" outlineLevel="0" collapsed="false">
      <c r="A1423" s="2" t="n">
        <v>1415</v>
      </c>
      <c r="B1423" s="53" t="n">
        <f aca="true">NORMINV(RAND(),0,B$7)</f>
        <v>-0.337645680169778</v>
      </c>
      <c r="C1423" s="53" t="n">
        <f aca="true">NORMINV(RAND(),0,C$7)</f>
        <v>-0.7996111669149</v>
      </c>
      <c r="D1423" s="53" t="n">
        <f aca="true">NORMINV(RAND(),0,D$7)</f>
        <v>1.33277251470907</v>
      </c>
      <c r="E1423" s="53" t="n">
        <f aca="true">NORMINV(RAND(),0,E$7)</f>
        <v>-0.165953957039812</v>
      </c>
      <c r="F1423" s="53" t="n">
        <f aca="true">NORMINV(RAND(),0,F$7)</f>
        <v>-0.281439793941522</v>
      </c>
      <c r="G1423" s="53" t="n">
        <f aca="true">NORMINV(RAND(),0,G$7)</f>
        <v>0.172320642270352</v>
      </c>
      <c r="H1423" s="53" t="n">
        <f aca="true">NORMINV(RAND(),0,H$7)</f>
        <v>0.312471846904563</v>
      </c>
      <c r="I1423" s="53" t="n">
        <f aca="false">SUM(B1423:H1423)</f>
        <v>0.232914405817973</v>
      </c>
      <c r="J1423" s="53" t="n">
        <f aca="true">NORMINV(RAND(),0,J$7)</f>
        <v>-2.26023821640685</v>
      </c>
      <c r="K1423" s="53" t="n">
        <f aca="true">NORMINV(RAND(),0,K$7)</f>
        <v>-0.154065735546864</v>
      </c>
      <c r="L1423" s="53" t="n">
        <f aca="true">NORMINV(RAND(),0,L$7)</f>
        <v>-0.357975611445473</v>
      </c>
      <c r="M1423" s="53" t="n">
        <f aca="true">NORMINV(RAND(),0,M$7)</f>
        <v>0.0477807345860297</v>
      </c>
      <c r="N1423" s="53" t="n">
        <f aca="true">NORMINV(RAND(),0,N$7)</f>
        <v>-0.340800187792791</v>
      </c>
      <c r="O1423" s="53" t="n">
        <f aca="false">SUM(J1423:N1423)</f>
        <v>-3.06529901660595</v>
      </c>
    </row>
    <row r="1424" customFormat="false" ht="15" hidden="false" customHeight="false" outlineLevel="0" collapsed="false">
      <c r="A1424" s="2" t="n">
        <v>1416</v>
      </c>
      <c r="B1424" s="53" t="n">
        <f aca="true">NORMINV(RAND(),0,B$7)</f>
        <v>1.86802356625306</v>
      </c>
      <c r="C1424" s="53" t="n">
        <f aca="true">NORMINV(RAND(),0,C$7)</f>
        <v>-0.66549013575583</v>
      </c>
      <c r="D1424" s="53" t="n">
        <f aca="true">NORMINV(RAND(),0,D$7)</f>
        <v>-3.65964601674177</v>
      </c>
      <c r="E1424" s="53" t="n">
        <f aca="true">NORMINV(RAND(),0,E$7)</f>
        <v>0.469964350619852</v>
      </c>
      <c r="F1424" s="53" t="n">
        <f aca="true">NORMINV(RAND(),0,F$7)</f>
        <v>0.20391826417606</v>
      </c>
      <c r="G1424" s="53" t="n">
        <f aca="true">NORMINV(RAND(),0,G$7)</f>
        <v>-0.489799993262502</v>
      </c>
      <c r="H1424" s="53" t="n">
        <f aca="true">NORMINV(RAND(),0,H$7)</f>
        <v>-0.098900016040426</v>
      </c>
      <c r="I1424" s="53" t="n">
        <f aca="false">SUM(B1424:H1424)</f>
        <v>-2.37192998075156</v>
      </c>
      <c r="J1424" s="53" t="n">
        <f aca="true">NORMINV(RAND(),0,J$7)</f>
        <v>0.287738805901068</v>
      </c>
      <c r="K1424" s="53" t="n">
        <f aca="true">NORMINV(RAND(),0,K$7)</f>
        <v>-0.0926088525881495</v>
      </c>
      <c r="L1424" s="53" t="n">
        <f aca="true">NORMINV(RAND(),0,L$7)</f>
        <v>-0.142018322647187</v>
      </c>
      <c r="M1424" s="53" t="n">
        <f aca="true">NORMINV(RAND(),0,M$7)</f>
        <v>-0.122455687966577</v>
      </c>
      <c r="N1424" s="53" t="n">
        <f aca="true">NORMINV(RAND(),0,N$7)</f>
        <v>-0.00638644327777489</v>
      </c>
      <c r="O1424" s="53" t="n">
        <f aca="false">SUM(J1424:N1424)</f>
        <v>-0.0757305005786206</v>
      </c>
    </row>
    <row r="1425" customFormat="false" ht="15" hidden="false" customHeight="false" outlineLevel="0" collapsed="false">
      <c r="A1425" s="2" t="n">
        <v>1417</v>
      </c>
      <c r="B1425" s="53" t="n">
        <f aca="true">NORMINV(RAND(),0,B$7)</f>
        <v>1.04142726884837</v>
      </c>
      <c r="C1425" s="53" t="n">
        <f aca="true">NORMINV(RAND(),0,C$7)</f>
        <v>0.568581737382425</v>
      </c>
      <c r="D1425" s="53" t="n">
        <f aca="true">NORMINV(RAND(),0,D$7)</f>
        <v>0.0972474592845735</v>
      </c>
      <c r="E1425" s="53" t="n">
        <f aca="true">NORMINV(RAND(),0,E$7)</f>
        <v>-0.227014357181074</v>
      </c>
      <c r="F1425" s="53" t="n">
        <f aca="true">NORMINV(RAND(),0,F$7)</f>
        <v>0.125060706274196</v>
      </c>
      <c r="G1425" s="53" t="n">
        <f aca="true">NORMINV(RAND(),0,G$7)</f>
        <v>-1.6526860093349</v>
      </c>
      <c r="H1425" s="53" t="n">
        <f aca="true">NORMINV(RAND(),0,H$7)</f>
        <v>0.152962567579636</v>
      </c>
      <c r="I1425" s="53" t="n">
        <f aca="false">SUM(B1425:H1425)</f>
        <v>0.105579372853218</v>
      </c>
      <c r="J1425" s="53" t="n">
        <f aca="true">NORMINV(RAND(),0,J$7)</f>
        <v>0.237170832911259</v>
      </c>
      <c r="K1425" s="53" t="n">
        <f aca="true">NORMINV(RAND(),0,K$7)</f>
        <v>-0.354081336342523</v>
      </c>
      <c r="L1425" s="53" t="n">
        <f aca="true">NORMINV(RAND(),0,L$7)</f>
        <v>0.230712677701633</v>
      </c>
      <c r="M1425" s="53" t="n">
        <f aca="true">NORMINV(RAND(),0,M$7)</f>
        <v>0.267939003696673</v>
      </c>
      <c r="N1425" s="53" t="n">
        <f aca="true">NORMINV(RAND(),0,N$7)</f>
        <v>-0.596992346420652</v>
      </c>
      <c r="O1425" s="53" t="n">
        <f aca="false">SUM(J1425:N1425)</f>
        <v>-0.215251168453611</v>
      </c>
    </row>
    <row r="1426" customFormat="false" ht="15" hidden="false" customHeight="false" outlineLevel="0" collapsed="false">
      <c r="A1426" s="2" t="n">
        <v>1418</v>
      </c>
      <c r="B1426" s="53" t="n">
        <f aca="true">NORMINV(RAND(),0,B$7)</f>
        <v>0.569147602520869</v>
      </c>
      <c r="C1426" s="53" t="n">
        <f aca="true">NORMINV(RAND(),0,C$7)</f>
        <v>2.10409533530197</v>
      </c>
      <c r="D1426" s="53" t="n">
        <f aca="true">NORMINV(RAND(),0,D$7)</f>
        <v>-0.0492067138932206</v>
      </c>
      <c r="E1426" s="53" t="n">
        <f aca="true">NORMINV(RAND(),0,E$7)</f>
        <v>-0.0295133521843335</v>
      </c>
      <c r="F1426" s="53" t="n">
        <f aca="true">NORMINV(RAND(),0,F$7)</f>
        <v>-0.241878705510723</v>
      </c>
      <c r="G1426" s="53" t="n">
        <f aca="true">NORMINV(RAND(),0,G$7)</f>
        <v>-1.43900789141253</v>
      </c>
      <c r="H1426" s="53" t="n">
        <f aca="true">NORMINV(RAND(),0,H$7)</f>
        <v>0.653639516997677</v>
      </c>
      <c r="I1426" s="53" t="n">
        <f aca="false">SUM(B1426:H1426)</f>
        <v>1.56727579181972</v>
      </c>
      <c r="J1426" s="53" t="n">
        <f aca="true">NORMINV(RAND(),0,J$7)</f>
        <v>0.231419331929166</v>
      </c>
      <c r="K1426" s="53" t="n">
        <f aca="true">NORMINV(RAND(),0,K$7)</f>
        <v>0.964618152493135</v>
      </c>
      <c r="L1426" s="53" t="n">
        <f aca="true">NORMINV(RAND(),0,L$7)</f>
        <v>-0.175048022308238</v>
      </c>
      <c r="M1426" s="53" t="n">
        <f aca="true">NORMINV(RAND(),0,M$7)</f>
        <v>-0.260754901708325</v>
      </c>
      <c r="N1426" s="53" t="n">
        <f aca="true">NORMINV(RAND(),0,N$7)</f>
        <v>-0.083406182476247</v>
      </c>
      <c r="O1426" s="53" t="n">
        <f aca="false">SUM(J1426:N1426)</f>
        <v>0.676828377929492</v>
      </c>
    </row>
    <row r="1427" customFormat="false" ht="15" hidden="false" customHeight="false" outlineLevel="0" collapsed="false">
      <c r="A1427" s="2" t="n">
        <v>1419</v>
      </c>
      <c r="B1427" s="53" t="n">
        <f aca="true">NORMINV(RAND(),0,B$7)</f>
        <v>-0.914740074230727</v>
      </c>
      <c r="C1427" s="53" t="n">
        <f aca="true">NORMINV(RAND(),0,C$7)</f>
        <v>-0.902584373359413</v>
      </c>
      <c r="D1427" s="53" t="n">
        <f aca="true">NORMINV(RAND(),0,D$7)</f>
        <v>1.07592907712946</v>
      </c>
      <c r="E1427" s="53" t="n">
        <f aca="true">NORMINV(RAND(),0,E$7)</f>
        <v>0.0682822470758213</v>
      </c>
      <c r="F1427" s="53" t="n">
        <f aca="true">NORMINV(RAND(),0,F$7)</f>
        <v>-0.0298345495385445</v>
      </c>
      <c r="G1427" s="53" t="n">
        <f aca="true">NORMINV(RAND(),0,G$7)</f>
        <v>0.2906564019844</v>
      </c>
      <c r="H1427" s="53" t="n">
        <f aca="true">NORMINV(RAND(),0,H$7)</f>
        <v>0.480988428589261</v>
      </c>
      <c r="I1427" s="53" t="n">
        <f aca="false">SUM(B1427:H1427)</f>
        <v>0.0686971576502563</v>
      </c>
      <c r="J1427" s="53" t="n">
        <f aca="true">NORMINV(RAND(),0,J$7)</f>
        <v>1.42120886043732</v>
      </c>
      <c r="K1427" s="53" t="n">
        <f aca="true">NORMINV(RAND(),0,K$7)</f>
        <v>0.0510592533403762</v>
      </c>
      <c r="L1427" s="53" t="n">
        <f aca="true">NORMINV(RAND(),0,L$7)</f>
        <v>0.20595817982212</v>
      </c>
      <c r="M1427" s="53" t="n">
        <f aca="true">NORMINV(RAND(),0,M$7)</f>
        <v>-0.108685386636825</v>
      </c>
      <c r="N1427" s="53" t="n">
        <f aca="true">NORMINV(RAND(),0,N$7)</f>
        <v>0.595988095747954</v>
      </c>
      <c r="O1427" s="53" t="n">
        <f aca="false">SUM(J1427:N1427)</f>
        <v>2.16552900271094</v>
      </c>
    </row>
    <row r="1428" customFormat="false" ht="15" hidden="false" customHeight="false" outlineLevel="0" collapsed="false">
      <c r="A1428" s="2" t="n">
        <v>1420</v>
      </c>
      <c r="B1428" s="53" t="n">
        <f aca="true">NORMINV(RAND(),0,B$7)</f>
        <v>-1.76486660229331</v>
      </c>
      <c r="C1428" s="53" t="n">
        <f aca="true">NORMINV(RAND(),0,C$7)</f>
        <v>-0.247368776958058</v>
      </c>
      <c r="D1428" s="53" t="n">
        <f aca="true">NORMINV(RAND(),0,D$7)</f>
        <v>3.90411703931123</v>
      </c>
      <c r="E1428" s="53" t="n">
        <f aca="true">NORMINV(RAND(),0,E$7)</f>
        <v>0.208930836407157</v>
      </c>
      <c r="F1428" s="53" t="n">
        <f aca="true">NORMINV(RAND(),0,F$7)</f>
        <v>0.111011545049972</v>
      </c>
      <c r="G1428" s="53" t="n">
        <f aca="true">NORMINV(RAND(),0,G$7)</f>
        <v>0.295753743692027</v>
      </c>
      <c r="H1428" s="53" t="n">
        <f aca="true">NORMINV(RAND(),0,H$7)</f>
        <v>-0.475597303942057</v>
      </c>
      <c r="I1428" s="53" t="n">
        <f aca="false">SUM(B1428:H1428)</f>
        <v>2.03198048126697</v>
      </c>
      <c r="J1428" s="53" t="n">
        <f aca="true">NORMINV(RAND(),0,J$7)</f>
        <v>-4.15764920426706</v>
      </c>
      <c r="K1428" s="53" t="n">
        <f aca="true">NORMINV(RAND(),0,K$7)</f>
        <v>1.48367686058567</v>
      </c>
      <c r="L1428" s="53" t="n">
        <f aca="true">NORMINV(RAND(),0,L$7)</f>
        <v>0.208211989228588</v>
      </c>
      <c r="M1428" s="53" t="n">
        <f aca="true">NORMINV(RAND(),0,M$7)</f>
        <v>-0.128033732218604</v>
      </c>
      <c r="N1428" s="53" t="n">
        <f aca="true">NORMINV(RAND(),0,N$7)</f>
        <v>0.152585840597059</v>
      </c>
      <c r="O1428" s="53" t="n">
        <f aca="false">SUM(J1428:N1428)</f>
        <v>-2.44120824607434</v>
      </c>
    </row>
    <row r="1429" customFormat="false" ht="15" hidden="false" customHeight="false" outlineLevel="0" collapsed="false">
      <c r="A1429" s="2" t="n">
        <v>1421</v>
      </c>
      <c r="B1429" s="53" t="n">
        <f aca="true">NORMINV(RAND(),0,B$7)</f>
        <v>2.4373892297377</v>
      </c>
      <c r="C1429" s="53" t="n">
        <f aca="true">NORMINV(RAND(),0,C$7)</f>
        <v>-2.34142768053294</v>
      </c>
      <c r="D1429" s="53" t="n">
        <f aca="true">NORMINV(RAND(),0,D$7)</f>
        <v>0.538700531264115</v>
      </c>
      <c r="E1429" s="53" t="n">
        <f aca="true">NORMINV(RAND(),0,E$7)</f>
        <v>0.330406387723963</v>
      </c>
      <c r="F1429" s="53" t="n">
        <f aca="true">NORMINV(RAND(),0,F$7)</f>
        <v>-0.144185846257044</v>
      </c>
      <c r="G1429" s="53" t="n">
        <f aca="true">NORMINV(RAND(),0,G$7)</f>
        <v>1.85728631763882</v>
      </c>
      <c r="H1429" s="53" t="n">
        <f aca="true">NORMINV(RAND(),0,H$7)</f>
        <v>-0.113891268904009</v>
      </c>
      <c r="I1429" s="53" t="n">
        <f aca="false">SUM(B1429:H1429)</f>
        <v>2.5642776706706</v>
      </c>
      <c r="J1429" s="53" t="n">
        <f aca="true">NORMINV(RAND(),0,J$7)</f>
        <v>-1.07444873149767</v>
      </c>
      <c r="K1429" s="53" t="n">
        <f aca="true">NORMINV(RAND(),0,K$7)</f>
        <v>-0.123535175919237</v>
      </c>
      <c r="L1429" s="53" t="n">
        <f aca="true">NORMINV(RAND(),0,L$7)</f>
        <v>-0.0413051508398933</v>
      </c>
      <c r="M1429" s="53" t="n">
        <f aca="true">NORMINV(RAND(),0,M$7)</f>
        <v>0.0739452198246348</v>
      </c>
      <c r="N1429" s="53" t="n">
        <f aca="true">NORMINV(RAND(),0,N$7)</f>
        <v>-0.222953060484209</v>
      </c>
      <c r="O1429" s="53" t="n">
        <f aca="false">SUM(J1429:N1429)</f>
        <v>-1.38829689891637</v>
      </c>
    </row>
    <row r="1430" customFormat="false" ht="15" hidden="false" customHeight="false" outlineLevel="0" collapsed="false">
      <c r="A1430" s="2" t="n">
        <v>1422</v>
      </c>
      <c r="B1430" s="53" t="n">
        <f aca="true">NORMINV(RAND(),0,B$7)</f>
        <v>-0.618981254887715</v>
      </c>
      <c r="C1430" s="53" t="n">
        <f aca="true">NORMINV(RAND(),0,C$7)</f>
        <v>1.95085097799599</v>
      </c>
      <c r="D1430" s="53" t="n">
        <f aca="true">NORMINV(RAND(),0,D$7)</f>
        <v>-2.07427774353909</v>
      </c>
      <c r="E1430" s="53" t="n">
        <f aca="true">NORMINV(RAND(),0,E$7)</f>
        <v>-0.30396145164952</v>
      </c>
      <c r="F1430" s="53" t="n">
        <f aca="true">NORMINV(RAND(),0,F$7)</f>
        <v>-0.09438306218462</v>
      </c>
      <c r="G1430" s="53" t="n">
        <f aca="true">NORMINV(RAND(),0,G$7)</f>
        <v>1.60456450545226</v>
      </c>
      <c r="H1430" s="53" t="n">
        <f aca="true">NORMINV(RAND(),0,H$7)</f>
        <v>0.0404470802680302</v>
      </c>
      <c r="I1430" s="53" t="n">
        <f aca="false">SUM(B1430:H1430)</f>
        <v>0.504259051455331</v>
      </c>
      <c r="J1430" s="53" t="n">
        <f aca="true">NORMINV(RAND(),0,J$7)</f>
        <v>2.10448173820815</v>
      </c>
      <c r="K1430" s="53" t="n">
        <f aca="true">NORMINV(RAND(),0,K$7)</f>
        <v>0.0791333169779679</v>
      </c>
      <c r="L1430" s="53" t="n">
        <f aca="true">NORMINV(RAND(),0,L$7)</f>
        <v>0.389284149030165</v>
      </c>
      <c r="M1430" s="53" t="n">
        <f aca="true">NORMINV(RAND(),0,M$7)</f>
        <v>-0.167938973224921</v>
      </c>
      <c r="N1430" s="53" t="n">
        <f aca="true">NORMINV(RAND(),0,N$7)</f>
        <v>-0.442604033706696</v>
      </c>
      <c r="O1430" s="53" t="n">
        <f aca="false">SUM(J1430:N1430)</f>
        <v>1.96235619728467</v>
      </c>
    </row>
    <row r="1431" customFormat="false" ht="15" hidden="false" customHeight="false" outlineLevel="0" collapsed="false">
      <c r="A1431" s="2" t="n">
        <v>1423</v>
      </c>
      <c r="B1431" s="53" t="n">
        <f aca="true">NORMINV(RAND(),0,B$7)</f>
        <v>-1.18924290329257</v>
      </c>
      <c r="C1431" s="53" t="n">
        <f aca="true">NORMINV(RAND(),0,C$7)</f>
        <v>-2.66073432555611</v>
      </c>
      <c r="D1431" s="53" t="n">
        <f aca="true">NORMINV(RAND(),0,D$7)</f>
        <v>1.27005715284875</v>
      </c>
      <c r="E1431" s="53" t="n">
        <f aca="true">NORMINV(RAND(),0,E$7)</f>
        <v>0.394036519241462</v>
      </c>
      <c r="F1431" s="53" t="n">
        <f aca="true">NORMINV(RAND(),0,F$7)</f>
        <v>0.19599869028902</v>
      </c>
      <c r="G1431" s="53" t="n">
        <f aca="true">NORMINV(RAND(),0,G$7)</f>
        <v>0.677266192214323</v>
      </c>
      <c r="H1431" s="53" t="n">
        <f aca="true">NORMINV(RAND(),0,H$7)</f>
        <v>0.484783233308934</v>
      </c>
      <c r="I1431" s="53" t="n">
        <f aca="false">SUM(B1431:H1431)</f>
        <v>-0.82783544094619</v>
      </c>
      <c r="J1431" s="53" t="n">
        <f aca="true">NORMINV(RAND(),0,J$7)</f>
        <v>2.53939250661872</v>
      </c>
      <c r="K1431" s="53" t="n">
        <f aca="true">NORMINV(RAND(),0,K$7)</f>
        <v>0.0588225629716911</v>
      </c>
      <c r="L1431" s="53" t="n">
        <f aca="true">NORMINV(RAND(),0,L$7)</f>
        <v>-0.0453298821646276</v>
      </c>
      <c r="M1431" s="53" t="n">
        <f aca="true">NORMINV(RAND(),0,M$7)</f>
        <v>-0.0601837526931336</v>
      </c>
      <c r="N1431" s="53" t="n">
        <f aca="true">NORMINV(RAND(),0,N$7)</f>
        <v>-0.632913521429466</v>
      </c>
      <c r="O1431" s="53" t="n">
        <f aca="false">SUM(J1431:N1431)</f>
        <v>1.85978791330318</v>
      </c>
    </row>
    <row r="1432" customFormat="false" ht="15" hidden="false" customHeight="false" outlineLevel="0" collapsed="false">
      <c r="A1432" s="2" t="n">
        <v>1424</v>
      </c>
      <c r="B1432" s="53" t="n">
        <f aca="true">NORMINV(RAND(),0,B$7)</f>
        <v>0.0436087841227948</v>
      </c>
      <c r="C1432" s="53" t="n">
        <f aca="true">NORMINV(RAND(),0,C$7)</f>
        <v>-1.08266056427699</v>
      </c>
      <c r="D1432" s="53" t="n">
        <f aca="true">NORMINV(RAND(),0,D$7)</f>
        <v>0.597531303566012</v>
      </c>
      <c r="E1432" s="53" t="n">
        <f aca="true">NORMINV(RAND(),0,E$7)</f>
        <v>0.465571791920697</v>
      </c>
      <c r="F1432" s="53" t="n">
        <f aca="true">NORMINV(RAND(),0,F$7)</f>
        <v>-0.220319484249657</v>
      </c>
      <c r="G1432" s="53" t="n">
        <f aca="true">NORMINV(RAND(),0,G$7)</f>
        <v>1.65773325768746</v>
      </c>
      <c r="H1432" s="53" t="n">
        <f aca="true">NORMINV(RAND(),0,H$7)</f>
        <v>-0.0567810012266928</v>
      </c>
      <c r="I1432" s="53" t="n">
        <f aca="false">SUM(B1432:H1432)</f>
        <v>1.40468408754362</v>
      </c>
      <c r="J1432" s="53" t="n">
        <f aca="true">NORMINV(RAND(),0,J$7)</f>
        <v>-3.19639225076008</v>
      </c>
      <c r="K1432" s="53" t="n">
        <f aca="true">NORMINV(RAND(),0,K$7)</f>
        <v>0.431633650698126</v>
      </c>
      <c r="L1432" s="53" t="n">
        <f aca="true">NORMINV(RAND(),0,L$7)</f>
        <v>0.167219706866897</v>
      </c>
      <c r="M1432" s="53" t="n">
        <f aca="true">NORMINV(RAND(),0,M$7)</f>
        <v>-0.0447913236773854</v>
      </c>
      <c r="N1432" s="53" t="n">
        <f aca="true">NORMINV(RAND(),0,N$7)</f>
        <v>0.319128512181834</v>
      </c>
      <c r="O1432" s="53" t="n">
        <f aca="false">SUM(J1432:N1432)</f>
        <v>-2.32320170469061</v>
      </c>
    </row>
    <row r="1433" customFormat="false" ht="15" hidden="false" customHeight="false" outlineLevel="0" collapsed="false">
      <c r="A1433" s="2" t="n">
        <v>1425</v>
      </c>
      <c r="B1433" s="53" t="n">
        <f aca="true">NORMINV(RAND(),0,B$7)</f>
        <v>0.729166004041112</v>
      </c>
      <c r="C1433" s="53" t="n">
        <f aca="true">NORMINV(RAND(),0,C$7)</f>
        <v>-0.903744200306496</v>
      </c>
      <c r="D1433" s="53" t="n">
        <f aca="true">NORMINV(RAND(),0,D$7)</f>
        <v>0.25152063014462</v>
      </c>
      <c r="E1433" s="53" t="n">
        <f aca="true">NORMINV(RAND(),0,E$7)</f>
        <v>0.011476959373061</v>
      </c>
      <c r="F1433" s="53" t="n">
        <f aca="true">NORMINV(RAND(),0,F$7)</f>
        <v>0.205211304988987</v>
      </c>
      <c r="G1433" s="53" t="n">
        <f aca="true">NORMINV(RAND(),0,G$7)</f>
        <v>-0.283190292481225</v>
      </c>
      <c r="H1433" s="53" t="n">
        <f aca="true">NORMINV(RAND(),0,H$7)</f>
        <v>-0.127189334297836</v>
      </c>
      <c r="I1433" s="53" t="n">
        <f aca="false">SUM(B1433:H1433)</f>
        <v>-0.116748928537777</v>
      </c>
      <c r="J1433" s="53" t="n">
        <f aca="true">NORMINV(RAND(),0,J$7)</f>
        <v>1.53674589838638</v>
      </c>
      <c r="K1433" s="53" t="n">
        <f aca="true">NORMINV(RAND(),0,K$7)</f>
        <v>-0.4488336125399</v>
      </c>
      <c r="L1433" s="53" t="n">
        <f aca="true">NORMINV(RAND(),0,L$7)</f>
        <v>0.192422210297259</v>
      </c>
      <c r="M1433" s="53" t="n">
        <f aca="true">NORMINV(RAND(),0,M$7)</f>
        <v>-0.0227603074501982</v>
      </c>
      <c r="N1433" s="53" t="n">
        <f aca="true">NORMINV(RAND(),0,N$7)</f>
        <v>0.855051433071201</v>
      </c>
      <c r="O1433" s="53" t="n">
        <f aca="false">SUM(J1433:N1433)</f>
        <v>2.11262562176474</v>
      </c>
    </row>
    <row r="1434" customFormat="false" ht="15" hidden="false" customHeight="false" outlineLevel="0" collapsed="false">
      <c r="A1434" s="2" t="n">
        <v>1426</v>
      </c>
      <c r="B1434" s="53" t="n">
        <f aca="true">NORMINV(RAND(),0,B$7)</f>
        <v>-2.90445538095435</v>
      </c>
      <c r="C1434" s="53" t="n">
        <f aca="true">NORMINV(RAND(),0,C$7)</f>
        <v>-1.30445636160934</v>
      </c>
      <c r="D1434" s="53" t="n">
        <f aca="true">NORMINV(RAND(),0,D$7)</f>
        <v>0.61469766430069</v>
      </c>
      <c r="E1434" s="53" t="n">
        <f aca="true">NORMINV(RAND(),0,E$7)</f>
        <v>-0.427793871224903</v>
      </c>
      <c r="F1434" s="53" t="n">
        <f aca="true">NORMINV(RAND(),0,F$7)</f>
        <v>0.0616531869915784</v>
      </c>
      <c r="G1434" s="53" t="n">
        <f aca="true">NORMINV(RAND(),0,G$7)</f>
        <v>-0.757774732912671</v>
      </c>
      <c r="H1434" s="53" t="n">
        <f aca="true">NORMINV(RAND(),0,H$7)</f>
        <v>0.117728836714024</v>
      </c>
      <c r="I1434" s="53" t="n">
        <f aca="false">SUM(B1434:H1434)</f>
        <v>-4.60040065869497</v>
      </c>
      <c r="J1434" s="53" t="n">
        <f aca="true">NORMINV(RAND(),0,J$7)</f>
        <v>-1.1306553785653</v>
      </c>
      <c r="K1434" s="53" t="n">
        <f aca="true">NORMINV(RAND(),0,K$7)</f>
        <v>-0.387766540849843</v>
      </c>
      <c r="L1434" s="53" t="n">
        <f aca="true">NORMINV(RAND(),0,L$7)</f>
        <v>-0.0803830268399023</v>
      </c>
      <c r="M1434" s="53" t="n">
        <f aca="true">NORMINV(RAND(),0,M$7)</f>
        <v>-0.126465700479723</v>
      </c>
      <c r="N1434" s="53" t="n">
        <f aca="true">NORMINV(RAND(),0,N$7)</f>
        <v>0.443811982139143</v>
      </c>
      <c r="O1434" s="53" t="n">
        <f aca="false">SUM(J1434:N1434)</f>
        <v>-1.28145866459563</v>
      </c>
    </row>
    <row r="1435" customFormat="false" ht="15" hidden="false" customHeight="false" outlineLevel="0" collapsed="false">
      <c r="A1435" s="2" t="n">
        <v>1427</v>
      </c>
      <c r="B1435" s="53" t="n">
        <f aca="true">NORMINV(RAND(),0,B$7)</f>
        <v>1.26674202620518</v>
      </c>
      <c r="C1435" s="53" t="n">
        <f aca="true">NORMINV(RAND(),0,C$7)</f>
        <v>0.961205206652545</v>
      </c>
      <c r="D1435" s="53" t="n">
        <f aca="true">NORMINV(RAND(),0,D$7)</f>
        <v>-0.130287271491112</v>
      </c>
      <c r="E1435" s="53" t="n">
        <f aca="true">NORMINV(RAND(),0,E$7)</f>
        <v>-0.71181567753532</v>
      </c>
      <c r="F1435" s="53" t="n">
        <f aca="true">NORMINV(RAND(),0,F$7)</f>
        <v>-0.546304117836355</v>
      </c>
      <c r="G1435" s="53" t="n">
        <f aca="true">NORMINV(RAND(),0,G$7)</f>
        <v>0.3847109879115</v>
      </c>
      <c r="H1435" s="53" t="n">
        <f aca="true">NORMINV(RAND(),0,H$7)</f>
        <v>0.169851012537893</v>
      </c>
      <c r="I1435" s="53" t="n">
        <f aca="false">SUM(B1435:H1435)</f>
        <v>1.39410216644433</v>
      </c>
      <c r="J1435" s="53" t="n">
        <f aca="true">NORMINV(RAND(),0,J$7)</f>
        <v>1.05197064790845</v>
      </c>
      <c r="K1435" s="53" t="n">
        <f aca="true">NORMINV(RAND(),0,K$7)</f>
        <v>0.207465558310038</v>
      </c>
      <c r="L1435" s="53" t="n">
        <f aca="true">NORMINV(RAND(),0,L$7)</f>
        <v>0.838921548116404</v>
      </c>
      <c r="M1435" s="53" t="n">
        <f aca="true">NORMINV(RAND(),0,M$7)</f>
        <v>0.0093775303837784</v>
      </c>
      <c r="N1435" s="53" t="n">
        <f aca="true">NORMINV(RAND(),0,N$7)</f>
        <v>-0.163924858136712</v>
      </c>
      <c r="O1435" s="53" t="n">
        <f aca="false">SUM(J1435:N1435)</f>
        <v>1.94381042658196</v>
      </c>
    </row>
    <row r="1436" customFormat="false" ht="15" hidden="false" customHeight="false" outlineLevel="0" collapsed="false">
      <c r="A1436" s="2" t="n">
        <v>1428</v>
      </c>
      <c r="B1436" s="53" t="n">
        <f aca="true">NORMINV(RAND(),0,B$7)</f>
        <v>-2.15984714768066</v>
      </c>
      <c r="C1436" s="53" t="n">
        <f aca="true">NORMINV(RAND(),0,C$7)</f>
        <v>-3.81633117991641</v>
      </c>
      <c r="D1436" s="53" t="n">
        <f aca="true">NORMINV(RAND(),0,D$7)</f>
        <v>-0.338883398872486</v>
      </c>
      <c r="E1436" s="53" t="n">
        <f aca="true">NORMINV(RAND(),0,E$7)</f>
        <v>0.271282227409866</v>
      </c>
      <c r="F1436" s="53" t="n">
        <f aca="true">NORMINV(RAND(),0,F$7)</f>
        <v>-0.239375322601224</v>
      </c>
      <c r="G1436" s="53" t="n">
        <f aca="true">NORMINV(RAND(),0,G$7)</f>
        <v>-0.237466425762002</v>
      </c>
      <c r="H1436" s="53" t="n">
        <f aca="true">NORMINV(RAND(),0,H$7)</f>
        <v>-0.148406130253847</v>
      </c>
      <c r="I1436" s="53" t="n">
        <f aca="false">SUM(B1436:H1436)</f>
        <v>-6.66902737767676</v>
      </c>
      <c r="J1436" s="53" t="n">
        <f aca="true">NORMINV(RAND(),0,J$7)</f>
        <v>-0.599632733858449</v>
      </c>
      <c r="K1436" s="53" t="n">
        <f aca="true">NORMINV(RAND(),0,K$7)</f>
        <v>0.712009948613346</v>
      </c>
      <c r="L1436" s="53" t="n">
        <f aca="true">NORMINV(RAND(),0,L$7)</f>
        <v>0.121214706289789</v>
      </c>
      <c r="M1436" s="53" t="n">
        <f aca="true">NORMINV(RAND(),0,M$7)</f>
        <v>0.174933019531799</v>
      </c>
      <c r="N1436" s="53" t="n">
        <f aca="true">NORMINV(RAND(),0,N$7)</f>
        <v>0.299882348394338</v>
      </c>
      <c r="O1436" s="53" t="n">
        <f aca="false">SUM(J1436:N1436)</f>
        <v>0.708407288970823</v>
      </c>
    </row>
    <row r="1437" customFormat="false" ht="15" hidden="false" customHeight="false" outlineLevel="0" collapsed="false">
      <c r="A1437" s="2" t="n">
        <v>1429</v>
      </c>
      <c r="B1437" s="53" t="n">
        <f aca="true">NORMINV(RAND(),0,B$7)</f>
        <v>1.53876184413414</v>
      </c>
      <c r="C1437" s="53" t="n">
        <f aca="true">NORMINV(RAND(),0,C$7)</f>
        <v>-0.70379990391725</v>
      </c>
      <c r="D1437" s="53" t="n">
        <f aca="true">NORMINV(RAND(),0,D$7)</f>
        <v>-1.19635424004324</v>
      </c>
      <c r="E1437" s="53" t="n">
        <f aca="true">NORMINV(RAND(),0,E$7)</f>
        <v>-0.575847467453262</v>
      </c>
      <c r="F1437" s="53" t="n">
        <f aca="true">NORMINV(RAND(),0,F$7)</f>
        <v>0.46327899287569</v>
      </c>
      <c r="G1437" s="53" t="n">
        <f aca="true">NORMINV(RAND(),0,G$7)</f>
        <v>-1.20225182704927</v>
      </c>
      <c r="H1437" s="53" t="n">
        <f aca="true">NORMINV(RAND(),0,H$7)</f>
        <v>0.0502829887197361</v>
      </c>
      <c r="I1437" s="53" t="n">
        <f aca="false">SUM(B1437:H1437)</f>
        <v>-1.62592961273346</v>
      </c>
      <c r="J1437" s="53" t="n">
        <f aca="true">NORMINV(RAND(),0,J$7)</f>
        <v>1.73621339453961</v>
      </c>
      <c r="K1437" s="53" t="n">
        <f aca="true">NORMINV(RAND(),0,K$7)</f>
        <v>-0.621473040875805</v>
      </c>
      <c r="L1437" s="53" t="n">
        <f aca="true">NORMINV(RAND(),0,L$7)</f>
        <v>0.659073301569888</v>
      </c>
      <c r="M1437" s="53" t="n">
        <f aca="true">NORMINV(RAND(),0,M$7)</f>
        <v>-0.170927472128251</v>
      </c>
      <c r="N1437" s="53" t="n">
        <f aca="true">NORMINV(RAND(),0,N$7)</f>
        <v>0.193689646193765</v>
      </c>
      <c r="O1437" s="53" t="n">
        <f aca="false">SUM(J1437:N1437)</f>
        <v>1.79657582929921</v>
      </c>
    </row>
    <row r="1438" customFormat="false" ht="15" hidden="false" customHeight="false" outlineLevel="0" collapsed="false">
      <c r="A1438" s="2" t="n">
        <v>1430</v>
      </c>
      <c r="B1438" s="53" t="n">
        <f aca="true">NORMINV(RAND(),0,B$7)</f>
        <v>-2.58614839860257</v>
      </c>
      <c r="C1438" s="53" t="n">
        <f aca="true">NORMINV(RAND(),0,C$7)</f>
        <v>1.11230555935175</v>
      </c>
      <c r="D1438" s="53" t="n">
        <f aca="true">NORMINV(RAND(),0,D$7)</f>
        <v>-0.756403541007062</v>
      </c>
      <c r="E1438" s="53" t="n">
        <f aca="true">NORMINV(RAND(),0,E$7)</f>
        <v>0.122735243604003</v>
      </c>
      <c r="F1438" s="53" t="n">
        <f aca="true">NORMINV(RAND(),0,F$7)</f>
        <v>0.340236419785002</v>
      </c>
      <c r="G1438" s="53" t="n">
        <f aca="true">NORMINV(RAND(),0,G$7)</f>
        <v>0.272132324055305</v>
      </c>
      <c r="H1438" s="53" t="n">
        <f aca="true">NORMINV(RAND(),0,H$7)</f>
        <v>-0.271580443897367</v>
      </c>
      <c r="I1438" s="53" t="n">
        <f aca="false">SUM(B1438:H1438)</f>
        <v>-1.76672283671094</v>
      </c>
      <c r="J1438" s="53" t="n">
        <f aca="true">NORMINV(RAND(),0,J$7)</f>
        <v>0.662830766511445</v>
      </c>
      <c r="K1438" s="53" t="n">
        <f aca="true">NORMINV(RAND(),0,K$7)</f>
        <v>-0.345293208508885</v>
      </c>
      <c r="L1438" s="53" t="n">
        <f aca="true">NORMINV(RAND(),0,L$7)</f>
        <v>0.095947116459929</v>
      </c>
      <c r="M1438" s="53" t="n">
        <f aca="true">NORMINV(RAND(),0,M$7)</f>
        <v>-0.180441443613175</v>
      </c>
      <c r="N1438" s="53" t="n">
        <f aca="true">NORMINV(RAND(),0,N$7)</f>
        <v>-0.168450178217156</v>
      </c>
      <c r="O1438" s="53" t="n">
        <f aca="false">SUM(J1438:N1438)</f>
        <v>0.0645930526321583</v>
      </c>
    </row>
    <row r="1439" customFormat="false" ht="15" hidden="false" customHeight="false" outlineLevel="0" collapsed="false">
      <c r="A1439" s="2" t="n">
        <v>1431</v>
      </c>
      <c r="B1439" s="53" t="n">
        <f aca="true">NORMINV(RAND(),0,B$7)</f>
        <v>1.10538204251513</v>
      </c>
      <c r="C1439" s="53" t="n">
        <f aca="true">NORMINV(RAND(),0,C$7)</f>
        <v>0.744691919357507</v>
      </c>
      <c r="D1439" s="53" t="n">
        <f aca="true">NORMINV(RAND(),0,D$7)</f>
        <v>-2.09533456791768</v>
      </c>
      <c r="E1439" s="53" t="n">
        <f aca="true">NORMINV(RAND(),0,E$7)</f>
        <v>0.272701358521617</v>
      </c>
      <c r="F1439" s="53" t="n">
        <f aca="true">NORMINV(RAND(),0,F$7)</f>
        <v>0.426561136605776</v>
      </c>
      <c r="G1439" s="53" t="n">
        <f aca="true">NORMINV(RAND(),0,G$7)</f>
        <v>-0.307113786025152</v>
      </c>
      <c r="H1439" s="53" t="n">
        <f aca="true">NORMINV(RAND(),0,H$7)</f>
        <v>-0.122409569289895</v>
      </c>
      <c r="I1439" s="53" t="n">
        <f aca="false">SUM(B1439:H1439)</f>
        <v>0.0244785337673001</v>
      </c>
      <c r="J1439" s="53" t="n">
        <f aca="true">NORMINV(RAND(),0,J$7)</f>
        <v>4.32729956415308</v>
      </c>
      <c r="K1439" s="53" t="n">
        <f aca="true">NORMINV(RAND(),0,K$7)</f>
        <v>-0.513854151126852</v>
      </c>
      <c r="L1439" s="53" t="n">
        <f aca="true">NORMINV(RAND(),0,L$7)</f>
        <v>-0.338109670206169</v>
      </c>
      <c r="M1439" s="53" t="n">
        <f aca="true">NORMINV(RAND(),0,M$7)</f>
        <v>0.115888129060769</v>
      </c>
      <c r="N1439" s="53" t="n">
        <f aca="true">NORMINV(RAND(),0,N$7)</f>
        <v>0.211725114808681</v>
      </c>
      <c r="O1439" s="53" t="n">
        <f aca="false">SUM(J1439:N1439)</f>
        <v>3.80294898668951</v>
      </c>
    </row>
    <row r="1440" customFormat="false" ht="15" hidden="false" customHeight="false" outlineLevel="0" collapsed="false">
      <c r="A1440" s="2" t="n">
        <v>1432</v>
      </c>
      <c r="B1440" s="53" t="n">
        <f aca="true">NORMINV(RAND(),0,B$7)</f>
        <v>-0.0723341887976352</v>
      </c>
      <c r="C1440" s="53" t="n">
        <f aca="true">NORMINV(RAND(),0,C$7)</f>
        <v>1.59720335900656</v>
      </c>
      <c r="D1440" s="53" t="n">
        <f aca="true">NORMINV(RAND(),0,D$7)</f>
        <v>1.23930025747507</v>
      </c>
      <c r="E1440" s="53" t="n">
        <f aca="true">NORMINV(RAND(),0,E$7)</f>
        <v>-0.308977171606418</v>
      </c>
      <c r="F1440" s="53" t="n">
        <f aca="true">NORMINV(RAND(),0,F$7)</f>
        <v>-0.503975781995043</v>
      </c>
      <c r="G1440" s="53" t="n">
        <f aca="true">NORMINV(RAND(),0,G$7)</f>
        <v>0.362175501829579</v>
      </c>
      <c r="H1440" s="53" t="n">
        <f aca="true">NORMINV(RAND(),0,H$7)</f>
        <v>0.358951831149178</v>
      </c>
      <c r="I1440" s="53" t="n">
        <f aca="false">SUM(B1440:H1440)</f>
        <v>2.67234380706129</v>
      </c>
      <c r="J1440" s="53" t="n">
        <f aca="true">NORMINV(RAND(),0,J$7)</f>
        <v>-1.01769660616577</v>
      </c>
      <c r="K1440" s="53" t="n">
        <f aca="true">NORMINV(RAND(),0,K$7)</f>
        <v>0.2845793835751</v>
      </c>
      <c r="L1440" s="53" t="n">
        <f aca="true">NORMINV(RAND(),0,L$7)</f>
        <v>-0.263191079768897</v>
      </c>
      <c r="M1440" s="53" t="n">
        <f aca="true">NORMINV(RAND(),0,M$7)</f>
        <v>0.228624872527914</v>
      </c>
      <c r="N1440" s="53" t="n">
        <f aca="true">NORMINV(RAND(),0,N$7)</f>
        <v>-0.517018878404362</v>
      </c>
      <c r="O1440" s="53" t="n">
        <f aca="false">SUM(J1440:N1440)</f>
        <v>-1.28470230823601</v>
      </c>
    </row>
    <row r="1441" customFormat="false" ht="15" hidden="false" customHeight="false" outlineLevel="0" collapsed="false">
      <c r="A1441" s="2" t="n">
        <v>1433</v>
      </c>
      <c r="B1441" s="53" t="n">
        <f aca="true">NORMINV(RAND(),0,B$7)</f>
        <v>2.36739767420622</v>
      </c>
      <c r="C1441" s="53" t="n">
        <f aca="true">NORMINV(RAND(),0,C$7)</f>
        <v>0.549385588443498</v>
      </c>
      <c r="D1441" s="53" t="n">
        <f aca="true">NORMINV(RAND(),0,D$7)</f>
        <v>-2.16575979579757</v>
      </c>
      <c r="E1441" s="53" t="n">
        <f aca="true">NORMINV(RAND(),0,E$7)</f>
        <v>0.461135781745617</v>
      </c>
      <c r="F1441" s="53" t="n">
        <f aca="true">NORMINV(RAND(),0,F$7)</f>
        <v>0.0511443287158328</v>
      </c>
      <c r="G1441" s="53" t="n">
        <f aca="true">NORMINV(RAND(),0,G$7)</f>
        <v>-0.242653299283221</v>
      </c>
      <c r="H1441" s="53" t="n">
        <f aca="true">NORMINV(RAND(),0,H$7)</f>
        <v>-0.0129550522583458</v>
      </c>
      <c r="I1441" s="53" t="n">
        <f aca="false">SUM(B1441:H1441)</f>
        <v>1.00769522577203</v>
      </c>
      <c r="J1441" s="53" t="n">
        <f aca="true">NORMINV(RAND(),0,J$7)</f>
        <v>-2.24591520032134</v>
      </c>
      <c r="K1441" s="53" t="n">
        <f aca="true">NORMINV(RAND(),0,K$7)</f>
        <v>0.593942620130043</v>
      </c>
      <c r="L1441" s="53" t="n">
        <f aca="true">NORMINV(RAND(),0,L$7)</f>
        <v>-0.0196118899682611</v>
      </c>
      <c r="M1441" s="53" t="n">
        <f aca="true">NORMINV(RAND(),0,M$7)</f>
        <v>0.132948007938321</v>
      </c>
      <c r="N1441" s="53" t="n">
        <f aca="true">NORMINV(RAND(),0,N$7)</f>
        <v>0.370038694244697</v>
      </c>
      <c r="O1441" s="53" t="n">
        <f aca="false">SUM(J1441:N1441)</f>
        <v>-1.16859776797654</v>
      </c>
    </row>
    <row r="1442" customFormat="false" ht="15" hidden="false" customHeight="false" outlineLevel="0" collapsed="false">
      <c r="A1442" s="2" t="n">
        <v>1434</v>
      </c>
      <c r="B1442" s="53" t="n">
        <f aca="true">NORMINV(RAND(),0,B$7)</f>
        <v>0.234612181040505</v>
      </c>
      <c r="C1442" s="53" t="n">
        <f aca="true">NORMINV(RAND(),0,C$7)</f>
        <v>-0.926911475956561</v>
      </c>
      <c r="D1442" s="53" t="n">
        <f aca="true">NORMINV(RAND(),0,D$7)</f>
        <v>0.25838548509028</v>
      </c>
      <c r="E1442" s="53" t="n">
        <f aca="true">NORMINV(RAND(),0,E$7)</f>
        <v>-0.0804381998299578</v>
      </c>
      <c r="F1442" s="53" t="n">
        <f aca="true">NORMINV(RAND(),0,F$7)</f>
        <v>-0.311984933229431</v>
      </c>
      <c r="G1442" s="53" t="n">
        <f aca="true">NORMINV(RAND(),0,G$7)</f>
        <v>-0.966232647022648</v>
      </c>
      <c r="H1442" s="53" t="n">
        <f aca="true">NORMINV(RAND(),0,H$7)</f>
        <v>0.165438558516284</v>
      </c>
      <c r="I1442" s="53" t="n">
        <f aca="false">SUM(B1442:H1442)</f>
        <v>-1.62713103139153</v>
      </c>
      <c r="J1442" s="53" t="n">
        <f aca="true">NORMINV(RAND(),0,J$7)</f>
        <v>2.34255507606041</v>
      </c>
      <c r="K1442" s="53" t="n">
        <f aca="true">NORMINV(RAND(),0,K$7)</f>
        <v>0.167003048916048</v>
      </c>
      <c r="L1442" s="53" t="n">
        <f aca="true">NORMINV(RAND(),0,L$7)</f>
        <v>0.108099428606915</v>
      </c>
      <c r="M1442" s="53" t="n">
        <f aca="true">NORMINV(RAND(),0,M$7)</f>
        <v>-0.133214228791192</v>
      </c>
      <c r="N1442" s="53" t="n">
        <f aca="true">NORMINV(RAND(),0,N$7)</f>
        <v>-0.415403837916035</v>
      </c>
      <c r="O1442" s="53" t="n">
        <f aca="false">SUM(J1442:N1442)</f>
        <v>2.06903948687615</v>
      </c>
    </row>
    <row r="1443" customFormat="false" ht="15" hidden="false" customHeight="false" outlineLevel="0" collapsed="false">
      <c r="A1443" s="2" t="n">
        <v>1435</v>
      </c>
      <c r="B1443" s="53" t="n">
        <f aca="true">NORMINV(RAND(),0,B$7)</f>
        <v>0.913590797233831</v>
      </c>
      <c r="C1443" s="53" t="n">
        <f aca="true">NORMINV(RAND(),0,C$7)</f>
        <v>1.98005906811282</v>
      </c>
      <c r="D1443" s="53" t="n">
        <f aca="true">NORMINV(RAND(),0,D$7)</f>
        <v>-1.10826817518126</v>
      </c>
      <c r="E1443" s="53" t="n">
        <f aca="true">NORMINV(RAND(),0,E$7)</f>
        <v>0.423413598078214</v>
      </c>
      <c r="F1443" s="53" t="n">
        <f aca="true">NORMINV(RAND(),0,F$7)</f>
        <v>-0.0938905911971528</v>
      </c>
      <c r="G1443" s="53" t="n">
        <f aca="true">NORMINV(RAND(),0,G$7)</f>
        <v>2.11178859994088</v>
      </c>
      <c r="H1443" s="53" t="n">
        <f aca="true">NORMINV(RAND(),0,H$7)</f>
        <v>0.58423188838759</v>
      </c>
      <c r="I1443" s="53" t="n">
        <f aca="false">SUM(B1443:H1443)</f>
        <v>4.81092518537493</v>
      </c>
      <c r="J1443" s="53" t="n">
        <f aca="true">NORMINV(RAND(),0,J$7)</f>
        <v>3.00084771083931</v>
      </c>
      <c r="K1443" s="53" t="n">
        <f aca="true">NORMINV(RAND(),0,K$7)</f>
        <v>-1.72963086845331</v>
      </c>
      <c r="L1443" s="53" t="n">
        <f aca="true">NORMINV(RAND(),0,L$7)</f>
        <v>-0.633921834278084</v>
      </c>
      <c r="M1443" s="53" t="n">
        <f aca="true">NORMINV(RAND(),0,M$7)</f>
        <v>-0.0612855168352808</v>
      </c>
      <c r="N1443" s="53" t="n">
        <f aca="true">NORMINV(RAND(),0,N$7)</f>
        <v>0.215839800672185</v>
      </c>
      <c r="O1443" s="53" t="n">
        <f aca="false">SUM(J1443:N1443)</f>
        <v>0.791849291944825</v>
      </c>
    </row>
    <row r="1444" customFormat="false" ht="15" hidden="false" customHeight="false" outlineLevel="0" collapsed="false">
      <c r="A1444" s="2" t="n">
        <v>1436</v>
      </c>
      <c r="B1444" s="53" t="n">
        <f aca="true">NORMINV(RAND(),0,B$7)</f>
        <v>1.41428887527917</v>
      </c>
      <c r="C1444" s="53" t="n">
        <f aca="true">NORMINV(RAND(),0,C$7)</f>
        <v>1.81321921724253</v>
      </c>
      <c r="D1444" s="53" t="n">
        <f aca="true">NORMINV(RAND(),0,D$7)</f>
        <v>-1.21155527120783</v>
      </c>
      <c r="E1444" s="53" t="n">
        <f aca="true">NORMINV(RAND(),0,E$7)</f>
        <v>-0.752882882562221</v>
      </c>
      <c r="F1444" s="53" t="n">
        <f aca="true">NORMINV(RAND(),0,F$7)</f>
        <v>0.198313610747433</v>
      </c>
      <c r="G1444" s="53" t="n">
        <f aca="true">NORMINV(RAND(),0,G$7)</f>
        <v>1.19991012481282</v>
      </c>
      <c r="H1444" s="53" t="n">
        <f aca="true">NORMINV(RAND(),0,H$7)</f>
        <v>-0.392529975663137</v>
      </c>
      <c r="I1444" s="53" t="n">
        <f aca="false">SUM(B1444:H1444)</f>
        <v>2.26876369864877</v>
      </c>
      <c r="J1444" s="53" t="n">
        <f aca="true">NORMINV(RAND(),0,J$7)</f>
        <v>0.237294770555779</v>
      </c>
      <c r="K1444" s="53" t="n">
        <f aca="true">NORMINV(RAND(),0,K$7)</f>
        <v>0.794614512893222</v>
      </c>
      <c r="L1444" s="53" t="n">
        <f aca="true">NORMINV(RAND(),0,L$7)</f>
        <v>0.372996706507939</v>
      </c>
      <c r="M1444" s="53" t="n">
        <f aca="true">NORMINV(RAND(),0,M$7)</f>
        <v>0.116717402560247</v>
      </c>
      <c r="N1444" s="53" t="n">
        <f aca="true">NORMINV(RAND(),0,N$7)</f>
        <v>1.14552489602307</v>
      </c>
      <c r="O1444" s="53" t="n">
        <f aca="false">SUM(J1444:N1444)</f>
        <v>2.66714828854026</v>
      </c>
    </row>
    <row r="1445" customFormat="false" ht="15" hidden="false" customHeight="false" outlineLevel="0" collapsed="false">
      <c r="A1445" s="2" t="n">
        <v>1437</v>
      </c>
      <c r="B1445" s="53" t="n">
        <f aca="true">NORMINV(RAND(),0,B$7)</f>
        <v>1.26496614558232</v>
      </c>
      <c r="C1445" s="53" t="n">
        <f aca="true">NORMINV(RAND(),0,C$7)</f>
        <v>2.99431634431727</v>
      </c>
      <c r="D1445" s="53" t="n">
        <f aca="true">NORMINV(RAND(),0,D$7)</f>
        <v>0.346429190447558</v>
      </c>
      <c r="E1445" s="53" t="n">
        <f aca="true">NORMINV(RAND(),0,E$7)</f>
        <v>-0.1578348796111</v>
      </c>
      <c r="F1445" s="53" t="n">
        <f aca="true">NORMINV(RAND(),0,F$7)</f>
        <v>0.0128847568070466</v>
      </c>
      <c r="G1445" s="53" t="n">
        <f aca="true">NORMINV(RAND(),0,G$7)</f>
        <v>-1.52432923873402</v>
      </c>
      <c r="H1445" s="53" t="n">
        <f aca="true">NORMINV(RAND(),0,H$7)</f>
        <v>-0.289110479201401</v>
      </c>
      <c r="I1445" s="53" t="n">
        <f aca="false">SUM(B1445:H1445)</f>
        <v>2.64732183960767</v>
      </c>
      <c r="J1445" s="53" t="n">
        <f aca="true">NORMINV(RAND(),0,J$7)</f>
        <v>-2.53281479601835</v>
      </c>
      <c r="K1445" s="53" t="n">
        <f aca="true">NORMINV(RAND(),0,K$7)</f>
        <v>0.0620230575641542</v>
      </c>
      <c r="L1445" s="53" t="n">
        <f aca="true">NORMINV(RAND(),0,L$7)</f>
        <v>-0.00847657898747463</v>
      </c>
      <c r="M1445" s="53" t="n">
        <f aca="true">NORMINV(RAND(),0,M$7)</f>
        <v>-0.251059275666894</v>
      </c>
      <c r="N1445" s="53" t="n">
        <f aca="true">NORMINV(RAND(),0,N$7)</f>
        <v>-0.643759576431069</v>
      </c>
      <c r="O1445" s="53" t="n">
        <f aca="false">SUM(J1445:N1445)</f>
        <v>-3.37408716953963</v>
      </c>
    </row>
    <row r="1446" customFormat="false" ht="15" hidden="false" customHeight="false" outlineLevel="0" collapsed="false">
      <c r="A1446" s="2" t="n">
        <v>1438</v>
      </c>
      <c r="B1446" s="53" t="n">
        <f aca="true">NORMINV(RAND(),0,B$7)</f>
        <v>1.78567714507901</v>
      </c>
      <c r="C1446" s="53" t="n">
        <f aca="true">NORMINV(RAND(),0,C$7)</f>
        <v>-0.156813641068963</v>
      </c>
      <c r="D1446" s="53" t="n">
        <f aca="true">NORMINV(RAND(),0,D$7)</f>
        <v>1.29234452816226</v>
      </c>
      <c r="E1446" s="53" t="n">
        <f aca="true">NORMINV(RAND(),0,E$7)</f>
        <v>-0.330734695972046</v>
      </c>
      <c r="F1446" s="53" t="n">
        <f aca="true">NORMINV(RAND(),0,F$7)</f>
        <v>0.814413961296301</v>
      </c>
      <c r="G1446" s="53" t="n">
        <f aca="true">NORMINV(RAND(),0,G$7)</f>
        <v>-0.503840170204776</v>
      </c>
      <c r="H1446" s="53" t="n">
        <f aca="true">NORMINV(RAND(),0,H$7)</f>
        <v>-0.422751669534654</v>
      </c>
      <c r="I1446" s="53" t="n">
        <f aca="false">SUM(B1446:H1446)</f>
        <v>2.47829545775713</v>
      </c>
      <c r="J1446" s="53" t="n">
        <f aca="true">NORMINV(RAND(),0,J$7)</f>
        <v>1.19479910136504</v>
      </c>
      <c r="K1446" s="53" t="n">
        <f aca="true">NORMINV(RAND(),0,K$7)</f>
        <v>-0.397602991310605</v>
      </c>
      <c r="L1446" s="53" t="n">
        <f aca="true">NORMINV(RAND(),0,L$7)</f>
        <v>-0.647482308393206</v>
      </c>
      <c r="M1446" s="53" t="n">
        <f aca="true">NORMINV(RAND(),0,M$7)</f>
        <v>0.120200696682429</v>
      </c>
      <c r="N1446" s="53" t="n">
        <f aca="true">NORMINV(RAND(),0,N$7)</f>
        <v>0.214474385284896</v>
      </c>
      <c r="O1446" s="53" t="n">
        <f aca="false">SUM(J1446:N1446)</f>
        <v>0.484388883628552</v>
      </c>
    </row>
    <row r="1447" customFormat="false" ht="15" hidden="false" customHeight="false" outlineLevel="0" collapsed="false">
      <c r="A1447" s="2" t="n">
        <v>1439</v>
      </c>
      <c r="B1447" s="53" t="n">
        <f aca="true">NORMINV(RAND(),0,B$7)</f>
        <v>0.490065272722614</v>
      </c>
      <c r="C1447" s="53" t="n">
        <f aca="true">NORMINV(RAND(),0,C$7)</f>
        <v>-0.295139647955734</v>
      </c>
      <c r="D1447" s="53" t="n">
        <f aca="true">NORMINV(RAND(),0,D$7)</f>
        <v>0.897834614331407</v>
      </c>
      <c r="E1447" s="53" t="n">
        <f aca="true">NORMINV(RAND(),0,E$7)</f>
        <v>0.178526853750426</v>
      </c>
      <c r="F1447" s="53" t="n">
        <f aca="true">NORMINV(RAND(),0,F$7)</f>
        <v>-0.563124537045225</v>
      </c>
      <c r="G1447" s="53" t="n">
        <f aca="true">NORMINV(RAND(),0,G$7)</f>
        <v>2.74897185114378</v>
      </c>
      <c r="H1447" s="53" t="n">
        <f aca="true">NORMINV(RAND(),0,H$7)</f>
        <v>-0.0881853657183315</v>
      </c>
      <c r="I1447" s="53" t="n">
        <f aca="false">SUM(B1447:H1447)</f>
        <v>3.36894904122894</v>
      </c>
      <c r="J1447" s="53" t="n">
        <f aca="true">NORMINV(RAND(),0,J$7)</f>
        <v>1.37074666557881</v>
      </c>
      <c r="K1447" s="53" t="n">
        <f aca="true">NORMINV(RAND(),0,K$7)</f>
        <v>0.490558226366108</v>
      </c>
      <c r="L1447" s="53" t="n">
        <f aca="true">NORMINV(RAND(),0,L$7)</f>
        <v>-0.494928986620383</v>
      </c>
      <c r="M1447" s="53" t="n">
        <f aca="true">NORMINV(RAND(),0,M$7)</f>
        <v>0.232972459744284</v>
      </c>
      <c r="N1447" s="53" t="n">
        <f aca="true">NORMINV(RAND(),0,N$7)</f>
        <v>0.854970502537748</v>
      </c>
      <c r="O1447" s="53" t="n">
        <f aca="false">SUM(J1447:N1447)</f>
        <v>2.45431886760656</v>
      </c>
    </row>
    <row r="1448" customFormat="false" ht="15" hidden="false" customHeight="false" outlineLevel="0" collapsed="false">
      <c r="A1448" s="2" t="n">
        <v>1440</v>
      </c>
      <c r="B1448" s="53" t="n">
        <f aca="true">NORMINV(RAND(),0,B$7)</f>
        <v>2.04738228651815</v>
      </c>
      <c r="C1448" s="53" t="n">
        <f aca="true">NORMINV(RAND(),0,C$7)</f>
        <v>-2.19579353499497</v>
      </c>
      <c r="D1448" s="53" t="n">
        <f aca="true">NORMINV(RAND(),0,D$7)</f>
        <v>0.83412493945166</v>
      </c>
      <c r="E1448" s="53" t="n">
        <f aca="true">NORMINV(RAND(),0,E$7)</f>
        <v>0.365953568428265</v>
      </c>
      <c r="F1448" s="53" t="n">
        <f aca="true">NORMINV(RAND(),0,F$7)</f>
        <v>-0.145948852662929</v>
      </c>
      <c r="G1448" s="53" t="n">
        <f aca="true">NORMINV(RAND(),0,G$7)</f>
        <v>-2.0330035141988</v>
      </c>
      <c r="H1448" s="53" t="n">
        <f aca="true">NORMINV(RAND(),0,H$7)</f>
        <v>-0.274999521442697</v>
      </c>
      <c r="I1448" s="53" t="n">
        <f aca="false">SUM(B1448:H1448)</f>
        <v>-1.40228462890132</v>
      </c>
      <c r="J1448" s="53" t="n">
        <f aca="true">NORMINV(RAND(),0,J$7)</f>
        <v>1.25163000358539</v>
      </c>
      <c r="K1448" s="53" t="n">
        <f aca="true">NORMINV(RAND(),0,K$7)</f>
        <v>-0.31723233157608</v>
      </c>
      <c r="L1448" s="53" t="n">
        <f aca="true">NORMINV(RAND(),0,L$7)</f>
        <v>-0.0156340386709461</v>
      </c>
      <c r="M1448" s="53" t="n">
        <f aca="true">NORMINV(RAND(),0,M$7)</f>
        <v>-0.0667558632775662</v>
      </c>
      <c r="N1448" s="53" t="n">
        <f aca="true">NORMINV(RAND(),0,N$7)</f>
        <v>0.691743042600842</v>
      </c>
      <c r="O1448" s="53" t="n">
        <f aca="false">SUM(J1448:N1448)</f>
        <v>1.54375081266164</v>
      </c>
    </row>
    <row r="1449" customFormat="false" ht="15" hidden="false" customHeight="false" outlineLevel="0" collapsed="false">
      <c r="A1449" s="2" t="n">
        <v>1441</v>
      </c>
      <c r="B1449" s="53" t="n">
        <f aca="true">NORMINV(RAND(),0,B$7)</f>
        <v>-1.57442128124356</v>
      </c>
      <c r="C1449" s="53" t="n">
        <f aca="true">NORMINV(RAND(),0,C$7)</f>
        <v>-2.79474567417427</v>
      </c>
      <c r="D1449" s="53" t="n">
        <f aca="true">NORMINV(RAND(),0,D$7)</f>
        <v>-3.03724520535954</v>
      </c>
      <c r="E1449" s="53" t="n">
        <f aca="true">NORMINV(RAND(),0,E$7)</f>
        <v>-0.319005350361324</v>
      </c>
      <c r="F1449" s="53" t="n">
        <f aca="true">NORMINV(RAND(),0,F$7)</f>
        <v>0.304404809617008</v>
      </c>
      <c r="G1449" s="53" t="n">
        <f aca="true">NORMINV(RAND(),0,G$7)</f>
        <v>2.43997471686958</v>
      </c>
      <c r="H1449" s="53" t="n">
        <f aca="true">NORMINV(RAND(),0,H$7)</f>
        <v>0.0266065891079207</v>
      </c>
      <c r="I1449" s="53" t="n">
        <f aca="false">SUM(B1449:H1449)</f>
        <v>-4.95443139554419</v>
      </c>
      <c r="J1449" s="53" t="n">
        <f aca="true">NORMINV(RAND(),0,J$7)</f>
        <v>1.68862930953167</v>
      </c>
      <c r="K1449" s="53" t="n">
        <f aca="true">NORMINV(RAND(),0,K$7)</f>
        <v>0.178975834807663</v>
      </c>
      <c r="L1449" s="53" t="n">
        <f aca="true">NORMINV(RAND(),0,L$7)</f>
        <v>-0.223704577673963</v>
      </c>
      <c r="M1449" s="53" t="n">
        <f aca="true">NORMINV(RAND(),0,M$7)</f>
        <v>0.316268030871773</v>
      </c>
      <c r="N1449" s="53" t="n">
        <f aca="true">NORMINV(RAND(),0,N$7)</f>
        <v>0.130271340994469</v>
      </c>
      <c r="O1449" s="53" t="n">
        <f aca="false">SUM(J1449:N1449)</f>
        <v>2.09043993853161</v>
      </c>
    </row>
    <row r="1450" customFormat="false" ht="15" hidden="false" customHeight="false" outlineLevel="0" collapsed="false">
      <c r="A1450" s="2" t="n">
        <v>1442</v>
      </c>
      <c r="B1450" s="53" t="n">
        <f aca="true">NORMINV(RAND(),0,B$7)</f>
        <v>-1.83468107191746</v>
      </c>
      <c r="C1450" s="53" t="n">
        <f aca="true">NORMINV(RAND(),0,C$7)</f>
        <v>0.288589594919069</v>
      </c>
      <c r="D1450" s="53" t="n">
        <f aca="true">NORMINV(RAND(),0,D$7)</f>
        <v>-0.945112260621069</v>
      </c>
      <c r="E1450" s="53" t="n">
        <f aca="true">NORMINV(RAND(),0,E$7)</f>
        <v>0.434894607318868</v>
      </c>
      <c r="F1450" s="53" t="n">
        <f aca="true">NORMINV(RAND(),0,F$7)</f>
        <v>0.375259239753122</v>
      </c>
      <c r="G1450" s="53" t="n">
        <f aca="true">NORMINV(RAND(),0,G$7)</f>
        <v>0.0855951438280269</v>
      </c>
      <c r="H1450" s="53" t="n">
        <f aca="true">NORMINV(RAND(),0,H$7)</f>
        <v>0.0631606626787887</v>
      </c>
      <c r="I1450" s="53" t="n">
        <f aca="false">SUM(B1450:H1450)</f>
        <v>-1.53229408404065</v>
      </c>
      <c r="J1450" s="53" t="n">
        <f aca="true">NORMINV(RAND(),0,J$7)</f>
        <v>2.25994954235263</v>
      </c>
      <c r="K1450" s="53" t="n">
        <f aca="true">NORMINV(RAND(),0,K$7)</f>
        <v>-0.251054839285304</v>
      </c>
      <c r="L1450" s="53" t="n">
        <f aca="true">NORMINV(RAND(),0,L$7)</f>
        <v>0.0832664999743792</v>
      </c>
      <c r="M1450" s="53" t="n">
        <f aca="true">NORMINV(RAND(),0,M$7)</f>
        <v>-0.177630868784843</v>
      </c>
      <c r="N1450" s="53" t="n">
        <f aca="true">NORMINV(RAND(),0,N$7)</f>
        <v>0.0394942432273867</v>
      </c>
      <c r="O1450" s="53" t="n">
        <f aca="false">SUM(J1450:N1450)</f>
        <v>1.95402457748425</v>
      </c>
    </row>
    <row r="1451" customFormat="false" ht="15" hidden="false" customHeight="false" outlineLevel="0" collapsed="false">
      <c r="A1451" s="2" t="n">
        <v>1443</v>
      </c>
      <c r="B1451" s="53" t="n">
        <f aca="true">NORMINV(RAND(),0,B$7)</f>
        <v>1.00601419313365</v>
      </c>
      <c r="C1451" s="53" t="n">
        <f aca="true">NORMINV(RAND(),0,C$7)</f>
        <v>-1.22699890572432</v>
      </c>
      <c r="D1451" s="53" t="n">
        <f aca="true">NORMINV(RAND(),0,D$7)</f>
        <v>0.980835647290265</v>
      </c>
      <c r="E1451" s="53" t="n">
        <f aca="true">NORMINV(RAND(),0,E$7)</f>
        <v>-0.896136971299381</v>
      </c>
      <c r="F1451" s="53" t="n">
        <f aca="true">NORMINV(RAND(),0,F$7)</f>
        <v>0.189198708643562</v>
      </c>
      <c r="G1451" s="53" t="n">
        <f aca="true">NORMINV(RAND(),0,G$7)</f>
        <v>-0.362582562911254</v>
      </c>
      <c r="H1451" s="53" t="n">
        <f aca="true">NORMINV(RAND(),0,H$7)</f>
        <v>-0.042628623547493</v>
      </c>
      <c r="I1451" s="53" t="n">
        <f aca="false">SUM(B1451:H1451)</f>
        <v>-0.352298514414974</v>
      </c>
      <c r="J1451" s="53" t="n">
        <f aca="true">NORMINV(RAND(),0,J$7)</f>
        <v>2.59567909808358</v>
      </c>
      <c r="K1451" s="53" t="n">
        <f aca="true">NORMINV(RAND(),0,K$7)</f>
        <v>0.766649531777533</v>
      </c>
      <c r="L1451" s="53" t="n">
        <f aca="true">NORMINV(RAND(),0,L$7)</f>
        <v>-0.075126173169242</v>
      </c>
      <c r="M1451" s="53" t="n">
        <f aca="true">NORMINV(RAND(),0,M$7)</f>
        <v>0.106417754648968</v>
      </c>
      <c r="N1451" s="53" t="n">
        <f aca="true">NORMINV(RAND(),0,N$7)</f>
        <v>0.0347559970027571</v>
      </c>
      <c r="O1451" s="53" t="n">
        <f aca="false">SUM(J1451:N1451)</f>
        <v>3.42837620834359</v>
      </c>
    </row>
    <row r="1452" customFormat="false" ht="15" hidden="false" customHeight="false" outlineLevel="0" collapsed="false">
      <c r="A1452" s="2" t="n">
        <v>1444</v>
      </c>
      <c r="B1452" s="53" t="n">
        <f aca="true">NORMINV(RAND(),0,B$7)</f>
        <v>3.07461063703612</v>
      </c>
      <c r="C1452" s="53" t="n">
        <f aca="true">NORMINV(RAND(),0,C$7)</f>
        <v>-2.87660790952746</v>
      </c>
      <c r="D1452" s="53" t="n">
        <f aca="true">NORMINV(RAND(),0,D$7)</f>
        <v>1.23835004419583</v>
      </c>
      <c r="E1452" s="53" t="n">
        <f aca="true">NORMINV(RAND(),0,E$7)</f>
        <v>-0.204180244938567</v>
      </c>
      <c r="F1452" s="53" t="n">
        <f aca="true">NORMINV(RAND(),0,F$7)</f>
        <v>0.0552823774856117</v>
      </c>
      <c r="G1452" s="53" t="n">
        <f aca="true">NORMINV(RAND(),0,G$7)</f>
        <v>1.55668067720816</v>
      </c>
      <c r="H1452" s="53" t="n">
        <f aca="true">NORMINV(RAND(),0,H$7)</f>
        <v>0.14106789329745</v>
      </c>
      <c r="I1452" s="53" t="n">
        <f aca="false">SUM(B1452:H1452)</f>
        <v>2.98520347475715</v>
      </c>
      <c r="J1452" s="53" t="n">
        <f aca="true">NORMINV(RAND(),0,J$7)</f>
        <v>-0.701787136079803</v>
      </c>
      <c r="K1452" s="53" t="n">
        <f aca="true">NORMINV(RAND(),0,K$7)</f>
        <v>-0.909569842327272</v>
      </c>
      <c r="L1452" s="53" t="n">
        <f aca="true">NORMINV(RAND(),0,L$7)</f>
        <v>0.709759319273507</v>
      </c>
      <c r="M1452" s="53" t="n">
        <f aca="true">NORMINV(RAND(),0,M$7)</f>
        <v>0.00115829475857398</v>
      </c>
      <c r="N1452" s="53" t="n">
        <f aca="true">NORMINV(RAND(),0,N$7)</f>
        <v>-0.00709496161137412</v>
      </c>
      <c r="O1452" s="53" t="n">
        <f aca="false">SUM(J1452:N1452)</f>
        <v>-0.907534325986369</v>
      </c>
    </row>
    <row r="1453" customFormat="false" ht="15" hidden="false" customHeight="false" outlineLevel="0" collapsed="false">
      <c r="A1453" s="2" t="n">
        <v>1445</v>
      </c>
      <c r="B1453" s="53" t="n">
        <f aca="true">NORMINV(RAND(),0,B$7)</f>
        <v>-0.213850157669698</v>
      </c>
      <c r="C1453" s="53" t="n">
        <f aca="true">NORMINV(RAND(),0,C$7)</f>
        <v>0.63814750156591</v>
      </c>
      <c r="D1453" s="53" t="n">
        <f aca="true">NORMINV(RAND(),0,D$7)</f>
        <v>-0.816954765669879</v>
      </c>
      <c r="E1453" s="53" t="n">
        <f aca="true">NORMINV(RAND(),0,E$7)</f>
        <v>-0.229399796936407</v>
      </c>
      <c r="F1453" s="53" t="n">
        <f aca="true">NORMINV(RAND(),0,F$7)</f>
        <v>0.0912900496716262</v>
      </c>
      <c r="G1453" s="53" t="n">
        <f aca="true">NORMINV(RAND(),0,G$7)</f>
        <v>0.0281231298099522</v>
      </c>
      <c r="H1453" s="53" t="n">
        <f aca="true">NORMINV(RAND(),0,H$7)</f>
        <v>0.0697906878006441</v>
      </c>
      <c r="I1453" s="53" t="n">
        <f aca="false">SUM(B1453:H1453)</f>
        <v>-0.432853351427852</v>
      </c>
      <c r="J1453" s="53" t="n">
        <f aca="true">NORMINV(RAND(),0,J$7)</f>
        <v>1.23118873434241</v>
      </c>
      <c r="K1453" s="53" t="n">
        <f aca="true">NORMINV(RAND(),0,K$7)</f>
        <v>-0.74068801979523</v>
      </c>
      <c r="L1453" s="53" t="n">
        <f aca="true">NORMINV(RAND(),0,L$7)</f>
        <v>-0.453452951624687</v>
      </c>
      <c r="M1453" s="53" t="n">
        <f aca="true">NORMINV(RAND(),0,M$7)</f>
        <v>-0.180121434504288</v>
      </c>
      <c r="N1453" s="53" t="n">
        <f aca="true">NORMINV(RAND(),0,N$7)</f>
        <v>0.399640996957339</v>
      </c>
      <c r="O1453" s="53" t="n">
        <f aca="false">SUM(J1453:N1453)</f>
        <v>0.256567325375543</v>
      </c>
    </row>
    <row r="1454" customFormat="false" ht="15" hidden="false" customHeight="false" outlineLevel="0" collapsed="false">
      <c r="A1454" s="2" t="n">
        <v>1446</v>
      </c>
      <c r="B1454" s="53" t="n">
        <f aca="true">NORMINV(RAND(),0,B$7)</f>
        <v>-0.413083249767182</v>
      </c>
      <c r="C1454" s="53" t="n">
        <f aca="true">NORMINV(RAND(),0,C$7)</f>
        <v>0.789780661422364</v>
      </c>
      <c r="D1454" s="53" t="n">
        <f aca="true">NORMINV(RAND(),0,D$7)</f>
        <v>-4.71892165002702</v>
      </c>
      <c r="E1454" s="53" t="n">
        <f aca="true">NORMINV(RAND(),0,E$7)</f>
        <v>0.31851146861749</v>
      </c>
      <c r="F1454" s="53" t="n">
        <f aca="true">NORMINV(RAND(),0,F$7)</f>
        <v>0.357102318878751</v>
      </c>
      <c r="G1454" s="53" t="n">
        <f aca="true">NORMINV(RAND(),0,G$7)</f>
        <v>-0.669639951210899</v>
      </c>
      <c r="H1454" s="53" t="n">
        <f aca="true">NORMINV(RAND(),0,H$7)</f>
        <v>0.24165373785456</v>
      </c>
      <c r="I1454" s="53" t="n">
        <f aca="false">SUM(B1454:H1454)</f>
        <v>-4.09459666423193</v>
      </c>
      <c r="J1454" s="53" t="n">
        <f aca="true">NORMINV(RAND(),0,J$7)</f>
        <v>-3.15254465922804</v>
      </c>
      <c r="K1454" s="53" t="n">
        <f aca="true">NORMINV(RAND(),0,K$7)</f>
        <v>-0.133531334831469</v>
      </c>
      <c r="L1454" s="53" t="n">
        <f aca="true">NORMINV(RAND(),0,L$7)</f>
        <v>-0.538000831612465</v>
      </c>
      <c r="M1454" s="53" t="n">
        <f aca="true">NORMINV(RAND(),0,M$7)</f>
        <v>0.0481237146659739</v>
      </c>
      <c r="N1454" s="53" t="n">
        <f aca="true">NORMINV(RAND(),0,N$7)</f>
        <v>0.708992776932962</v>
      </c>
      <c r="O1454" s="53" t="n">
        <f aca="false">SUM(J1454:N1454)</f>
        <v>-3.06696033407304</v>
      </c>
    </row>
    <row r="1455" customFormat="false" ht="15" hidden="false" customHeight="false" outlineLevel="0" collapsed="false">
      <c r="A1455" s="2" t="n">
        <v>1447</v>
      </c>
      <c r="B1455" s="53" t="n">
        <f aca="true">NORMINV(RAND(),0,B$7)</f>
        <v>0.808958178119609</v>
      </c>
      <c r="C1455" s="53" t="n">
        <f aca="true">NORMINV(RAND(),0,C$7)</f>
        <v>3.11468053293059</v>
      </c>
      <c r="D1455" s="53" t="n">
        <f aca="true">NORMINV(RAND(),0,D$7)</f>
        <v>-0.130019899215932</v>
      </c>
      <c r="E1455" s="53" t="n">
        <f aca="true">NORMINV(RAND(),0,E$7)</f>
        <v>0.0294473948633104</v>
      </c>
      <c r="F1455" s="53" t="n">
        <f aca="true">NORMINV(RAND(),0,F$7)</f>
        <v>0.260771613888031</v>
      </c>
      <c r="G1455" s="53" t="n">
        <f aca="true">NORMINV(RAND(),0,G$7)</f>
        <v>-0.464944173280631</v>
      </c>
      <c r="H1455" s="53" t="n">
        <f aca="true">NORMINV(RAND(),0,H$7)</f>
        <v>-0.233458879701518</v>
      </c>
      <c r="I1455" s="53" t="n">
        <f aca="false">SUM(B1455:H1455)</f>
        <v>3.38543476760346</v>
      </c>
      <c r="J1455" s="53" t="n">
        <f aca="true">NORMINV(RAND(),0,J$7)</f>
        <v>-4.18756570800165</v>
      </c>
      <c r="K1455" s="53" t="n">
        <f aca="true">NORMINV(RAND(),0,K$7)</f>
        <v>0.283129579215006</v>
      </c>
      <c r="L1455" s="53" t="n">
        <f aca="true">NORMINV(RAND(),0,L$7)</f>
        <v>-0.15082003525139</v>
      </c>
      <c r="M1455" s="53" t="n">
        <f aca="true">NORMINV(RAND(),0,M$7)</f>
        <v>0.149633653866212</v>
      </c>
      <c r="N1455" s="53" t="n">
        <f aca="true">NORMINV(RAND(),0,N$7)</f>
        <v>-0.161191508222751</v>
      </c>
      <c r="O1455" s="53" t="n">
        <f aca="false">SUM(J1455:N1455)</f>
        <v>-4.06681401839457</v>
      </c>
    </row>
    <row r="1456" customFormat="false" ht="15" hidden="false" customHeight="false" outlineLevel="0" collapsed="false">
      <c r="A1456" s="2" t="n">
        <v>1448</v>
      </c>
      <c r="B1456" s="53" t="n">
        <f aca="true">NORMINV(RAND(),0,B$7)</f>
        <v>-0.223729852644879</v>
      </c>
      <c r="C1456" s="53" t="n">
        <f aca="true">NORMINV(RAND(),0,C$7)</f>
        <v>1.85299268601345</v>
      </c>
      <c r="D1456" s="53" t="n">
        <f aca="true">NORMINV(RAND(),0,D$7)</f>
        <v>-1.0329920750825</v>
      </c>
      <c r="E1456" s="53" t="n">
        <f aca="true">NORMINV(RAND(),0,E$7)</f>
        <v>0.31117619203034</v>
      </c>
      <c r="F1456" s="53" t="n">
        <f aca="true">NORMINV(RAND(),0,F$7)</f>
        <v>-0.103892260989133</v>
      </c>
      <c r="G1456" s="53" t="n">
        <f aca="true">NORMINV(RAND(),0,G$7)</f>
        <v>1.57130705601156</v>
      </c>
      <c r="H1456" s="53" t="n">
        <f aca="true">NORMINV(RAND(),0,H$7)</f>
        <v>0.22402803163499</v>
      </c>
      <c r="I1456" s="53" t="n">
        <f aca="false">SUM(B1456:H1456)</f>
        <v>2.59888977697383</v>
      </c>
      <c r="J1456" s="53" t="n">
        <f aca="true">NORMINV(RAND(),0,J$7)</f>
        <v>-0.791670379408277</v>
      </c>
      <c r="K1456" s="53" t="n">
        <f aca="true">NORMINV(RAND(),0,K$7)</f>
        <v>0.380329151107336</v>
      </c>
      <c r="L1456" s="53" t="n">
        <f aca="true">NORMINV(RAND(),0,L$7)</f>
        <v>0.281375955176539</v>
      </c>
      <c r="M1456" s="53" t="n">
        <f aca="true">NORMINV(RAND(),0,M$7)</f>
        <v>-0.0290713930605588</v>
      </c>
      <c r="N1456" s="53" t="n">
        <f aca="true">NORMINV(RAND(),0,N$7)</f>
        <v>0.398865544831955</v>
      </c>
      <c r="O1456" s="53" t="n">
        <f aca="false">SUM(J1456:N1456)</f>
        <v>0.239828878646994</v>
      </c>
    </row>
    <row r="1457" customFormat="false" ht="15" hidden="false" customHeight="false" outlineLevel="0" collapsed="false">
      <c r="A1457" s="2" t="n">
        <v>1449</v>
      </c>
      <c r="B1457" s="53" t="n">
        <f aca="true">NORMINV(RAND(),0,B$7)</f>
        <v>-0.651803750944</v>
      </c>
      <c r="C1457" s="53" t="n">
        <f aca="true">NORMINV(RAND(),0,C$7)</f>
        <v>-0.533347223130732</v>
      </c>
      <c r="D1457" s="53" t="n">
        <f aca="true">NORMINV(RAND(),0,D$7)</f>
        <v>0.98070594625698</v>
      </c>
      <c r="E1457" s="53" t="n">
        <f aca="true">NORMINV(RAND(),0,E$7)</f>
        <v>0.0327178077788957</v>
      </c>
      <c r="F1457" s="53" t="n">
        <f aca="true">NORMINV(RAND(),0,F$7)</f>
        <v>-0.0270739119425217</v>
      </c>
      <c r="G1457" s="53" t="n">
        <f aca="true">NORMINV(RAND(),0,G$7)</f>
        <v>0.567771128811349</v>
      </c>
      <c r="H1457" s="53" t="n">
        <f aca="true">NORMINV(RAND(),0,H$7)</f>
        <v>-0.419021919453903</v>
      </c>
      <c r="I1457" s="53" t="n">
        <f aca="false">SUM(B1457:H1457)</f>
        <v>-0.0500519226239324</v>
      </c>
      <c r="J1457" s="53" t="n">
        <f aca="true">NORMINV(RAND(),0,J$7)</f>
        <v>3.27738973374918</v>
      </c>
      <c r="K1457" s="53" t="n">
        <f aca="true">NORMINV(RAND(),0,K$7)</f>
        <v>0.0526271155680165</v>
      </c>
      <c r="L1457" s="53" t="n">
        <f aca="true">NORMINV(RAND(),0,L$7)</f>
        <v>0.109641743894604</v>
      </c>
      <c r="M1457" s="53" t="n">
        <f aca="true">NORMINV(RAND(),0,M$7)</f>
        <v>-0.0212382486356449</v>
      </c>
      <c r="N1457" s="53" t="n">
        <f aca="true">NORMINV(RAND(),0,N$7)</f>
        <v>0.166144571361366</v>
      </c>
      <c r="O1457" s="53" t="n">
        <f aca="false">SUM(J1457:N1457)</f>
        <v>3.58456491593752</v>
      </c>
    </row>
    <row r="1458" customFormat="false" ht="15" hidden="false" customHeight="false" outlineLevel="0" collapsed="false">
      <c r="A1458" s="2" t="n">
        <v>1450</v>
      </c>
      <c r="B1458" s="53" t="n">
        <f aca="true">NORMINV(RAND(),0,B$7)</f>
        <v>-2.56847294200482</v>
      </c>
      <c r="C1458" s="53" t="n">
        <f aca="true">NORMINV(RAND(),0,C$7)</f>
        <v>-0.146556304313174</v>
      </c>
      <c r="D1458" s="53" t="n">
        <f aca="true">NORMINV(RAND(),0,D$7)</f>
        <v>-0.758140413063784</v>
      </c>
      <c r="E1458" s="53" t="n">
        <f aca="true">NORMINV(RAND(),0,E$7)</f>
        <v>0.28121258453218</v>
      </c>
      <c r="F1458" s="53" t="n">
        <f aca="true">NORMINV(RAND(),0,F$7)</f>
        <v>0.056470839447557</v>
      </c>
      <c r="G1458" s="53" t="n">
        <f aca="true">NORMINV(RAND(),0,G$7)</f>
        <v>-1.25654616053767</v>
      </c>
      <c r="H1458" s="53" t="n">
        <f aca="true">NORMINV(RAND(),0,H$7)</f>
        <v>0.0364324691168979</v>
      </c>
      <c r="I1458" s="53" t="n">
        <f aca="false">SUM(B1458:H1458)</f>
        <v>-4.35559992682281</v>
      </c>
      <c r="J1458" s="53" t="n">
        <f aca="true">NORMINV(RAND(),0,J$7)</f>
        <v>-0.261195462610547</v>
      </c>
      <c r="K1458" s="53" t="n">
        <f aca="true">NORMINV(RAND(),0,K$7)</f>
        <v>-0.339471692650302</v>
      </c>
      <c r="L1458" s="53" t="n">
        <f aca="true">NORMINV(RAND(),0,L$7)</f>
        <v>-0.119638375247004</v>
      </c>
      <c r="M1458" s="53" t="n">
        <f aca="true">NORMINV(RAND(),0,M$7)</f>
        <v>0.186463776013503</v>
      </c>
      <c r="N1458" s="53" t="n">
        <f aca="true">NORMINV(RAND(),0,N$7)</f>
        <v>-0.11927071430134</v>
      </c>
      <c r="O1458" s="53" t="n">
        <f aca="false">SUM(J1458:N1458)</f>
        <v>-0.65311246879569</v>
      </c>
    </row>
    <row r="1459" customFormat="false" ht="15" hidden="false" customHeight="false" outlineLevel="0" collapsed="false">
      <c r="A1459" s="2" t="n">
        <v>1451</v>
      </c>
      <c r="B1459" s="53" t="n">
        <f aca="true">NORMINV(RAND(),0,B$7)</f>
        <v>4.07342209427923</v>
      </c>
      <c r="C1459" s="53" t="n">
        <f aca="true">NORMINV(RAND(),0,C$7)</f>
        <v>-2.19908463280784</v>
      </c>
      <c r="D1459" s="53" t="n">
        <f aca="true">NORMINV(RAND(),0,D$7)</f>
        <v>0.69560365637758</v>
      </c>
      <c r="E1459" s="53" t="n">
        <f aca="true">NORMINV(RAND(),0,E$7)</f>
        <v>0.0337514023849094</v>
      </c>
      <c r="F1459" s="53" t="n">
        <f aca="true">NORMINV(RAND(),0,F$7)</f>
        <v>-0.067083758511962</v>
      </c>
      <c r="G1459" s="53" t="n">
        <f aca="true">NORMINV(RAND(),0,G$7)</f>
        <v>-0.361394846180456</v>
      </c>
      <c r="H1459" s="53" t="n">
        <f aca="true">NORMINV(RAND(),0,H$7)</f>
        <v>-0.209236652573441</v>
      </c>
      <c r="I1459" s="53" t="n">
        <f aca="false">SUM(B1459:H1459)</f>
        <v>1.96597726296803</v>
      </c>
      <c r="J1459" s="53" t="n">
        <f aca="true">NORMINV(RAND(),0,J$7)</f>
        <v>-1.88231275694859</v>
      </c>
      <c r="K1459" s="53" t="n">
        <f aca="true">NORMINV(RAND(),0,K$7)</f>
        <v>0.212234273366682</v>
      </c>
      <c r="L1459" s="53" t="n">
        <f aca="true">NORMINV(RAND(),0,L$7)</f>
        <v>-0.421126676323275</v>
      </c>
      <c r="M1459" s="53" t="n">
        <f aca="true">NORMINV(RAND(),0,M$7)</f>
        <v>0.00433752397294094</v>
      </c>
      <c r="N1459" s="53" t="n">
        <f aca="true">NORMINV(RAND(),0,N$7)</f>
        <v>0.313004593171918</v>
      </c>
      <c r="O1459" s="53" t="n">
        <f aca="false">SUM(J1459:N1459)</f>
        <v>-1.77386304276032</v>
      </c>
    </row>
    <row r="1460" customFormat="false" ht="15" hidden="false" customHeight="false" outlineLevel="0" collapsed="false">
      <c r="A1460" s="2" t="n">
        <v>1452</v>
      </c>
      <c r="B1460" s="53" t="n">
        <f aca="true">NORMINV(RAND(),0,B$7)</f>
        <v>2.2086135731801</v>
      </c>
      <c r="C1460" s="53" t="n">
        <f aca="true">NORMINV(RAND(),0,C$7)</f>
        <v>-1.18401343515549</v>
      </c>
      <c r="D1460" s="53" t="n">
        <f aca="true">NORMINV(RAND(),0,D$7)</f>
        <v>1.17986931326201</v>
      </c>
      <c r="E1460" s="53" t="n">
        <f aca="true">NORMINV(RAND(),0,E$7)</f>
        <v>-0.178852447213967</v>
      </c>
      <c r="F1460" s="53" t="n">
        <f aca="true">NORMINV(RAND(),0,F$7)</f>
        <v>0.510084100477637</v>
      </c>
      <c r="G1460" s="53" t="n">
        <f aca="true">NORMINV(RAND(),0,G$7)</f>
        <v>0.790020871603582</v>
      </c>
      <c r="H1460" s="53" t="n">
        <f aca="true">NORMINV(RAND(),0,H$7)</f>
        <v>0.0173779212642179</v>
      </c>
      <c r="I1460" s="53" t="n">
        <f aca="false">SUM(B1460:H1460)</f>
        <v>3.34309989741809</v>
      </c>
      <c r="J1460" s="53" t="n">
        <f aca="true">NORMINV(RAND(),0,J$7)</f>
        <v>-0.990739802919983</v>
      </c>
      <c r="K1460" s="53" t="n">
        <f aca="true">NORMINV(RAND(),0,K$7)</f>
        <v>-0.88472078386251</v>
      </c>
      <c r="L1460" s="53" t="n">
        <f aca="true">NORMINV(RAND(),0,L$7)</f>
        <v>0.344272071615657</v>
      </c>
      <c r="M1460" s="53" t="n">
        <f aca="true">NORMINV(RAND(),0,M$7)</f>
        <v>-0.0569237377452823</v>
      </c>
      <c r="N1460" s="53" t="n">
        <f aca="true">NORMINV(RAND(),0,N$7)</f>
        <v>0.0684136642342089</v>
      </c>
      <c r="O1460" s="53" t="n">
        <f aca="false">SUM(J1460:N1460)</f>
        <v>-1.51969858867791</v>
      </c>
    </row>
    <row r="1461" customFormat="false" ht="15" hidden="false" customHeight="false" outlineLevel="0" collapsed="false">
      <c r="A1461" s="2" t="n">
        <v>1453</v>
      </c>
      <c r="B1461" s="53" t="n">
        <f aca="true">NORMINV(RAND(),0,B$7)</f>
        <v>0.698868812721573</v>
      </c>
      <c r="C1461" s="53" t="n">
        <f aca="true">NORMINV(RAND(),0,C$7)</f>
        <v>-2.86323511191162</v>
      </c>
      <c r="D1461" s="53" t="n">
        <f aca="true">NORMINV(RAND(),0,D$7)</f>
        <v>-1.16748544932332</v>
      </c>
      <c r="E1461" s="53" t="n">
        <f aca="true">NORMINV(RAND(),0,E$7)</f>
        <v>-0.403180636025459</v>
      </c>
      <c r="F1461" s="53" t="n">
        <f aca="true">NORMINV(RAND(),0,F$7)</f>
        <v>-0.0662952888090579</v>
      </c>
      <c r="G1461" s="53" t="n">
        <f aca="true">NORMINV(RAND(),0,G$7)</f>
        <v>1.2102993486051</v>
      </c>
      <c r="H1461" s="53" t="n">
        <f aca="true">NORMINV(RAND(),0,H$7)</f>
        <v>0.406870653762721</v>
      </c>
      <c r="I1461" s="53" t="n">
        <f aca="false">SUM(B1461:H1461)</f>
        <v>-2.18415767098006</v>
      </c>
      <c r="J1461" s="53" t="n">
        <f aca="true">NORMINV(RAND(),0,J$7)</f>
        <v>2.68980130862217</v>
      </c>
      <c r="K1461" s="53" t="n">
        <f aca="true">NORMINV(RAND(),0,K$7)</f>
        <v>0.0665111347171977</v>
      </c>
      <c r="L1461" s="53" t="n">
        <f aca="true">NORMINV(RAND(),0,L$7)</f>
        <v>0.246952047341728</v>
      </c>
      <c r="M1461" s="53" t="n">
        <f aca="true">NORMINV(RAND(),0,M$7)</f>
        <v>0.222538943660067</v>
      </c>
      <c r="N1461" s="53" t="n">
        <f aca="true">NORMINV(RAND(),0,N$7)</f>
        <v>-0.0887100969048242</v>
      </c>
      <c r="O1461" s="53" t="n">
        <f aca="false">SUM(J1461:N1461)</f>
        <v>3.13709333743634</v>
      </c>
    </row>
    <row r="1462" customFormat="false" ht="15" hidden="false" customHeight="false" outlineLevel="0" collapsed="false">
      <c r="A1462" s="2" t="n">
        <v>1454</v>
      </c>
      <c r="B1462" s="53" t="n">
        <f aca="true">NORMINV(RAND(),0,B$7)</f>
        <v>0.812804663447171</v>
      </c>
      <c r="C1462" s="53" t="n">
        <f aca="true">NORMINV(RAND(),0,C$7)</f>
        <v>-1.60571956666317</v>
      </c>
      <c r="D1462" s="53" t="n">
        <f aca="true">NORMINV(RAND(),0,D$7)</f>
        <v>-1.25268570904798</v>
      </c>
      <c r="E1462" s="53" t="n">
        <f aca="true">NORMINV(RAND(),0,E$7)</f>
        <v>0.0238155611023475</v>
      </c>
      <c r="F1462" s="53" t="n">
        <f aca="true">NORMINV(RAND(),0,F$7)</f>
        <v>-0.50504276537158</v>
      </c>
      <c r="G1462" s="53" t="n">
        <f aca="true">NORMINV(RAND(),0,G$7)</f>
        <v>0.237205355111296</v>
      </c>
      <c r="H1462" s="53" t="n">
        <f aca="true">NORMINV(RAND(),0,H$7)</f>
        <v>0.352722564255901</v>
      </c>
      <c r="I1462" s="53" t="n">
        <f aca="false">SUM(B1462:H1462)</f>
        <v>-1.93689989716601</v>
      </c>
      <c r="J1462" s="53" t="n">
        <f aca="true">NORMINV(RAND(),0,J$7)</f>
        <v>2.22157081296236</v>
      </c>
      <c r="K1462" s="53" t="n">
        <f aca="true">NORMINV(RAND(),0,K$7)</f>
        <v>0.640463569365774</v>
      </c>
      <c r="L1462" s="53" t="n">
        <f aca="true">NORMINV(RAND(),0,L$7)</f>
        <v>0.644550334505152</v>
      </c>
      <c r="M1462" s="53" t="n">
        <f aca="true">NORMINV(RAND(),0,M$7)</f>
        <v>-0.0115886540592704</v>
      </c>
      <c r="N1462" s="53" t="n">
        <f aca="true">NORMINV(RAND(),0,N$7)</f>
        <v>0.188093086068235</v>
      </c>
      <c r="O1462" s="53" t="n">
        <f aca="false">SUM(J1462:N1462)</f>
        <v>3.68308914884225</v>
      </c>
    </row>
    <row r="1463" customFormat="false" ht="15" hidden="false" customHeight="false" outlineLevel="0" collapsed="false">
      <c r="A1463" s="2" t="n">
        <v>1455</v>
      </c>
      <c r="B1463" s="53" t="n">
        <f aca="true">NORMINV(RAND(),0,B$7)</f>
        <v>-1.5952190180962</v>
      </c>
      <c r="C1463" s="53" t="n">
        <f aca="true">NORMINV(RAND(),0,C$7)</f>
        <v>-0.904652028219623</v>
      </c>
      <c r="D1463" s="53" t="n">
        <f aca="true">NORMINV(RAND(),0,D$7)</f>
        <v>2.15299401668739</v>
      </c>
      <c r="E1463" s="53" t="n">
        <f aca="true">NORMINV(RAND(),0,E$7)</f>
        <v>0.402345878332121</v>
      </c>
      <c r="F1463" s="53" t="n">
        <f aca="true">NORMINV(RAND(),0,F$7)</f>
        <v>-0.0930974581211126</v>
      </c>
      <c r="G1463" s="53" t="n">
        <f aca="true">NORMINV(RAND(),0,G$7)</f>
        <v>-0.182080620851976</v>
      </c>
      <c r="H1463" s="53" t="n">
        <f aca="true">NORMINV(RAND(),0,H$7)</f>
        <v>-0.308473307926678</v>
      </c>
      <c r="I1463" s="53" t="n">
        <f aca="false">SUM(B1463:H1463)</f>
        <v>-0.528182538196078</v>
      </c>
      <c r="J1463" s="53" t="n">
        <f aca="true">NORMINV(RAND(),0,J$7)</f>
        <v>-1.12821687433045</v>
      </c>
      <c r="K1463" s="53" t="n">
        <f aca="true">NORMINV(RAND(),0,K$7)</f>
        <v>0.72042498141107</v>
      </c>
      <c r="L1463" s="53" t="n">
        <f aca="true">NORMINV(RAND(),0,L$7)</f>
        <v>0.360130926615235</v>
      </c>
      <c r="M1463" s="53" t="n">
        <f aca="true">NORMINV(RAND(),0,M$7)</f>
        <v>-0.0496765672893694</v>
      </c>
      <c r="N1463" s="53" t="n">
        <f aca="true">NORMINV(RAND(),0,N$7)</f>
        <v>0.11793184773047</v>
      </c>
      <c r="O1463" s="53" t="n">
        <f aca="false">SUM(J1463:N1463)</f>
        <v>0.0205943141369534</v>
      </c>
    </row>
    <row r="1464" customFormat="false" ht="15" hidden="false" customHeight="false" outlineLevel="0" collapsed="false">
      <c r="A1464" s="2" t="n">
        <v>1456</v>
      </c>
      <c r="B1464" s="53" t="n">
        <f aca="true">NORMINV(RAND(),0,B$7)</f>
        <v>1.25375321919029</v>
      </c>
      <c r="C1464" s="53" t="n">
        <f aca="true">NORMINV(RAND(),0,C$7)</f>
        <v>0.233739670256219</v>
      </c>
      <c r="D1464" s="53" t="n">
        <f aca="true">NORMINV(RAND(),0,D$7)</f>
        <v>-1.1196748735763</v>
      </c>
      <c r="E1464" s="53" t="n">
        <f aca="true">NORMINV(RAND(),0,E$7)</f>
        <v>-0.233364790306799</v>
      </c>
      <c r="F1464" s="53" t="n">
        <f aca="true">NORMINV(RAND(),0,F$7)</f>
        <v>-0.472013409121829</v>
      </c>
      <c r="G1464" s="53" t="n">
        <f aca="true">NORMINV(RAND(),0,G$7)</f>
        <v>0.638571405094157</v>
      </c>
      <c r="H1464" s="53" t="n">
        <f aca="true">NORMINV(RAND(),0,H$7)</f>
        <v>0.415905521175441</v>
      </c>
      <c r="I1464" s="53" t="n">
        <f aca="false">SUM(B1464:H1464)</f>
        <v>0.716916742711179</v>
      </c>
      <c r="J1464" s="53" t="n">
        <f aca="true">NORMINV(RAND(),0,J$7)</f>
        <v>-1.60655940251969</v>
      </c>
      <c r="K1464" s="53" t="n">
        <f aca="true">NORMINV(RAND(),0,K$7)</f>
        <v>-0.38956300719551</v>
      </c>
      <c r="L1464" s="53" t="n">
        <f aca="true">NORMINV(RAND(),0,L$7)</f>
        <v>-0.859493923617082</v>
      </c>
      <c r="M1464" s="53" t="n">
        <f aca="true">NORMINV(RAND(),0,M$7)</f>
        <v>-0.15745877000554</v>
      </c>
      <c r="N1464" s="53" t="n">
        <f aca="true">NORMINV(RAND(),0,N$7)</f>
        <v>-0.0854390491857495</v>
      </c>
      <c r="O1464" s="53" t="n">
        <f aca="false">SUM(J1464:N1464)</f>
        <v>-3.09851415252357</v>
      </c>
    </row>
    <row r="1465" customFormat="false" ht="15" hidden="false" customHeight="false" outlineLevel="0" collapsed="false">
      <c r="A1465" s="2" t="n">
        <v>1457</v>
      </c>
      <c r="B1465" s="53" t="n">
        <f aca="true">NORMINV(RAND(),0,B$7)</f>
        <v>-2.37479422954215</v>
      </c>
      <c r="C1465" s="53" t="n">
        <f aca="true">NORMINV(RAND(),0,C$7)</f>
        <v>0.389510598280872</v>
      </c>
      <c r="D1465" s="53" t="n">
        <f aca="true">NORMINV(RAND(),0,D$7)</f>
        <v>-1.62896353379405</v>
      </c>
      <c r="E1465" s="53" t="n">
        <f aca="true">NORMINV(RAND(),0,E$7)</f>
        <v>0.104576832350419</v>
      </c>
      <c r="F1465" s="53" t="n">
        <f aca="true">NORMINV(RAND(),0,F$7)</f>
        <v>0.00320596928332065</v>
      </c>
      <c r="G1465" s="53" t="n">
        <f aca="true">NORMINV(RAND(),0,G$7)</f>
        <v>-3.18761936930193</v>
      </c>
      <c r="H1465" s="53" t="n">
        <f aca="true">NORMINV(RAND(),0,H$7)</f>
        <v>0.53817901015941</v>
      </c>
      <c r="I1465" s="53" t="n">
        <f aca="false">SUM(B1465:H1465)</f>
        <v>-6.1559047225641</v>
      </c>
      <c r="J1465" s="53" t="n">
        <f aca="true">NORMINV(RAND(),0,J$7)</f>
        <v>-0.441195093536191</v>
      </c>
      <c r="K1465" s="53" t="n">
        <f aca="true">NORMINV(RAND(),0,K$7)</f>
        <v>0.621241712963791</v>
      </c>
      <c r="L1465" s="53" t="n">
        <f aca="true">NORMINV(RAND(),0,L$7)</f>
        <v>0.31121130004173</v>
      </c>
      <c r="M1465" s="53" t="n">
        <f aca="true">NORMINV(RAND(),0,M$7)</f>
        <v>0.048935507308488</v>
      </c>
      <c r="N1465" s="53" t="n">
        <f aca="true">NORMINV(RAND(),0,N$7)</f>
        <v>-0.11459218945389</v>
      </c>
      <c r="O1465" s="53" t="n">
        <f aca="false">SUM(J1465:N1465)</f>
        <v>0.425601237323929</v>
      </c>
    </row>
    <row r="1466" customFormat="false" ht="15" hidden="false" customHeight="false" outlineLevel="0" collapsed="false">
      <c r="A1466" s="2" t="n">
        <v>1458</v>
      </c>
      <c r="B1466" s="53" t="n">
        <f aca="true">NORMINV(RAND(),0,B$7)</f>
        <v>-1.10001506157251</v>
      </c>
      <c r="C1466" s="53" t="n">
        <f aca="true">NORMINV(RAND(),0,C$7)</f>
        <v>3.18447550239466</v>
      </c>
      <c r="D1466" s="53" t="n">
        <f aca="true">NORMINV(RAND(),0,D$7)</f>
        <v>0.15996784083911</v>
      </c>
      <c r="E1466" s="53" t="n">
        <f aca="true">NORMINV(RAND(),0,E$7)</f>
        <v>-0.662672082779959</v>
      </c>
      <c r="F1466" s="53" t="n">
        <f aca="true">NORMINV(RAND(),0,F$7)</f>
        <v>0.0658294659485345</v>
      </c>
      <c r="G1466" s="53" t="n">
        <f aca="true">NORMINV(RAND(),0,G$7)</f>
        <v>-1.27708419668854</v>
      </c>
      <c r="H1466" s="53" t="n">
        <f aca="true">NORMINV(RAND(),0,H$7)</f>
        <v>0.344806069235364</v>
      </c>
      <c r="I1466" s="53" t="n">
        <f aca="false">SUM(B1466:H1466)</f>
        <v>0.715307537376656</v>
      </c>
      <c r="J1466" s="53" t="n">
        <f aca="true">NORMINV(RAND(),0,J$7)</f>
        <v>-1.04900450867784</v>
      </c>
      <c r="K1466" s="53" t="n">
        <f aca="true">NORMINV(RAND(),0,K$7)</f>
        <v>0.368939243666206</v>
      </c>
      <c r="L1466" s="53" t="n">
        <f aca="true">NORMINV(RAND(),0,L$7)</f>
        <v>0.665874561445335</v>
      </c>
      <c r="M1466" s="53" t="n">
        <f aca="true">NORMINV(RAND(),0,M$7)</f>
        <v>-0.0219407957140297</v>
      </c>
      <c r="N1466" s="53" t="n">
        <f aca="true">NORMINV(RAND(),0,N$7)</f>
        <v>0.235750224184531</v>
      </c>
      <c r="O1466" s="53" t="n">
        <f aca="false">SUM(J1466:N1466)</f>
        <v>0.199618724904205</v>
      </c>
    </row>
    <row r="1467" customFormat="false" ht="15" hidden="false" customHeight="false" outlineLevel="0" collapsed="false">
      <c r="A1467" s="2" t="n">
        <v>1459</v>
      </c>
      <c r="B1467" s="53" t="n">
        <f aca="true">NORMINV(RAND(),0,B$7)</f>
        <v>0.133850204975972</v>
      </c>
      <c r="C1467" s="53" t="n">
        <f aca="true">NORMINV(RAND(),0,C$7)</f>
        <v>0.41949943978312</v>
      </c>
      <c r="D1467" s="53" t="n">
        <f aca="true">NORMINV(RAND(),0,D$7)</f>
        <v>-2.42459001943078</v>
      </c>
      <c r="E1467" s="53" t="n">
        <f aca="true">NORMINV(RAND(),0,E$7)</f>
        <v>0.16679054189807</v>
      </c>
      <c r="F1467" s="53" t="n">
        <f aca="true">NORMINV(RAND(),0,F$7)</f>
        <v>-0.0301641618636793</v>
      </c>
      <c r="G1467" s="53" t="n">
        <f aca="true">NORMINV(RAND(),0,G$7)</f>
        <v>1.06521547955555</v>
      </c>
      <c r="H1467" s="53" t="n">
        <f aca="true">NORMINV(RAND(),0,H$7)</f>
        <v>0.470931786041264</v>
      </c>
      <c r="I1467" s="53" t="n">
        <f aca="false">SUM(B1467:H1467)</f>
        <v>-0.198466729040481</v>
      </c>
      <c r="J1467" s="53" t="n">
        <f aca="true">NORMINV(RAND(),0,J$7)</f>
        <v>-1.2596087129943</v>
      </c>
      <c r="K1467" s="53" t="n">
        <f aca="true">NORMINV(RAND(),0,K$7)</f>
        <v>0.583407956138322</v>
      </c>
      <c r="L1467" s="53" t="n">
        <f aca="true">NORMINV(RAND(),0,L$7)</f>
        <v>0.336157937760841</v>
      </c>
      <c r="M1467" s="53" t="n">
        <f aca="true">NORMINV(RAND(),0,M$7)</f>
        <v>0.187373438613846</v>
      </c>
      <c r="N1467" s="53" t="n">
        <f aca="true">NORMINV(RAND(),0,N$7)</f>
        <v>-0.419819298166236</v>
      </c>
      <c r="O1467" s="53" t="n">
        <f aca="false">SUM(J1467:N1467)</f>
        <v>-0.572488678647527</v>
      </c>
    </row>
    <row r="1468" customFormat="false" ht="15" hidden="false" customHeight="false" outlineLevel="0" collapsed="false">
      <c r="A1468" s="2" t="n">
        <v>1460</v>
      </c>
      <c r="B1468" s="53" t="n">
        <f aca="true">NORMINV(RAND(),0,B$7)</f>
        <v>0.912185142868325</v>
      </c>
      <c r="C1468" s="53" t="n">
        <f aca="true">NORMINV(RAND(),0,C$7)</f>
        <v>-1.17231697915065</v>
      </c>
      <c r="D1468" s="53" t="n">
        <f aca="true">NORMINV(RAND(),0,D$7)</f>
        <v>0.295487153644987</v>
      </c>
      <c r="E1468" s="53" t="n">
        <f aca="true">NORMINV(RAND(),0,E$7)</f>
        <v>-0.270346849086902</v>
      </c>
      <c r="F1468" s="53" t="n">
        <f aca="true">NORMINV(RAND(),0,F$7)</f>
        <v>0.148085177955146</v>
      </c>
      <c r="G1468" s="53" t="n">
        <f aca="true">NORMINV(RAND(),0,G$7)</f>
        <v>2.24871551679021</v>
      </c>
      <c r="H1468" s="53" t="n">
        <f aca="true">NORMINV(RAND(),0,H$7)</f>
        <v>-0.110093765209182</v>
      </c>
      <c r="I1468" s="53" t="n">
        <f aca="false">SUM(B1468:H1468)</f>
        <v>2.05171539781193</v>
      </c>
      <c r="J1468" s="53" t="n">
        <f aca="true">NORMINV(RAND(),0,J$7)</f>
        <v>0.565515846526522</v>
      </c>
      <c r="K1468" s="53" t="n">
        <f aca="true">NORMINV(RAND(),0,K$7)</f>
        <v>-1.41142900135736</v>
      </c>
      <c r="L1468" s="53" t="n">
        <f aca="true">NORMINV(RAND(),0,L$7)</f>
        <v>-0.421760621659698</v>
      </c>
      <c r="M1468" s="53" t="n">
        <f aca="true">NORMINV(RAND(),0,M$7)</f>
        <v>0.360256947031819</v>
      </c>
      <c r="N1468" s="53" t="n">
        <f aca="true">NORMINV(RAND(),0,N$7)</f>
        <v>0.0364352750494758</v>
      </c>
      <c r="O1468" s="53" t="n">
        <f aca="false">SUM(J1468:N1468)</f>
        <v>-0.870981554409246</v>
      </c>
    </row>
    <row r="1469" customFormat="false" ht="15" hidden="false" customHeight="false" outlineLevel="0" collapsed="false">
      <c r="A1469" s="2" t="n">
        <v>1461</v>
      </c>
      <c r="B1469" s="53" t="n">
        <f aca="true">NORMINV(RAND(),0,B$7)</f>
        <v>-1.47991761618235</v>
      </c>
      <c r="C1469" s="53" t="n">
        <f aca="true">NORMINV(RAND(),0,C$7)</f>
        <v>-1.0707351622199</v>
      </c>
      <c r="D1469" s="53" t="n">
        <f aca="true">NORMINV(RAND(),0,D$7)</f>
        <v>-2.91072538698704</v>
      </c>
      <c r="E1469" s="53" t="n">
        <f aca="true">NORMINV(RAND(),0,E$7)</f>
        <v>-0.351992408703647</v>
      </c>
      <c r="F1469" s="53" t="n">
        <f aca="true">NORMINV(RAND(),0,F$7)</f>
        <v>-0.455149991150087</v>
      </c>
      <c r="G1469" s="53" t="n">
        <f aca="true">NORMINV(RAND(),0,G$7)</f>
        <v>0.939884185705364</v>
      </c>
      <c r="H1469" s="53" t="n">
        <f aca="true">NORMINV(RAND(),0,H$7)</f>
        <v>-0.65400206745452</v>
      </c>
      <c r="I1469" s="53" t="n">
        <f aca="false">SUM(B1469:H1469)</f>
        <v>-5.98263844699218</v>
      </c>
      <c r="J1469" s="53" t="n">
        <f aca="true">NORMINV(RAND(),0,J$7)</f>
        <v>0.416764456334062</v>
      </c>
      <c r="K1469" s="53" t="n">
        <f aca="true">NORMINV(RAND(),0,K$7)</f>
        <v>-0.0609672783384157</v>
      </c>
      <c r="L1469" s="53" t="n">
        <f aca="true">NORMINV(RAND(),0,L$7)</f>
        <v>-0.339178785715873</v>
      </c>
      <c r="M1469" s="53" t="n">
        <f aca="true">NORMINV(RAND(),0,M$7)</f>
        <v>-0.160436752514731</v>
      </c>
      <c r="N1469" s="53" t="n">
        <f aca="true">NORMINV(RAND(),0,N$7)</f>
        <v>0.529638159457618</v>
      </c>
      <c r="O1469" s="53" t="n">
        <f aca="false">SUM(J1469:N1469)</f>
        <v>0.385819799222661</v>
      </c>
    </row>
    <row r="1470" customFormat="false" ht="15" hidden="false" customHeight="false" outlineLevel="0" collapsed="false">
      <c r="A1470" s="2" t="n">
        <v>1462</v>
      </c>
      <c r="B1470" s="53" t="n">
        <f aca="true">NORMINV(RAND(),0,B$7)</f>
        <v>3.09603851751482</v>
      </c>
      <c r="C1470" s="53" t="n">
        <f aca="true">NORMINV(RAND(),0,C$7)</f>
        <v>0.330557841450778</v>
      </c>
      <c r="D1470" s="53" t="n">
        <f aca="true">NORMINV(RAND(),0,D$7)</f>
        <v>1.44554139966805</v>
      </c>
      <c r="E1470" s="53" t="n">
        <f aca="true">NORMINV(RAND(),0,E$7)</f>
        <v>0.437024258187003</v>
      </c>
      <c r="F1470" s="53" t="n">
        <f aca="true">NORMINV(RAND(),0,F$7)</f>
        <v>0.170531893503408</v>
      </c>
      <c r="G1470" s="53" t="n">
        <f aca="true">NORMINV(RAND(),0,G$7)</f>
        <v>0.922264316762605</v>
      </c>
      <c r="H1470" s="53" t="n">
        <f aca="true">NORMINV(RAND(),0,H$7)</f>
        <v>0.0564857819100984</v>
      </c>
      <c r="I1470" s="53" t="n">
        <f aca="false">SUM(B1470:H1470)</f>
        <v>6.45844400899677</v>
      </c>
      <c r="J1470" s="53" t="n">
        <f aca="true">NORMINV(RAND(),0,J$7)</f>
        <v>2.05752955735835</v>
      </c>
      <c r="K1470" s="53" t="n">
        <f aca="true">NORMINV(RAND(),0,K$7)</f>
        <v>0.43712197064271</v>
      </c>
      <c r="L1470" s="53" t="n">
        <f aca="true">NORMINV(RAND(),0,L$7)</f>
        <v>0.433416045838246</v>
      </c>
      <c r="M1470" s="53" t="n">
        <f aca="true">NORMINV(RAND(),0,M$7)</f>
        <v>0.215954543629007</v>
      </c>
      <c r="N1470" s="53" t="n">
        <f aca="true">NORMINV(RAND(),0,N$7)</f>
        <v>-0.306306405116898</v>
      </c>
      <c r="O1470" s="53" t="n">
        <f aca="false">SUM(J1470:N1470)</f>
        <v>2.83771571235141</v>
      </c>
    </row>
    <row r="1471" customFormat="false" ht="15" hidden="false" customHeight="false" outlineLevel="0" collapsed="false">
      <c r="A1471" s="2" t="n">
        <v>1463</v>
      </c>
      <c r="B1471" s="53" t="n">
        <f aca="true">NORMINV(RAND(),0,B$7)</f>
        <v>2.15737224725868</v>
      </c>
      <c r="C1471" s="53" t="n">
        <f aca="true">NORMINV(RAND(),0,C$7)</f>
        <v>-0.46597696319728</v>
      </c>
      <c r="D1471" s="53" t="n">
        <f aca="true">NORMINV(RAND(),0,D$7)</f>
        <v>2.74912327383592</v>
      </c>
      <c r="E1471" s="53" t="n">
        <f aca="true">NORMINV(RAND(),0,E$7)</f>
        <v>-0.281247374235339</v>
      </c>
      <c r="F1471" s="53" t="n">
        <f aca="true">NORMINV(RAND(),0,F$7)</f>
        <v>0.018984471761554</v>
      </c>
      <c r="G1471" s="53" t="n">
        <f aca="true">NORMINV(RAND(),0,G$7)</f>
        <v>-0.199712338014264</v>
      </c>
      <c r="H1471" s="53" t="n">
        <f aca="true">NORMINV(RAND(),0,H$7)</f>
        <v>0.145487758484546</v>
      </c>
      <c r="I1471" s="53" t="n">
        <f aca="false">SUM(B1471:H1471)</f>
        <v>4.12403107589382</v>
      </c>
      <c r="J1471" s="53" t="n">
        <f aca="true">NORMINV(RAND(),0,J$7)</f>
        <v>1.51844901479052</v>
      </c>
      <c r="K1471" s="53" t="n">
        <f aca="true">NORMINV(RAND(),0,K$7)</f>
        <v>0.326745653088818</v>
      </c>
      <c r="L1471" s="53" t="n">
        <f aca="true">NORMINV(RAND(),0,L$7)</f>
        <v>-0.594263136572478</v>
      </c>
      <c r="M1471" s="53" t="n">
        <f aca="true">NORMINV(RAND(),0,M$7)</f>
        <v>0.203814713693521</v>
      </c>
      <c r="N1471" s="53" t="n">
        <f aca="true">NORMINV(RAND(),0,N$7)</f>
        <v>0.441003132897042</v>
      </c>
      <c r="O1471" s="53" t="n">
        <f aca="false">SUM(J1471:N1471)</f>
        <v>1.89574937789743</v>
      </c>
    </row>
    <row r="1472" customFormat="false" ht="15" hidden="false" customHeight="false" outlineLevel="0" collapsed="false">
      <c r="A1472" s="2" t="n">
        <v>1464</v>
      </c>
      <c r="B1472" s="53" t="n">
        <f aca="true">NORMINV(RAND(),0,B$7)</f>
        <v>0.9505146837967</v>
      </c>
      <c r="C1472" s="53" t="n">
        <f aca="true">NORMINV(RAND(),0,C$7)</f>
        <v>1.30244401986213</v>
      </c>
      <c r="D1472" s="53" t="n">
        <f aca="true">NORMINV(RAND(),0,D$7)</f>
        <v>-0.0884979223446411</v>
      </c>
      <c r="E1472" s="53" t="n">
        <f aca="true">NORMINV(RAND(),0,E$7)</f>
        <v>0.216548582426651</v>
      </c>
      <c r="F1472" s="53" t="n">
        <f aca="true">NORMINV(RAND(),0,F$7)</f>
        <v>0.491555485900307</v>
      </c>
      <c r="G1472" s="53" t="n">
        <f aca="true">NORMINV(RAND(),0,G$7)</f>
        <v>-3.11149182501638</v>
      </c>
      <c r="H1472" s="53" t="n">
        <f aca="true">NORMINV(RAND(),0,H$7)</f>
        <v>-0.0478491862812474</v>
      </c>
      <c r="I1472" s="53" t="n">
        <f aca="false">SUM(B1472:H1472)</f>
        <v>-0.286776161656472</v>
      </c>
      <c r="J1472" s="53" t="n">
        <f aca="true">NORMINV(RAND(),0,J$7)</f>
        <v>-1.06745131307136</v>
      </c>
      <c r="K1472" s="53" t="n">
        <f aca="true">NORMINV(RAND(),0,K$7)</f>
        <v>0.751493976613623</v>
      </c>
      <c r="L1472" s="53" t="n">
        <f aca="true">NORMINV(RAND(),0,L$7)</f>
        <v>0.0756095953836172</v>
      </c>
      <c r="M1472" s="53" t="n">
        <f aca="true">NORMINV(RAND(),0,M$7)</f>
        <v>-0.276721412042079</v>
      </c>
      <c r="N1472" s="53" t="n">
        <f aca="true">NORMINV(RAND(),0,N$7)</f>
        <v>0.0864163569749699</v>
      </c>
      <c r="O1472" s="53" t="n">
        <f aca="false">SUM(J1472:N1472)</f>
        <v>-0.430652796141228</v>
      </c>
    </row>
    <row r="1473" customFormat="false" ht="15" hidden="false" customHeight="false" outlineLevel="0" collapsed="false">
      <c r="A1473" s="2" t="n">
        <v>1465</v>
      </c>
      <c r="B1473" s="53" t="n">
        <f aca="true">NORMINV(RAND(),0,B$7)</f>
        <v>-3.22855545915982</v>
      </c>
      <c r="C1473" s="53" t="n">
        <f aca="true">NORMINV(RAND(),0,C$7)</f>
        <v>1.60571378126969</v>
      </c>
      <c r="D1473" s="53" t="n">
        <f aca="true">NORMINV(RAND(),0,D$7)</f>
        <v>-0.00940703619025403</v>
      </c>
      <c r="E1473" s="53" t="n">
        <f aca="true">NORMINV(RAND(),0,E$7)</f>
        <v>0.471565340660385</v>
      </c>
      <c r="F1473" s="53" t="n">
        <f aca="true">NORMINV(RAND(),0,F$7)</f>
        <v>0.178905497898456</v>
      </c>
      <c r="G1473" s="53" t="n">
        <f aca="true">NORMINV(RAND(),0,G$7)</f>
        <v>0.167213721938599</v>
      </c>
      <c r="H1473" s="53" t="n">
        <f aca="true">NORMINV(RAND(),0,H$7)</f>
        <v>0.0909935923552454</v>
      </c>
      <c r="I1473" s="53" t="n">
        <f aca="false">SUM(B1473:H1473)</f>
        <v>-0.723570561227699</v>
      </c>
      <c r="J1473" s="53" t="n">
        <f aca="true">NORMINV(RAND(),0,J$7)</f>
        <v>2.86132973082499</v>
      </c>
      <c r="K1473" s="53" t="n">
        <f aca="true">NORMINV(RAND(),0,K$7)</f>
        <v>0.269054576488425</v>
      </c>
      <c r="L1473" s="53" t="n">
        <f aca="true">NORMINV(RAND(),0,L$7)</f>
        <v>0.0957650044670662</v>
      </c>
      <c r="M1473" s="53" t="n">
        <f aca="true">NORMINV(RAND(),0,M$7)</f>
        <v>0.0422365847815839</v>
      </c>
      <c r="N1473" s="53" t="n">
        <f aca="true">NORMINV(RAND(),0,N$7)</f>
        <v>0.103408475438907</v>
      </c>
      <c r="O1473" s="53" t="n">
        <f aca="false">SUM(J1473:N1473)</f>
        <v>3.37179437200097</v>
      </c>
    </row>
    <row r="1474" customFormat="false" ht="15" hidden="false" customHeight="false" outlineLevel="0" collapsed="false">
      <c r="A1474" s="2" t="n">
        <v>1466</v>
      </c>
      <c r="B1474" s="53" t="n">
        <f aca="true">NORMINV(RAND(),0,B$7)</f>
        <v>-1.0515134766212</v>
      </c>
      <c r="C1474" s="53" t="n">
        <f aca="true">NORMINV(RAND(),0,C$7)</f>
        <v>0.770031682349913</v>
      </c>
      <c r="D1474" s="53" t="n">
        <f aca="true">NORMINV(RAND(),0,D$7)</f>
        <v>-1.62741782495484</v>
      </c>
      <c r="E1474" s="53" t="n">
        <f aca="true">NORMINV(RAND(),0,E$7)</f>
        <v>0.068075243155773</v>
      </c>
      <c r="F1474" s="53" t="n">
        <f aca="true">NORMINV(RAND(),0,F$7)</f>
        <v>0.119028525913366</v>
      </c>
      <c r="G1474" s="53" t="n">
        <f aca="true">NORMINV(RAND(),0,G$7)</f>
        <v>-0.768102463865923</v>
      </c>
      <c r="H1474" s="53" t="n">
        <f aca="true">NORMINV(RAND(),0,H$7)</f>
        <v>0.259581130118385</v>
      </c>
      <c r="I1474" s="53" t="n">
        <f aca="false">SUM(B1474:H1474)</f>
        <v>-2.23031718390452</v>
      </c>
      <c r="J1474" s="53" t="n">
        <f aca="true">NORMINV(RAND(),0,J$7)</f>
        <v>0.138728635495102</v>
      </c>
      <c r="K1474" s="53" t="n">
        <f aca="true">NORMINV(RAND(),0,K$7)</f>
        <v>0.233619062741129</v>
      </c>
      <c r="L1474" s="53" t="n">
        <f aca="true">NORMINV(RAND(),0,L$7)</f>
        <v>0.215856047676189</v>
      </c>
      <c r="M1474" s="53" t="n">
        <f aca="true">NORMINV(RAND(),0,M$7)</f>
        <v>-0.240948242457596</v>
      </c>
      <c r="N1474" s="53" t="n">
        <f aca="true">NORMINV(RAND(),0,N$7)</f>
        <v>-0.627606210225035</v>
      </c>
      <c r="O1474" s="53" t="n">
        <f aca="false">SUM(J1474:N1474)</f>
        <v>-0.280350706770212</v>
      </c>
    </row>
    <row r="1475" customFormat="false" ht="15" hidden="false" customHeight="false" outlineLevel="0" collapsed="false">
      <c r="A1475" s="2" t="n">
        <v>1467</v>
      </c>
      <c r="B1475" s="53" t="n">
        <f aca="true">NORMINV(RAND(),0,B$7)</f>
        <v>-0.377697242507217</v>
      </c>
      <c r="C1475" s="53" t="n">
        <f aca="true">NORMINV(RAND(),0,C$7)</f>
        <v>1.05529115807179</v>
      </c>
      <c r="D1475" s="53" t="n">
        <f aca="true">NORMINV(RAND(),0,D$7)</f>
        <v>0.783032284117215</v>
      </c>
      <c r="E1475" s="53" t="n">
        <f aca="true">NORMINV(RAND(),0,E$7)</f>
        <v>0.457205242088752</v>
      </c>
      <c r="F1475" s="53" t="n">
        <f aca="true">NORMINV(RAND(),0,F$7)</f>
        <v>-0.158278646363229</v>
      </c>
      <c r="G1475" s="53" t="n">
        <f aca="true">NORMINV(RAND(),0,G$7)</f>
        <v>-0.675283485555884</v>
      </c>
      <c r="H1475" s="53" t="n">
        <f aca="true">NORMINV(RAND(),0,H$7)</f>
        <v>-0.15156095313822</v>
      </c>
      <c r="I1475" s="53" t="n">
        <f aca="false">SUM(B1475:H1475)</f>
        <v>0.932708356713205</v>
      </c>
      <c r="J1475" s="53" t="n">
        <f aca="true">NORMINV(RAND(),0,J$7)</f>
        <v>-1.00725283453406</v>
      </c>
      <c r="K1475" s="53" t="n">
        <f aca="true">NORMINV(RAND(),0,K$7)</f>
        <v>-0.708976600170232</v>
      </c>
      <c r="L1475" s="53" t="n">
        <f aca="true">NORMINV(RAND(),0,L$7)</f>
        <v>-0.161331147271395</v>
      </c>
      <c r="M1475" s="53" t="n">
        <f aca="true">NORMINV(RAND(),0,M$7)</f>
        <v>0.245695177368359</v>
      </c>
      <c r="N1475" s="53" t="n">
        <f aca="true">NORMINV(RAND(),0,N$7)</f>
        <v>-0.145478249967612</v>
      </c>
      <c r="O1475" s="53" t="n">
        <f aca="false">SUM(J1475:N1475)</f>
        <v>-1.77734365457494</v>
      </c>
    </row>
    <row r="1476" customFormat="false" ht="15" hidden="false" customHeight="false" outlineLevel="0" collapsed="false">
      <c r="A1476" s="2" t="n">
        <v>1468</v>
      </c>
      <c r="B1476" s="53" t="n">
        <f aca="true">NORMINV(RAND(),0,B$7)</f>
        <v>-0.25088675203111</v>
      </c>
      <c r="C1476" s="53" t="n">
        <f aca="true">NORMINV(RAND(),0,C$7)</f>
        <v>2.91996635951121</v>
      </c>
      <c r="D1476" s="53" t="n">
        <f aca="true">NORMINV(RAND(),0,D$7)</f>
        <v>0.840644553156776</v>
      </c>
      <c r="E1476" s="53" t="n">
        <f aca="true">NORMINV(RAND(),0,E$7)</f>
        <v>0.21909795447898</v>
      </c>
      <c r="F1476" s="53" t="n">
        <f aca="true">NORMINV(RAND(),0,F$7)</f>
        <v>-0.154511559903142</v>
      </c>
      <c r="G1476" s="53" t="n">
        <f aca="true">NORMINV(RAND(),0,G$7)</f>
        <v>0.0505817128812157</v>
      </c>
      <c r="H1476" s="53" t="n">
        <f aca="true">NORMINV(RAND(),0,H$7)</f>
        <v>0.272553629288231</v>
      </c>
      <c r="I1476" s="53" t="n">
        <f aca="false">SUM(B1476:H1476)</f>
        <v>3.89744589738216</v>
      </c>
      <c r="J1476" s="53" t="n">
        <f aca="true">NORMINV(RAND(),0,J$7)</f>
        <v>-0.228939243527861</v>
      </c>
      <c r="K1476" s="53" t="n">
        <f aca="true">NORMINV(RAND(),0,K$7)</f>
        <v>0.408096303835416</v>
      </c>
      <c r="L1476" s="53" t="n">
        <f aca="true">NORMINV(RAND(),0,L$7)</f>
        <v>-0.173660200115148</v>
      </c>
      <c r="M1476" s="53" t="n">
        <f aca="true">NORMINV(RAND(),0,M$7)</f>
        <v>0.227785720411739</v>
      </c>
      <c r="N1476" s="53" t="n">
        <f aca="true">NORMINV(RAND(),0,N$7)</f>
        <v>-0.452187536093444</v>
      </c>
      <c r="O1476" s="53" t="n">
        <f aca="false">SUM(J1476:N1476)</f>
        <v>-0.218904955489297</v>
      </c>
    </row>
    <row r="1477" customFormat="false" ht="15" hidden="false" customHeight="false" outlineLevel="0" collapsed="false">
      <c r="A1477" s="2" t="n">
        <v>1469</v>
      </c>
      <c r="B1477" s="53" t="n">
        <f aca="true">NORMINV(RAND(),0,B$7)</f>
        <v>-1.39279118821749</v>
      </c>
      <c r="C1477" s="53" t="n">
        <f aca="true">NORMINV(RAND(),0,C$7)</f>
        <v>-1.01467401341968</v>
      </c>
      <c r="D1477" s="53" t="n">
        <f aca="true">NORMINV(RAND(),0,D$7)</f>
        <v>-1.44908800092732</v>
      </c>
      <c r="E1477" s="53" t="n">
        <f aca="true">NORMINV(RAND(),0,E$7)</f>
        <v>-0.490393212606189</v>
      </c>
      <c r="F1477" s="53" t="n">
        <f aca="true">NORMINV(RAND(),0,F$7)</f>
        <v>-0.0580799685297038</v>
      </c>
      <c r="G1477" s="53" t="n">
        <f aca="true">NORMINV(RAND(),0,G$7)</f>
        <v>-0.214912691990915</v>
      </c>
      <c r="H1477" s="53" t="n">
        <f aca="true">NORMINV(RAND(),0,H$7)</f>
        <v>-0.193605616009761</v>
      </c>
      <c r="I1477" s="53" t="n">
        <f aca="false">SUM(B1477:H1477)</f>
        <v>-4.81354469170106</v>
      </c>
      <c r="J1477" s="53" t="n">
        <f aca="true">NORMINV(RAND(),0,J$7)</f>
        <v>-0.904971651101008</v>
      </c>
      <c r="K1477" s="53" t="n">
        <f aca="true">NORMINV(RAND(),0,K$7)</f>
        <v>1.43614893002246</v>
      </c>
      <c r="L1477" s="53" t="n">
        <f aca="true">NORMINV(RAND(),0,L$7)</f>
        <v>0.455776082405586</v>
      </c>
      <c r="M1477" s="53" t="n">
        <f aca="true">NORMINV(RAND(),0,M$7)</f>
        <v>-0.0510030321772819</v>
      </c>
      <c r="N1477" s="53" t="n">
        <f aca="true">NORMINV(RAND(),0,N$7)</f>
        <v>-0.299870187931301</v>
      </c>
      <c r="O1477" s="53" t="n">
        <f aca="false">SUM(J1477:N1477)</f>
        <v>0.636080141218454</v>
      </c>
    </row>
    <row r="1478" customFormat="false" ht="15" hidden="false" customHeight="false" outlineLevel="0" collapsed="false">
      <c r="A1478" s="2" t="n">
        <v>1470</v>
      </c>
      <c r="B1478" s="53" t="n">
        <f aca="true">NORMINV(RAND(),0,B$7)</f>
        <v>-0.764002370620855</v>
      </c>
      <c r="C1478" s="53" t="n">
        <f aca="true">NORMINV(RAND(),0,C$7)</f>
        <v>-0.375615020231689</v>
      </c>
      <c r="D1478" s="53" t="n">
        <f aca="true">NORMINV(RAND(),0,D$7)</f>
        <v>0.232884287735556</v>
      </c>
      <c r="E1478" s="53" t="n">
        <f aca="true">NORMINV(RAND(),0,E$7)</f>
        <v>0.263075253643201</v>
      </c>
      <c r="F1478" s="53" t="n">
        <f aca="true">NORMINV(RAND(),0,F$7)</f>
        <v>-0.258522102616078</v>
      </c>
      <c r="G1478" s="53" t="n">
        <f aca="true">NORMINV(RAND(),0,G$7)</f>
        <v>-0.447375327316583</v>
      </c>
      <c r="H1478" s="53" t="n">
        <f aca="true">NORMINV(RAND(),0,H$7)</f>
        <v>0.0070363820350239</v>
      </c>
      <c r="I1478" s="53" t="n">
        <f aca="false">SUM(B1478:H1478)</f>
        <v>-1.34251889737142</v>
      </c>
      <c r="J1478" s="53" t="n">
        <f aca="true">NORMINV(RAND(),0,J$7)</f>
        <v>1.07147533478321</v>
      </c>
      <c r="K1478" s="53" t="n">
        <f aca="true">NORMINV(RAND(),0,K$7)</f>
        <v>0.525837926693665</v>
      </c>
      <c r="L1478" s="53" t="n">
        <f aca="true">NORMINV(RAND(),0,L$7)</f>
        <v>0.281023127388118</v>
      </c>
      <c r="M1478" s="53" t="n">
        <f aca="true">NORMINV(RAND(),0,M$7)</f>
        <v>-0.0489018397704134</v>
      </c>
      <c r="N1478" s="53" t="n">
        <f aca="true">NORMINV(RAND(),0,N$7)</f>
        <v>0.252251017969969</v>
      </c>
      <c r="O1478" s="53" t="n">
        <f aca="false">SUM(J1478:N1478)</f>
        <v>2.08168556706455</v>
      </c>
    </row>
    <row r="1479" customFormat="false" ht="15" hidden="false" customHeight="false" outlineLevel="0" collapsed="false">
      <c r="A1479" s="2" t="n">
        <v>1471</v>
      </c>
      <c r="B1479" s="53" t="n">
        <f aca="true">NORMINV(RAND(),0,B$7)</f>
        <v>1.01043981614247</v>
      </c>
      <c r="C1479" s="53" t="n">
        <f aca="true">NORMINV(RAND(),0,C$7)</f>
        <v>-0.339050442942764</v>
      </c>
      <c r="D1479" s="53" t="n">
        <f aca="true">NORMINV(RAND(),0,D$7)</f>
        <v>-2.72528276831922</v>
      </c>
      <c r="E1479" s="53" t="n">
        <f aca="true">NORMINV(RAND(),0,E$7)</f>
        <v>0.179345156414434</v>
      </c>
      <c r="F1479" s="53" t="n">
        <f aca="true">NORMINV(RAND(),0,F$7)</f>
        <v>0.636528117383401</v>
      </c>
      <c r="G1479" s="53" t="n">
        <f aca="true">NORMINV(RAND(),0,G$7)</f>
        <v>0.996036020910675</v>
      </c>
      <c r="H1479" s="53" t="n">
        <f aca="true">NORMINV(RAND(),0,H$7)</f>
        <v>-0.106647073212083</v>
      </c>
      <c r="I1479" s="53" t="n">
        <f aca="false">SUM(B1479:H1479)</f>
        <v>-0.348631173623082</v>
      </c>
      <c r="J1479" s="53" t="n">
        <f aca="true">NORMINV(RAND(),0,J$7)</f>
        <v>-1.00734339503283</v>
      </c>
      <c r="K1479" s="53" t="n">
        <f aca="true">NORMINV(RAND(),0,K$7)</f>
        <v>-0.171882158749213</v>
      </c>
      <c r="L1479" s="53" t="n">
        <f aca="true">NORMINV(RAND(),0,L$7)</f>
        <v>-0.305324202026762</v>
      </c>
      <c r="M1479" s="53" t="n">
        <f aca="true">NORMINV(RAND(),0,M$7)</f>
        <v>0.107896060286664</v>
      </c>
      <c r="N1479" s="53" t="n">
        <f aca="true">NORMINV(RAND(),0,N$7)</f>
        <v>-0.399563694868905</v>
      </c>
      <c r="O1479" s="53" t="n">
        <f aca="false">SUM(J1479:N1479)</f>
        <v>-1.77621739039104</v>
      </c>
    </row>
    <row r="1480" customFormat="false" ht="15" hidden="false" customHeight="false" outlineLevel="0" collapsed="false">
      <c r="A1480" s="2" t="n">
        <v>1472</v>
      </c>
      <c r="B1480" s="53" t="n">
        <f aca="true">NORMINV(RAND(),0,B$7)</f>
        <v>1.95019558568399</v>
      </c>
      <c r="C1480" s="53" t="n">
        <f aca="true">NORMINV(RAND(),0,C$7)</f>
        <v>0.866287086793256</v>
      </c>
      <c r="D1480" s="53" t="n">
        <f aca="true">NORMINV(RAND(),0,D$7)</f>
        <v>0.490295248265777</v>
      </c>
      <c r="E1480" s="53" t="n">
        <f aca="true">NORMINV(RAND(),0,E$7)</f>
        <v>0.293942503334548</v>
      </c>
      <c r="F1480" s="53" t="n">
        <f aca="true">NORMINV(RAND(),0,F$7)</f>
        <v>-0.239914327422101</v>
      </c>
      <c r="G1480" s="53" t="n">
        <f aca="true">NORMINV(RAND(),0,G$7)</f>
        <v>-1.84068618390346</v>
      </c>
      <c r="H1480" s="53" t="n">
        <f aca="true">NORMINV(RAND(),0,H$7)</f>
        <v>-0.0429780025264606</v>
      </c>
      <c r="I1480" s="53" t="n">
        <f aca="false">SUM(B1480:H1480)</f>
        <v>1.47714191022555</v>
      </c>
      <c r="J1480" s="53" t="n">
        <f aca="true">NORMINV(RAND(),0,J$7)</f>
        <v>0.555305102468533</v>
      </c>
      <c r="K1480" s="53" t="n">
        <f aca="true">NORMINV(RAND(),0,K$7)</f>
        <v>0.0287458021351241</v>
      </c>
      <c r="L1480" s="53" t="n">
        <f aca="true">NORMINV(RAND(),0,L$7)</f>
        <v>0.442054625879562</v>
      </c>
      <c r="M1480" s="53" t="n">
        <f aca="true">NORMINV(RAND(),0,M$7)</f>
        <v>0.334587352419841</v>
      </c>
      <c r="N1480" s="53" t="n">
        <f aca="true">NORMINV(RAND(),0,N$7)</f>
        <v>-0.549867731919223</v>
      </c>
      <c r="O1480" s="53" t="n">
        <f aca="false">SUM(J1480:N1480)</f>
        <v>0.810825150983838</v>
      </c>
    </row>
    <row r="1481" customFormat="false" ht="15" hidden="false" customHeight="false" outlineLevel="0" collapsed="false">
      <c r="A1481" s="2" t="n">
        <v>1473</v>
      </c>
      <c r="B1481" s="53" t="n">
        <f aca="true">NORMINV(RAND(),0,B$7)</f>
        <v>-1.08972028998304</v>
      </c>
      <c r="C1481" s="53" t="n">
        <f aca="true">NORMINV(RAND(),0,C$7)</f>
        <v>0.825157079127843</v>
      </c>
      <c r="D1481" s="53" t="n">
        <f aca="true">NORMINV(RAND(),0,D$7)</f>
        <v>-1.33462490425503</v>
      </c>
      <c r="E1481" s="53" t="n">
        <f aca="true">NORMINV(RAND(),0,E$7)</f>
        <v>-0.367108838047653</v>
      </c>
      <c r="F1481" s="53" t="n">
        <f aca="true">NORMINV(RAND(),0,F$7)</f>
        <v>-0.0924861428510303</v>
      </c>
      <c r="G1481" s="53" t="n">
        <f aca="true">NORMINV(RAND(),0,G$7)</f>
        <v>2.25238005351393</v>
      </c>
      <c r="H1481" s="53" t="n">
        <f aca="true">NORMINV(RAND(),0,H$7)</f>
        <v>-0.430411907844896</v>
      </c>
      <c r="I1481" s="53" t="n">
        <f aca="false">SUM(B1481:H1481)</f>
        <v>-0.23681495033988</v>
      </c>
      <c r="J1481" s="53" t="n">
        <f aca="true">NORMINV(RAND(),0,J$7)</f>
        <v>-4.23954786836919</v>
      </c>
      <c r="K1481" s="53" t="n">
        <f aca="true">NORMINV(RAND(),0,K$7)</f>
        <v>-0.385119922739298</v>
      </c>
      <c r="L1481" s="53" t="n">
        <f aca="true">NORMINV(RAND(),0,L$7)</f>
        <v>0.277341104322986</v>
      </c>
      <c r="M1481" s="53" t="n">
        <f aca="true">NORMINV(RAND(),0,M$7)</f>
        <v>-0.201088634398887</v>
      </c>
      <c r="N1481" s="53" t="n">
        <f aca="true">NORMINV(RAND(),0,N$7)</f>
        <v>-0.592221584646056</v>
      </c>
      <c r="O1481" s="53" t="n">
        <f aca="false">SUM(J1481:N1481)</f>
        <v>-5.14063690583045</v>
      </c>
    </row>
    <row r="1482" customFormat="false" ht="15" hidden="false" customHeight="false" outlineLevel="0" collapsed="false">
      <c r="A1482" s="2" t="n">
        <v>1474</v>
      </c>
      <c r="B1482" s="53" t="n">
        <f aca="true">NORMINV(RAND(),0,B$7)</f>
        <v>1.53059519881574</v>
      </c>
      <c r="C1482" s="53" t="n">
        <f aca="true">NORMINV(RAND(),0,C$7)</f>
        <v>0.824977208835529</v>
      </c>
      <c r="D1482" s="53" t="n">
        <f aca="true">NORMINV(RAND(),0,D$7)</f>
        <v>-0.403888582170044</v>
      </c>
      <c r="E1482" s="53" t="n">
        <f aca="true">NORMINV(RAND(),0,E$7)</f>
        <v>0.0450407287260174</v>
      </c>
      <c r="F1482" s="53" t="n">
        <f aca="true">NORMINV(RAND(),0,F$7)</f>
        <v>0.448216263985054</v>
      </c>
      <c r="G1482" s="53" t="n">
        <f aca="true">NORMINV(RAND(),0,G$7)</f>
        <v>2.67141412597306</v>
      </c>
      <c r="H1482" s="53" t="n">
        <f aca="true">NORMINV(RAND(),0,H$7)</f>
        <v>0.434552997980089</v>
      </c>
      <c r="I1482" s="53" t="n">
        <f aca="false">SUM(B1482:H1482)</f>
        <v>5.55090794214545</v>
      </c>
      <c r="J1482" s="53" t="n">
        <f aca="true">NORMINV(RAND(),0,J$7)</f>
        <v>-0.212661265912733</v>
      </c>
      <c r="K1482" s="53" t="n">
        <f aca="true">NORMINV(RAND(),0,K$7)</f>
        <v>0.131681677082717</v>
      </c>
      <c r="L1482" s="53" t="n">
        <f aca="true">NORMINV(RAND(),0,L$7)</f>
        <v>-0.243115018211737</v>
      </c>
      <c r="M1482" s="53" t="n">
        <f aca="true">NORMINV(RAND(),0,M$7)</f>
        <v>0.036700827753453</v>
      </c>
      <c r="N1482" s="53" t="n">
        <f aca="true">NORMINV(RAND(),0,N$7)</f>
        <v>-0.795209964076147</v>
      </c>
      <c r="O1482" s="53" t="n">
        <f aca="false">SUM(J1482:N1482)</f>
        <v>-1.08260374336445</v>
      </c>
    </row>
    <row r="1483" customFormat="false" ht="15" hidden="false" customHeight="false" outlineLevel="0" collapsed="false">
      <c r="A1483" s="2" t="n">
        <v>1475</v>
      </c>
      <c r="B1483" s="53" t="n">
        <f aca="true">NORMINV(RAND(),0,B$7)</f>
        <v>1.38068378266283</v>
      </c>
      <c r="C1483" s="53" t="n">
        <f aca="true">NORMINV(RAND(),0,C$7)</f>
        <v>-1.54587939485022</v>
      </c>
      <c r="D1483" s="53" t="n">
        <f aca="true">NORMINV(RAND(),0,D$7)</f>
        <v>-1.40164421783319</v>
      </c>
      <c r="E1483" s="53" t="n">
        <f aca="true">NORMINV(RAND(),0,E$7)</f>
        <v>0.565768305652882</v>
      </c>
      <c r="F1483" s="53" t="n">
        <f aca="true">NORMINV(RAND(),0,F$7)</f>
        <v>0.0930404404254214</v>
      </c>
      <c r="G1483" s="53" t="n">
        <f aca="true">NORMINV(RAND(),0,G$7)</f>
        <v>-1.20230793478856</v>
      </c>
      <c r="H1483" s="53" t="n">
        <f aca="true">NORMINV(RAND(),0,H$7)</f>
        <v>0.102617706279497</v>
      </c>
      <c r="I1483" s="53" t="n">
        <f aca="false">SUM(B1483:H1483)</f>
        <v>-2.00772131245135</v>
      </c>
      <c r="J1483" s="53" t="n">
        <f aca="true">NORMINV(RAND(),0,J$7)</f>
        <v>0.448953479667454</v>
      </c>
      <c r="K1483" s="53" t="n">
        <f aca="true">NORMINV(RAND(),0,K$7)</f>
        <v>-0.473483426479078</v>
      </c>
      <c r="L1483" s="53" t="n">
        <f aca="true">NORMINV(RAND(),0,L$7)</f>
        <v>0.736905388164513</v>
      </c>
      <c r="M1483" s="53" t="n">
        <f aca="true">NORMINV(RAND(),0,M$7)</f>
        <v>-0.00245143859984548</v>
      </c>
      <c r="N1483" s="53" t="n">
        <f aca="true">NORMINV(RAND(),0,N$7)</f>
        <v>-0.714948015115929</v>
      </c>
      <c r="O1483" s="53" t="n">
        <f aca="false">SUM(J1483:N1483)</f>
        <v>-0.00502401236288697</v>
      </c>
    </row>
    <row r="1484" customFormat="false" ht="15" hidden="false" customHeight="false" outlineLevel="0" collapsed="false">
      <c r="A1484" s="2" t="n">
        <v>1476</v>
      </c>
      <c r="B1484" s="53" t="n">
        <f aca="true">NORMINV(RAND(),0,B$7)</f>
        <v>-1.8122980504203</v>
      </c>
      <c r="C1484" s="53" t="n">
        <f aca="true">NORMINV(RAND(),0,C$7)</f>
        <v>2.67794236783465</v>
      </c>
      <c r="D1484" s="53" t="n">
        <f aca="true">NORMINV(RAND(),0,D$7)</f>
        <v>0.941146758522765</v>
      </c>
      <c r="E1484" s="53" t="n">
        <f aca="true">NORMINV(RAND(),0,E$7)</f>
        <v>0.129137266238327</v>
      </c>
      <c r="F1484" s="53" t="n">
        <f aca="true">NORMINV(RAND(),0,F$7)</f>
        <v>0.251336161784158</v>
      </c>
      <c r="G1484" s="53" t="n">
        <f aca="true">NORMINV(RAND(),0,G$7)</f>
        <v>-0.587562499550348</v>
      </c>
      <c r="H1484" s="53" t="n">
        <f aca="true">NORMINV(RAND(),0,H$7)</f>
        <v>0.365992120901692</v>
      </c>
      <c r="I1484" s="53" t="n">
        <f aca="false">SUM(B1484:H1484)</f>
        <v>1.96569412531094</v>
      </c>
      <c r="J1484" s="53" t="n">
        <f aca="true">NORMINV(RAND(),0,J$7)</f>
        <v>-3.7367753301948</v>
      </c>
      <c r="K1484" s="53" t="n">
        <f aca="true">NORMINV(RAND(),0,K$7)</f>
        <v>1.19152638618508</v>
      </c>
      <c r="L1484" s="53" t="n">
        <f aca="true">NORMINV(RAND(),0,L$7)</f>
        <v>-0.273805089404821</v>
      </c>
      <c r="M1484" s="53" t="n">
        <f aca="true">NORMINV(RAND(),0,M$7)</f>
        <v>-0.0693106909604346</v>
      </c>
      <c r="N1484" s="53" t="n">
        <f aca="true">NORMINV(RAND(),0,N$7)</f>
        <v>0.0850538274634758</v>
      </c>
      <c r="O1484" s="53" t="n">
        <f aca="false">SUM(J1484:N1484)</f>
        <v>-2.8033108969115</v>
      </c>
    </row>
    <row r="1485" customFormat="false" ht="15" hidden="false" customHeight="false" outlineLevel="0" collapsed="false">
      <c r="A1485" s="2" t="n">
        <v>1477</v>
      </c>
      <c r="B1485" s="53" t="n">
        <f aca="true">NORMINV(RAND(),0,B$7)</f>
        <v>-1.26365299205772</v>
      </c>
      <c r="C1485" s="53" t="n">
        <f aca="true">NORMINV(RAND(),0,C$7)</f>
        <v>0.909585261190849</v>
      </c>
      <c r="D1485" s="53" t="n">
        <f aca="true">NORMINV(RAND(),0,D$7)</f>
        <v>0.177821047569194</v>
      </c>
      <c r="E1485" s="53" t="n">
        <f aca="true">NORMINV(RAND(),0,E$7)</f>
        <v>-0.224789670655956</v>
      </c>
      <c r="F1485" s="53" t="n">
        <f aca="true">NORMINV(RAND(),0,F$7)</f>
        <v>0.559859517481935</v>
      </c>
      <c r="G1485" s="53" t="n">
        <f aca="true">NORMINV(RAND(),0,G$7)</f>
        <v>2.48617991994089</v>
      </c>
      <c r="H1485" s="53" t="n">
        <f aca="true">NORMINV(RAND(),0,H$7)</f>
        <v>-0.519298626134757</v>
      </c>
      <c r="I1485" s="53" t="n">
        <f aca="false">SUM(B1485:H1485)</f>
        <v>2.12570445733443</v>
      </c>
      <c r="J1485" s="53" t="n">
        <f aca="true">NORMINV(RAND(),0,J$7)</f>
        <v>2.14758848891389</v>
      </c>
      <c r="K1485" s="53" t="n">
        <f aca="true">NORMINV(RAND(),0,K$7)</f>
        <v>0.342238964910089</v>
      </c>
      <c r="L1485" s="53" t="n">
        <f aca="true">NORMINV(RAND(),0,L$7)</f>
        <v>-0.148259278617981</v>
      </c>
      <c r="M1485" s="53" t="n">
        <f aca="true">NORMINV(RAND(),0,M$7)</f>
        <v>-0.211707488473914</v>
      </c>
      <c r="N1485" s="53" t="n">
        <f aca="true">NORMINV(RAND(),0,N$7)</f>
        <v>0.00271581235393764</v>
      </c>
      <c r="O1485" s="53" t="n">
        <f aca="false">SUM(J1485:N1485)</f>
        <v>2.13257649908603</v>
      </c>
    </row>
    <row r="1486" customFormat="false" ht="15" hidden="false" customHeight="false" outlineLevel="0" collapsed="false">
      <c r="A1486" s="2" t="n">
        <v>1478</v>
      </c>
      <c r="B1486" s="53" t="n">
        <f aca="true">NORMINV(RAND(),0,B$7)</f>
        <v>0.947839911510974</v>
      </c>
      <c r="C1486" s="53" t="n">
        <f aca="true">NORMINV(RAND(),0,C$7)</f>
        <v>-1.76103209147416</v>
      </c>
      <c r="D1486" s="53" t="n">
        <f aca="true">NORMINV(RAND(),0,D$7)</f>
        <v>-1.31298066392306</v>
      </c>
      <c r="E1486" s="53" t="n">
        <f aca="true">NORMINV(RAND(),0,E$7)</f>
        <v>0.140913413574428</v>
      </c>
      <c r="F1486" s="53" t="n">
        <f aca="true">NORMINV(RAND(),0,F$7)</f>
        <v>-0.0470983607226746</v>
      </c>
      <c r="G1486" s="53" t="n">
        <f aca="true">NORMINV(RAND(),0,G$7)</f>
        <v>0.659358336732231</v>
      </c>
      <c r="H1486" s="53" t="n">
        <f aca="true">NORMINV(RAND(),0,H$7)</f>
        <v>0.217539047866454</v>
      </c>
      <c r="I1486" s="53" t="n">
        <f aca="false">SUM(B1486:H1486)</f>
        <v>-1.15546040643581</v>
      </c>
      <c r="J1486" s="53" t="n">
        <f aca="true">NORMINV(RAND(),0,J$7)</f>
        <v>-3.56464839170395</v>
      </c>
      <c r="K1486" s="53" t="n">
        <f aca="true">NORMINV(RAND(),0,K$7)</f>
        <v>-0.231795036073776</v>
      </c>
      <c r="L1486" s="53" t="n">
        <f aca="true">NORMINV(RAND(),0,L$7)</f>
        <v>0.323976754090215</v>
      </c>
      <c r="M1486" s="53" t="n">
        <f aca="true">NORMINV(RAND(),0,M$7)</f>
        <v>-0.0873959108373745</v>
      </c>
      <c r="N1486" s="53" t="n">
        <f aca="true">NORMINV(RAND(),0,N$7)</f>
        <v>0.242665713280946</v>
      </c>
      <c r="O1486" s="53" t="n">
        <f aca="false">SUM(J1486:N1486)</f>
        <v>-3.31719687124394</v>
      </c>
    </row>
    <row r="1487" customFormat="false" ht="15" hidden="false" customHeight="false" outlineLevel="0" collapsed="false">
      <c r="A1487" s="2" t="n">
        <v>1479</v>
      </c>
      <c r="B1487" s="53" t="n">
        <f aca="true">NORMINV(RAND(),0,B$7)</f>
        <v>1.23741438736574</v>
      </c>
      <c r="C1487" s="53" t="n">
        <f aca="true">NORMINV(RAND(),0,C$7)</f>
        <v>-0.821739445003557</v>
      </c>
      <c r="D1487" s="53" t="n">
        <f aca="true">NORMINV(RAND(),0,D$7)</f>
        <v>4.08884624654468</v>
      </c>
      <c r="E1487" s="53" t="n">
        <f aca="true">NORMINV(RAND(),0,E$7)</f>
        <v>-0.234786197154971</v>
      </c>
      <c r="F1487" s="53" t="n">
        <f aca="true">NORMINV(RAND(),0,F$7)</f>
        <v>0.0721292543414605</v>
      </c>
      <c r="G1487" s="53" t="n">
        <f aca="true">NORMINV(RAND(),0,G$7)</f>
        <v>-2.68447177668018</v>
      </c>
      <c r="H1487" s="53" t="n">
        <f aca="true">NORMINV(RAND(),0,H$7)</f>
        <v>0.0530228408023656</v>
      </c>
      <c r="I1487" s="53" t="n">
        <f aca="false">SUM(B1487:H1487)</f>
        <v>1.71041531021554</v>
      </c>
      <c r="J1487" s="53" t="n">
        <f aca="true">NORMINV(RAND(),0,J$7)</f>
        <v>-0.830792215132416</v>
      </c>
      <c r="K1487" s="53" t="n">
        <f aca="true">NORMINV(RAND(),0,K$7)</f>
        <v>0.663382709330398</v>
      </c>
      <c r="L1487" s="53" t="n">
        <f aca="true">NORMINV(RAND(),0,L$7)</f>
        <v>0.164610005355824</v>
      </c>
      <c r="M1487" s="53" t="n">
        <f aca="true">NORMINV(RAND(),0,M$7)</f>
        <v>-0.164909123367217</v>
      </c>
      <c r="N1487" s="53" t="n">
        <f aca="true">NORMINV(RAND(),0,N$7)</f>
        <v>1.1140042539419</v>
      </c>
      <c r="O1487" s="53" t="n">
        <f aca="false">SUM(J1487:N1487)</f>
        <v>0.946295630128485</v>
      </c>
    </row>
    <row r="1488" customFormat="false" ht="15" hidden="false" customHeight="false" outlineLevel="0" collapsed="false">
      <c r="A1488" s="2" t="n">
        <v>1480</v>
      </c>
      <c r="B1488" s="53" t="n">
        <f aca="true">NORMINV(RAND(),0,B$7)</f>
        <v>1.39254165610321</v>
      </c>
      <c r="C1488" s="53" t="n">
        <f aca="true">NORMINV(RAND(),0,C$7)</f>
        <v>0.994350207231064</v>
      </c>
      <c r="D1488" s="53" t="n">
        <f aca="true">NORMINV(RAND(),0,D$7)</f>
        <v>0.318046017315138</v>
      </c>
      <c r="E1488" s="53" t="n">
        <f aca="true">NORMINV(RAND(),0,E$7)</f>
        <v>0.107068930744087</v>
      </c>
      <c r="F1488" s="53" t="n">
        <f aca="true">NORMINV(RAND(),0,F$7)</f>
        <v>-0.0274933091113881</v>
      </c>
      <c r="G1488" s="53" t="n">
        <f aca="true">NORMINV(RAND(),0,G$7)</f>
        <v>1.06970251320922</v>
      </c>
      <c r="H1488" s="53" t="n">
        <f aca="true">NORMINV(RAND(),0,H$7)</f>
        <v>-0.545433490895968</v>
      </c>
      <c r="I1488" s="53" t="n">
        <f aca="false">SUM(B1488:H1488)</f>
        <v>3.30878252459536</v>
      </c>
      <c r="J1488" s="53" t="n">
        <f aca="true">NORMINV(RAND(),0,J$7)</f>
        <v>1.46031731083096</v>
      </c>
      <c r="K1488" s="53" t="n">
        <f aca="true">NORMINV(RAND(),0,K$7)</f>
        <v>-0.0530668180444782</v>
      </c>
      <c r="L1488" s="53" t="n">
        <f aca="true">NORMINV(RAND(),0,L$7)</f>
        <v>-0.26674474549495</v>
      </c>
      <c r="M1488" s="53" t="n">
        <f aca="true">NORMINV(RAND(),0,M$7)</f>
        <v>-0.255942330004764</v>
      </c>
      <c r="N1488" s="53" t="n">
        <f aca="true">NORMINV(RAND(),0,N$7)</f>
        <v>-0.123602735497565</v>
      </c>
      <c r="O1488" s="53" t="n">
        <f aca="false">SUM(J1488:N1488)</f>
        <v>0.760960681789207</v>
      </c>
    </row>
    <row r="1489" customFormat="false" ht="15" hidden="false" customHeight="false" outlineLevel="0" collapsed="false">
      <c r="A1489" s="2" t="n">
        <v>1481</v>
      </c>
      <c r="B1489" s="53" t="n">
        <f aca="true">NORMINV(RAND(),0,B$7)</f>
        <v>-0.43259246947901</v>
      </c>
      <c r="C1489" s="53" t="n">
        <f aca="true">NORMINV(RAND(),0,C$7)</f>
        <v>0.96386355601668</v>
      </c>
      <c r="D1489" s="53" t="n">
        <f aca="true">NORMINV(RAND(),0,D$7)</f>
        <v>0.352161826963364</v>
      </c>
      <c r="E1489" s="53" t="n">
        <f aca="true">NORMINV(RAND(),0,E$7)</f>
        <v>0.190413214752827</v>
      </c>
      <c r="F1489" s="53" t="n">
        <f aca="true">NORMINV(RAND(),0,F$7)</f>
        <v>0.310177803476988</v>
      </c>
      <c r="G1489" s="53" t="n">
        <f aca="true">NORMINV(RAND(),0,G$7)</f>
        <v>-0.719676457894267</v>
      </c>
      <c r="H1489" s="53" t="n">
        <f aca="true">NORMINV(RAND(),0,H$7)</f>
        <v>-0.441000802520925</v>
      </c>
      <c r="I1489" s="53" t="n">
        <f aca="false">SUM(B1489:H1489)</f>
        <v>0.223346671315658</v>
      </c>
      <c r="J1489" s="53" t="n">
        <f aca="true">NORMINV(RAND(),0,J$7)</f>
        <v>-1.83296227921835</v>
      </c>
      <c r="K1489" s="53" t="n">
        <f aca="true">NORMINV(RAND(),0,K$7)</f>
        <v>-0.566309428883286</v>
      </c>
      <c r="L1489" s="53" t="n">
        <f aca="true">NORMINV(RAND(),0,L$7)</f>
        <v>-0.771984452674838</v>
      </c>
      <c r="M1489" s="53" t="n">
        <f aca="true">NORMINV(RAND(),0,M$7)</f>
        <v>0.145245560084456</v>
      </c>
      <c r="N1489" s="53" t="n">
        <f aca="true">NORMINV(RAND(),0,N$7)</f>
        <v>0.0416011926253198</v>
      </c>
      <c r="O1489" s="53" t="n">
        <f aca="false">SUM(J1489:N1489)</f>
        <v>-2.9844094080667</v>
      </c>
    </row>
    <row r="1490" customFormat="false" ht="15" hidden="false" customHeight="false" outlineLevel="0" collapsed="false">
      <c r="A1490" s="2" t="n">
        <v>1482</v>
      </c>
      <c r="B1490" s="53" t="n">
        <f aca="true">NORMINV(RAND(),0,B$7)</f>
        <v>-0.453883359685351</v>
      </c>
      <c r="C1490" s="53" t="n">
        <f aca="true">NORMINV(RAND(),0,C$7)</f>
        <v>3.24352564611625</v>
      </c>
      <c r="D1490" s="53" t="n">
        <f aca="true">NORMINV(RAND(),0,D$7)</f>
        <v>-0.939584786842449</v>
      </c>
      <c r="E1490" s="53" t="n">
        <f aca="true">NORMINV(RAND(),0,E$7)</f>
        <v>-0.531737574053104</v>
      </c>
      <c r="F1490" s="53" t="n">
        <f aca="true">NORMINV(RAND(),0,F$7)</f>
        <v>0.249272373103525</v>
      </c>
      <c r="G1490" s="53" t="n">
        <f aca="true">NORMINV(RAND(),0,G$7)</f>
        <v>-0.924762060596224</v>
      </c>
      <c r="H1490" s="53" t="n">
        <f aca="true">NORMINV(RAND(),0,H$7)</f>
        <v>0.115969867404544</v>
      </c>
      <c r="I1490" s="53" t="n">
        <f aca="false">SUM(B1490:H1490)</f>
        <v>0.758800105447189</v>
      </c>
      <c r="J1490" s="53" t="n">
        <f aca="true">NORMINV(RAND(),0,J$7)</f>
        <v>1.8850633005475</v>
      </c>
      <c r="K1490" s="53" t="n">
        <f aca="true">NORMINV(RAND(),0,K$7)</f>
        <v>-0.332419504426923</v>
      </c>
      <c r="L1490" s="53" t="n">
        <f aca="true">NORMINV(RAND(),0,L$7)</f>
        <v>0.0214159993249739</v>
      </c>
      <c r="M1490" s="53" t="n">
        <f aca="true">NORMINV(RAND(),0,M$7)</f>
        <v>-0.117808665663411</v>
      </c>
      <c r="N1490" s="53" t="n">
        <f aca="true">NORMINV(RAND(),0,N$7)</f>
        <v>0.305318988701279</v>
      </c>
      <c r="O1490" s="53" t="n">
        <f aca="false">SUM(J1490:N1490)</f>
        <v>1.76157011848342</v>
      </c>
    </row>
    <row r="1491" customFormat="false" ht="15" hidden="false" customHeight="false" outlineLevel="0" collapsed="false">
      <c r="A1491" s="2" t="n">
        <v>1483</v>
      </c>
      <c r="B1491" s="53" t="n">
        <f aca="true">NORMINV(RAND(),0,B$7)</f>
        <v>2.24207166629252</v>
      </c>
      <c r="C1491" s="53" t="n">
        <f aca="true">NORMINV(RAND(),0,C$7)</f>
        <v>0.340370286382229</v>
      </c>
      <c r="D1491" s="53" t="n">
        <f aca="true">NORMINV(RAND(),0,D$7)</f>
        <v>1.34337563768682</v>
      </c>
      <c r="E1491" s="53" t="n">
        <f aca="true">NORMINV(RAND(),0,E$7)</f>
        <v>0.0253794344585194</v>
      </c>
      <c r="F1491" s="53" t="n">
        <f aca="true">NORMINV(RAND(),0,F$7)</f>
        <v>-0.0122085695118505</v>
      </c>
      <c r="G1491" s="53" t="n">
        <f aca="true">NORMINV(RAND(),0,G$7)</f>
        <v>0.898869313438273</v>
      </c>
      <c r="H1491" s="53" t="n">
        <f aca="true">NORMINV(RAND(),0,H$7)</f>
        <v>-0.316348731552857</v>
      </c>
      <c r="I1491" s="53" t="n">
        <f aca="false">SUM(B1491:H1491)</f>
        <v>4.52150903719365</v>
      </c>
      <c r="J1491" s="53" t="n">
        <f aca="true">NORMINV(RAND(),0,J$7)</f>
        <v>-0.578895080578205</v>
      </c>
      <c r="K1491" s="53" t="n">
        <f aca="true">NORMINV(RAND(),0,K$7)</f>
        <v>-0.466354232167116</v>
      </c>
      <c r="L1491" s="53" t="n">
        <f aca="true">NORMINV(RAND(),0,L$7)</f>
        <v>-0.151959909264028</v>
      </c>
      <c r="M1491" s="53" t="n">
        <f aca="true">NORMINV(RAND(),0,M$7)</f>
        <v>-0.0830209125877073</v>
      </c>
      <c r="N1491" s="53" t="n">
        <f aca="true">NORMINV(RAND(),0,N$7)</f>
        <v>0.0840278833151893</v>
      </c>
      <c r="O1491" s="53" t="n">
        <f aca="false">SUM(J1491:N1491)</f>
        <v>-1.19620225128187</v>
      </c>
    </row>
    <row r="1492" customFormat="false" ht="15" hidden="false" customHeight="false" outlineLevel="0" collapsed="false">
      <c r="A1492" s="2" t="n">
        <v>1484</v>
      </c>
      <c r="B1492" s="53" t="n">
        <f aca="true">NORMINV(RAND(),0,B$7)</f>
        <v>1.57786420922166</v>
      </c>
      <c r="C1492" s="53" t="n">
        <f aca="true">NORMINV(RAND(),0,C$7)</f>
        <v>0.198255959465917</v>
      </c>
      <c r="D1492" s="53" t="n">
        <f aca="true">NORMINV(RAND(),0,D$7)</f>
        <v>1.74246277475235</v>
      </c>
      <c r="E1492" s="53" t="n">
        <f aca="true">NORMINV(RAND(),0,E$7)</f>
        <v>0.393578029075285</v>
      </c>
      <c r="F1492" s="53" t="n">
        <f aca="true">NORMINV(RAND(),0,F$7)</f>
        <v>0.383415684868563</v>
      </c>
      <c r="G1492" s="53" t="n">
        <f aca="true">NORMINV(RAND(),0,G$7)</f>
        <v>-0.105681957084682</v>
      </c>
      <c r="H1492" s="53" t="n">
        <f aca="true">NORMINV(RAND(),0,H$7)</f>
        <v>-0.247148534671269</v>
      </c>
      <c r="I1492" s="53" t="n">
        <f aca="false">SUM(B1492:H1492)</f>
        <v>3.94274616562783</v>
      </c>
      <c r="J1492" s="53" t="n">
        <f aca="true">NORMINV(RAND(),0,J$7)</f>
        <v>0.681905413540131</v>
      </c>
      <c r="K1492" s="53" t="n">
        <f aca="true">NORMINV(RAND(),0,K$7)</f>
        <v>0.484765666817302</v>
      </c>
      <c r="L1492" s="53" t="n">
        <f aca="true">NORMINV(RAND(),0,L$7)</f>
        <v>0.144743869612468</v>
      </c>
      <c r="M1492" s="53" t="n">
        <f aca="true">NORMINV(RAND(),0,M$7)</f>
        <v>-0.221709567532369</v>
      </c>
      <c r="N1492" s="53" t="n">
        <f aca="true">NORMINV(RAND(),0,N$7)</f>
        <v>0.298456555532906</v>
      </c>
      <c r="O1492" s="53" t="n">
        <f aca="false">SUM(J1492:N1492)</f>
        <v>1.38816193797044</v>
      </c>
    </row>
    <row r="1493" customFormat="false" ht="15" hidden="false" customHeight="false" outlineLevel="0" collapsed="false">
      <c r="A1493" s="2" t="n">
        <v>1485</v>
      </c>
      <c r="B1493" s="53" t="n">
        <f aca="true">NORMINV(RAND(),0,B$7)</f>
        <v>-2.52162314100874</v>
      </c>
      <c r="C1493" s="53" t="n">
        <f aca="true">NORMINV(RAND(),0,C$7)</f>
        <v>0.666798203365265</v>
      </c>
      <c r="D1493" s="53" t="n">
        <f aca="true">NORMINV(RAND(),0,D$7)</f>
        <v>1.37049920307874</v>
      </c>
      <c r="E1493" s="53" t="n">
        <f aca="true">NORMINV(RAND(),0,E$7)</f>
        <v>-0.00234059688754677</v>
      </c>
      <c r="F1493" s="53" t="n">
        <f aca="true">NORMINV(RAND(),0,F$7)</f>
        <v>0.386331256575211</v>
      </c>
      <c r="G1493" s="53" t="n">
        <f aca="true">NORMINV(RAND(),0,G$7)</f>
        <v>1.03738908678492</v>
      </c>
      <c r="H1493" s="53" t="n">
        <f aca="true">NORMINV(RAND(),0,H$7)</f>
        <v>0.172399072340308</v>
      </c>
      <c r="I1493" s="53" t="n">
        <f aca="false">SUM(B1493:H1493)</f>
        <v>1.10945308424815</v>
      </c>
      <c r="J1493" s="53" t="n">
        <f aca="true">NORMINV(RAND(),0,J$7)</f>
        <v>2.24271431960932</v>
      </c>
      <c r="K1493" s="53" t="n">
        <f aca="true">NORMINV(RAND(),0,K$7)</f>
        <v>-0.324765487169216</v>
      </c>
      <c r="L1493" s="53" t="n">
        <f aca="true">NORMINV(RAND(),0,L$7)</f>
        <v>-0.346655633035732</v>
      </c>
      <c r="M1493" s="53" t="n">
        <f aca="true">NORMINV(RAND(),0,M$7)</f>
        <v>0.239245875581501</v>
      </c>
      <c r="N1493" s="53" t="n">
        <f aca="true">NORMINV(RAND(),0,N$7)</f>
        <v>-0.0244186117908693</v>
      </c>
      <c r="O1493" s="53" t="n">
        <f aca="false">SUM(J1493:N1493)</f>
        <v>1.786120463195</v>
      </c>
    </row>
    <row r="1494" customFormat="false" ht="15" hidden="false" customHeight="false" outlineLevel="0" collapsed="false">
      <c r="A1494" s="2" t="n">
        <v>1486</v>
      </c>
      <c r="B1494" s="53" t="n">
        <f aca="true">NORMINV(RAND(),0,B$7)</f>
        <v>-0.904335526069675</v>
      </c>
      <c r="C1494" s="53" t="n">
        <f aca="true">NORMINV(RAND(),0,C$7)</f>
        <v>2.40336322528476</v>
      </c>
      <c r="D1494" s="53" t="n">
        <f aca="true">NORMINV(RAND(),0,D$7)</f>
        <v>0.0662366024631605</v>
      </c>
      <c r="E1494" s="53" t="n">
        <f aca="true">NORMINV(RAND(),0,E$7)</f>
        <v>-0.253015467632175</v>
      </c>
      <c r="F1494" s="53" t="n">
        <f aca="true">NORMINV(RAND(),0,F$7)</f>
        <v>-0.145387532228473</v>
      </c>
      <c r="G1494" s="53" t="n">
        <f aca="true">NORMINV(RAND(),0,G$7)</f>
        <v>-0.0867887944744429</v>
      </c>
      <c r="H1494" s="53" t="n">
        <f aca="true">NORMINV(RAND(),0,H$7)</f>
        <v>-0.03640562331662</v>
      </c>
      <c r="I1494" s="53" t="n">
        <f aca="false">SUM(B1494:H1494)</f>
        <v>1.04366688402653</v>
      </c>
      <c r="J1494" s="53" t="n">
        <f aca="true">NORMINV(RAND(),0,J$7)</f>
        <v>-0.673920665615038</v>
      </c>
      <c r="K1494" s="53" t="n">
        <f aca="true">NORMINV(RAND(),0,K$7)</f>
        <v>0.60138717355345</v>
      </c>
      <c r="L1494" s="53" t="n">
        <f aca="true">NORMINV(RAND(),0,L$7)</f>
        <v>0.0414690371751551</v>
      </c>
      <c r="M1494" s="53" t="n">
        <f aca="true">NORMINV(RAND(),0,M$7)</f>
        <v>0.251060153866163</v>
      </c>
      <c r="N1494" s="53" t="n">
        <f aca="true">NORMINV(RAND(),0,N$7)</f>
        <v>-0.586340998110015</v>
      </c>
      <c r="O1494" s="53" t="n">
        <f aca="false">SUM(J1494:N1494)</f>
        <v>-0.366345299130286</v>
      </c>
    </row>
    <row r="1495" customFormat="false" ht="15" hidden="false" customHeight="false" outlineLevel="0" collapsed="false">
      <c r="A1495" s="2" t="n">
        <v>1487</v>
      </c>
      <c r="B1495" s="53" t="n">
        <f aca="true">NORMINV(RAND(),0,B$7)</f>
        <v>0.45108343858026</v>
      </c>
      <c r="C1495" s="53" t="n">
        <f aca="true">NORMINV(RAND(),0,C$7)</f>
        <v>1.86607391204028</v>
      </c>
      <c r="D1495" s="53" t="n">
        <f aca="true">NORMINV(RAND(),0,D$7)</f>
        <v>0.180451294973205</v>
      </c>
      <c r="E1495" s="53" t="n">
        <f aca="true">NORMINV(RAND(),0,E$7)</f>
        <v>0.393019041714487</v>
      </c>
      <c r="F1495" s="53" t="n">
        <f aca="true">NORMINV(RAND(),0,F$7)</f>
        <v>0.0783785524608534</v>
      </c>
      <c r="G1495" s="53" t="n">
        <f aca="true">NORMINV(RAND(),0,G$7)</f>
        <v>0.922346633713359</v>
      </c>
      <c r="H1495" s="53" t="n">
        <f aca="true">NORMINV(RAND(),0,H$7)</f>
        <v>-0.18728673448923</v>
      </c>
      <c r="I1495" s="53" t="n">
        <f aca="false">SUM(B1495:H1495)</f>
        <v>3.70406613899321</v>
      </c>
      <c r="J1495" s="53" t="n">
        <f aca="true">NORMINV(RAND(),0,J$7)</f>
        <v>1.42149805660236</v>
      </c>
      <c r="K1495" s="53" t="n">
        <f aca="true">NORMINV(RAND(),0,K$7)</f>
        <v>0.977459024243642</v>
      </c>
      <c r="L1495" s="53" t="n">
        <f aca="true">NORMINV(RAND(),0,L$7)</f>
        <v>0.384345846273741</v>
      </c>
      <c r="M1495" s="53" t="n">
        <f aca="true">NORMINV(RAND(),0,M$7)</f>
        <v>0.549558018277682</v>
      </c>
      <c r="N1495" s="53" t="n">
        <f aca="true">NORMINV(RAND(),0,N$7)</f>
        <v>0.43276328281363</v>
      </c>
      <c r="O1495" s="53" t="n">
        <f aca="false">SUM(J1495:N1495)</f>
        <v>3.76562422821105</v>
      </c>
    </row>
    <row r="1496" customFormat="false" ht="15" hidden="false" customHeight="false" outlineLevel="0" collapsed="false">
      <c r="A1496" s="2" t="n">
        <v>1488</v>
      </c>
      <c r="B1496" s="53" t="n">
        <f aca="true">NORMINV(RAND(),0,B$7)</f>
        <v>1.749877109878</v>
      </c>
      <c r="C1496" s="53" t="n">
        <f aca="true">NORMINV(RAND(),0,C$7)</f>
        <v>1.50878454058997</v>
      </c>
      <c r="D1496" s="53" t="n">
        <f aca="true">NORMINV(RAND(),0,D$7)</f>
        <v>-1.58917038669331</v>
      </c>
      <c r="E1496" s="53" t="n">
        <f aca="true">NORMINV(RAND(),0,E$7)</f>
        <v>-0.200315237210293</v>
      </c>
      <c r="F1496" s="53" t="n">
        <f aca="true">NORMINV(RAND(),0,F$7)</f>
        <v>-0.0695562561628715</v>
      </c>
      <c r="G1496" s="53" t="n">
        <f aca="true">NORMINV(RAND(),0,G$7)</f>
        <v>-0.802356518161159</v>
      </c>
      <c r="H1496" s="53" t="n">
        <f aca="true">NORMINV(RAND(),0,H$7)</f>
        <v>0.48121834236416</v>
      </c>
      <c r="I1496" s="53" t="n">
        <f aca="false">SUM(B1496:H1496)</f>
        <v>1.07848159460449</v>
      </c>
      <c r="J1496" s="53" t="n">
        <f aca="true">NORMINV(RAND(),0,J$7)</f>
        <v>0.93794118342017</v>
      </c>
      <c r="K1496" s="53" t="n">
        <f aca="true">NORMINV(RAND(),0,K$7)</f>
        <v>-0.198983641288207</v>
      </c>
      <c r="L1496" s="53" t="n">
        <f aca="true">NORMINV(RAND(),0,L$7)</f>
        <v>-0.356458888410863</v>
      </c>
      <c r="M1496" s="53" t="n">
        <f aca="true">NORMINV(RAND(),0,M$7)</f>
        <v>0.243533651315452</v>
      </c>
      <c r="N1496" s="53" t="n">
        <f aca="true">NORMINV(RAND(),0,N$7)</f>
        <v>0.0176600604232424</v>
      </c>
      <c r="O1496" s="53" t="n">
        <f aca="false">SUM(J1496:N1496)</f>
        <v>0.643692365459794</v>
      </c>
    </row>
    <row r="1497" customFormat="false" ht="15" hidden="false" customHeight="false" outlineLevel="0" collapsed="false">
      <c r="A1497" s="2" t="n">
        <v>1489</v>
      </c>
      <c r="B1497" s="53" t="n">
        <f aca="true">NORMINV(RAND(),0,B$7)</f>
        <v>0.412897899780041</v>
      </c>
      <c r="C1497" s="53" t="n">
        <f aca="true">NORMINV(RAND(),0,C$7)</f>
        <v>0.360673456005793</v>
      </c>
      <c r="D1497" s="53" t="n">
        <f aca="true">NORMINV(RAND(),0,D$7)</f>
        <v>-0.00362337571043424</v>
      </c>
      <c r="E1497" s="53" t="n">
        <f aca="true">NORMINV(RAND(),0,E$7)</f>
        <v>-0.272936303456031</v>
      </c>
      <c r="F1497" s="53" t="n">
        <f aca="true">NORMINV(RAND(),0,F$7)</f>
        <v>-0.207093267088251</v>
      </c>
      <c r="G1497" s="53" t="n">
        <f aca="true">NORMINV(RAND(),0,G$7)</f>
        <v>-0.230669975167594</v>
      </c>
      <c r="H1497" s="53" t="n">
        <f aca="true">NORMINV(RAND(),0,H$7)</f>
        <v>0.121962242387127</v>
      </c>
      <c r="I1497" s="53" t="n">
        <f aca="false">SUM(B1497:H1497)</f>
        <v>0.18121067675065</v>
      </c>
      <c r="J1497" s="53" t="n">
        <f aca="true">NORMINV(RAND(),0,J$7)</f>
        <v>0.848906237828243</v>
      </c>
      <c r="K1497" s="53" t="n">
        <f aca="true">NORMINV(RAND(),0,K$7)</f>
        <v>0.644553248428537</v>
      </c>
      <c r="L1497" s="53" t="n">
        <f aca="true">NORMINV(RAND(),0,L$7)</f>
        <v>-0.411527112087326</v>
      </c>
      <c r="M1497" s="53" t="n">
        <f aca="true">NORMINV(RAND(),0,M$7)</f>
        <v>-0.182236333889569</v>
      </c>
      <c r="N1497" s="53" t="n">
        <f aca="true">NORMINV(RAND(),0,N$7)</f>
        <v>0.657304537669553</v>
      </c>
      <c r="O1497" s="53" t="n">
        <f aca="false">SUM(J1497:N1497)</f>
        <v>1.55700057794944</v>
      </c>
    </row>
    <row r="1498" customFormat="false" ht="15" hidden="false" customHeight="false" outlineLevel="0" collapsed="false">
      <c r="A1498" s="2" t="n">
        <v>1490</v>
      </c>
      <c r="B1498" s="53" t="n">
        <f aca="true">NORMINV(RAND(),0,B$7)</f>
        <v>0.708762242427364</v>
      </c>
      <c r="C1498" s="53" t="n">
        <f aca="true">NORMINV(RAND(),0,C$7)</f>
        <v>2.05592363397355</v>
      </c>
      <c r="D1498" s="53" t="n">
        <f aca="true">NORMINV(RAND(),0,D$7)</f>
        <v>-0.294789523051116</v>
      </c>
      <c r="E1498" s="53" t="n">
        <f aca="true">NORMINV(RAND(),0,E$7)</f>
        <v>-0.021597140206092</v>
      </c>
      <c r="F1498" s="53" t="n">
        <f aca="true">NORMINV(RAND(),0,F$7)</f>
        <v>0.121193903340022</v>
      </c>
      <c r="G1498" s="53" t="n">
        <f aca="true">NORMINV(RAND(),0,G$7)</f>
        <v>0.594616386834322</v>
      </c>
      <c r="H1498" s="53" t="n">
        <f aca="true">NORMINV(RAND(),0,H$7)</f>
        <v>-0.582716931788914</v>
      </c>
      <c r="I1498" s="53" t="n">
        <f aca="false">SUM(B1498:H1498)</f>
        <v>2.58139257152914</v>
      </c>
      <c r="J1498" s="53" t="n">
        <f aca="true">NORMINV(RAND(),0,J$7)</f>
        <v>1.32125362203632</v>
      </c>
      <c r="K1498" s="53" t="n">
        <f aca="true">NORMINV(RAND(),0,K$7)</f>
        <v>0.168917973861016</v>
      </c>
      <c r="L1498" s="53" t="n">
        <f aca="true">NORMINV(RAND(),0,L$7)</f>
        <v>0.722871566221486</v>
      </c>
      <c r="M1498" s="53" t="n">
        <f aca="true">NORMINV(RAND(),0,M$7)</f>
        <v>0.468262184826758</v>
      </c>
      <c r="N1498" s="53" t="n">
        <f aca="true">NORMINV(RAND(),0,N$7)</f>
        <v>-0.309815265214602</v>
      </c>
      <c r="O1498" s="53" t="n">
        <f aca="false">SUM(J1498:N1498)</f>
        <v>2.37149008173097</v>
      </c>
    </row>
    <row r="1499" customFormat="false" ht="15" hidden="false" customHeight="false" outlineLevel="0" collapsed="false">
      <c r="A1499" s="2" t="n">
        <v>1491</v>
      </c>
      <c r="B1499" s="53" t="n">
        <f aca="true">NORMINV(RAND(),0,B$7)</f>
        <v>-0.215529483239171</v>
      </c>
      <c r="C1499" s="53" t="n">
        <f aca="true">NORMINV(RAND(),0,C$7)</f>
        <v>-0.0191452735806951</v>
      </c>
      <c r="D1499" s="53" t="n">
        <f aca="true">NORMINV(RAND(),0,D$7)</f>
        <v>3.18362871554794</v>
      </c>
      <c r="E1499" s="53" t="n">
        <f aca="true">NORMINV(RAND(),0,E$7)</f>
        <v>-0.267537794572089</v>
      </c>
      <c r="F1499" s="53" t="n">
        <f aca="true">NORMINV(RAND(),0,F$7)</f>
        <v>-0.421218082589968</v>
      </c>
      <c r="G1499" s="53" t="n">
        <f aca="true">NORMINV(RAND(),0,G$7)</f>
        <v>-2.31852679307115</v>
      </c>
      <c r="H1499" s="53" t="n">
        <f aca="true">NORMINV(RAND(),0,H$7)</f>
        <v>-0.0552132434344924</v>
      </c>
      <c r="I1499" s="53" t="n">
        <f aca="false">SUM(B1499:H1499)</f>
        <v>-0.113541954939624</v>
      </c>
      <c r="J1499" s="53" t="n">
        <f aca="true">NORMINV(RAND(),0,J$7)</f>
        <v>-2.52808895250997</v>
      </c>
      <c r="K1499" s="53" t="n">
        <f aca="true">NORMINV(RAND(),0,K$7)</f>
        <v>-1.1589006974827</v>
      </c>
      <c r="L1499" s="53" t="n">
        <f aca="true">NORMINV(RAND(),0,L$7)</f>
        <v>-0.489446185050974</v>
      </c>
      <c r="M1499" s="53" t="n">
        <f aca="true">NORMINV(RAND(),0,M$7)</f>
        <v>0.134493261177359</v>
      </c>
      <c r="N1499" s="53" t="n">
        <f aca="true">NORMINV(RAND(),0,N$7)</f>
        <v>-0.17065035799622</v>
      </c>
      <c r="O1499" s="53" t="n">
        <f aca="false">SUM(J1499:N1499)</f>
        <v>-4.21259293186251</v>
      </c>
    </row>
    <row r="1500" customFormat="false" ht="15" hidden="false" customHeight="false" outlineLevel="0" collapsed="false">
      <c r="A1500" s="2" t="n">
        <v>1492</v>
      </c>
      <c r="B1500" s="53" t="n">
        <f aca="true">NORMINV(RAND(),0,B$7)</f>
        <v>-2.00952868705448</v>
      </c>
      <c r="C1500" s="53" t="n">
        <f aca="true">NORMINV(RAND(),0,C$7)</f>
        <v>0.168746728394871</v>
      </c>
      <c r="D1500" s="53" t="n">
        <f aca="true">NORMINV(RAND(),0,D$7)</f>
        <v>0.495476372847772</v>
      </c>
      <c r="E1500" s="53" t="n">
        <f aca="true">NORMINV(RAND(),0,E$7)</f>
        <v>-0.268740266757815</v>
      </c>
      <c r="F1500" s="53" t="n">
        <f aca="true">NORMINV(RAND(),0,F$7)</f>
        <v>0.0388919993246421</v>
      </c>
      <c r="G1500" s="53" t="n">
        <f aca="true">NORMINV(RAND(),0,G$7)</f>
        <v>2.993154943174</v>
      </c>
      <c r="H1500" s="53" t="n">
        <f aca="true">NORMINV(RAND(),0,H$7)</f>
        <v>0.0118853844513451</v>
      </c>
      <c r="I1500" s="53" t="n">
        <f aca="false">SUM(B1500:H1500)</f>
        <v>1.42988647438034</v>
      </c>
      <c r="J1500" s="53" t="n">
        <f aca="true">NORMINV(RAND(),0,J$7)</f>
        <v>-1.67231228498901</v>
      </c>
      <c r="K1500" s="53" t="n">
        <f aca="true">NORMINV(RAND(),0,K$7)</f>
        <v>0.530584533597215</v>
      </c>
      <c r="L1500" s="53" t="n">
        <f aca="true">NORMINV(RAND(),0,L$7)</f>
        <v>0.0807664797371081</v>
      </c>
      <c r="M1500" s="53" t="n">
        <f aca="true">NORMINV(RAND(),0,M$7)</f>
        <v>0.302831145435958</v>
      </c>
      <c r="N1500" s="53" t="n">
        <f aca="true">NORMINV(RAND(),0,N$7)</f>
        <v>-0.196404983462692</v>
      </c>
      <c r="O1500" s="53" t="n">
        <f aca="false">SUM(J1500:N1500)</f>
        <v>-0.954535109681422</v>
      </c>
    </row>
    <row r="1501" customFormat="false" ht="15" hidden="false" customHeight="false" outlineLevel="0" collapsed="false">
      <c r="A1501" s="2" t="n">
        <v>1493</v>
      </c>
      <c r="B1501" s="53" t="n">
        <f aca="true">NORMINV(RAND(),0,B$7)</f>
        <v>1.77229533838239</v>
      </c>
      <c r="C1501" s="53" t="n">
        <f aca="true">NORMINV(RAND(),0,C$7)</f>
        <v>2.73971789768619</v>
      </c>
      <c r="D1501" s="53" t="n">
        <f aca="true">NORMINV(RAND(),0,D$7)</f>
        <v>-1.28728368982283</v>
      </c>
      <c r="E1501" s="53" t="n">
        <f aca="true">NORMINV(RAND(),0,E$7)</f>
        <v>0.17695555570431</v>
      </c>
      <c r="F1501" s="53" t="n">
        <f aca="true">NORMINV(RAND(),0,F$7)</f>
        <v>-0.195052612052238</v>
      </c>
      <c r="G1501" s="53" t="n">
        <f aca="true">NORMINV(RAND(),0,G$7)</f>
        <v>2.83257808075451</v>
      </c>
      <c r="H1501" s="53" t="n">
        <f aca="true">NORMINV(RAND(),0,H$7)</f>
        <v>-0.0349223346543588</v>
      </c>
      <c r="I1501" s="53" t="n">
        <f aca="false">SUM(B1501:H1501)</f>
        <v>6.00428823599797</v>
      </c>
      <c r="J1501" s="53" t="n">
        <f aca="true">NORMINV(RAND(),0,J$7)</f>
        <v>0.998827430892977</v>
      </c>
      <c r="K1501" s="53" t="n">
        <f aca="true">NORMINV(RAND(),0,K$7)</f>
        <v>-0.262543702082159</v>
      </c>
      <c r="L1501" s="53" t="n">
        <f aca="true">NORMINV(RAND(),0,L$7)</f>
        <v>-0.0889439738230426</v>
      </c>
      <c r="M1501" s="53" t="n">
        <f aca="true">NORMINV(RAND(),0,M$7)</f>
        <v>-0.205245675339837</v>
      </c>
      <c r="N1501" s="53" t="n">
        <f aca="true">NORMINV(RAND(),0,N$7)</f>
        <v>0.149097407977939</v>
      </c>
      <c r="O1501" s="53" t="n">
        <f aca="false">SUM(J1501:N1501)</f>
        <v>0.591191487625876</v>
      </c>
    </row>
    <row r="1502" customFormat="false" ht="15" hidden="false" customHeight="false" outlineLevel="0" collapsed="false">
      <c r="A1502" s="2" t="n">
        <v>1494</v>
      </c>
      <c r="B1502" s="53" t="n">
        <f aca="true">NORMINV(RAND(),0,B$7)</f>
        <v>-2.65505532008745</v>
      </c>
      <c r="C1502" s="53" t="n">
        <f aca="true">NORMINV(RAND(),0,C$7)</f>
        <v>-0.577536549990393</v>
      </c>
      <c r="D1502" s="53" t="n">
        <f aca="true">NORMINV(RAND(),0,D$7)</f>
        <v>-0.673865709361675</v>
      </c>
      <c r="E1502" s="53" t="n">
        <f aca="true">NORMINV(RAND(),0,E$7)</f>
        <v>0.501888633619068</v>
      </c>
      <c r="F1502" s="53" t="n">
        <f aca="true">NORMINV(RAND(),0,F$7)</f>
        <v>-0.191345063071001</v>
      </c>
      <c r="G1502" s="53" t="n">
        <f aca="true">NORMINV(RAND(),0,G$7)</f>
        <v>0.303855293927593</v>
      </c>
      <c r="H1502" s="53" t="n">
        <f aca="true">NORMINV(RAND(),0,H$7)</f>
        <v>0.212606627962153</v>
      </c>
      <c r="I1502" s="53" t="n">
        <f aca="false">SUM(B1502:H1502)</f>
        <v>-3.07945208700171</v>
      </c>
      <c r="J1502" s="53" t="n">
        <f aca="true">NORMINV(RAND(),0,J$7)</f>
        <v>-0.701314277684196</v>
      </c>
      <c r="K1502" s="53" t="n">
        <f aca="true">NORMINV(RAND(),0,K$7)</f>
        <v>-0.60476622767358</v>
      </c>
      <c r="L1502" s="53" t="n">
        <f aca="true">NORMINV(RAND(),0,L$7)</f>
        <v>0.435492445243016</v>
      </c>
      <c r="M1502" s="53" t="n">
        <f aca="true">NORMINV(RAND(),0,M$7)</f>
        <v>-0.295693037563598</v>
      </c>
      <c r="N1502" s="53" t="n">
        <f aca="true">NORMINV(RAND(),0,N$7)</f>
        <v>0.393257363921893</v>
      </c>
      <c r="O1502" s="53" t="n">
        <f aca="false">SUM(J1502:N1502)</f>
        <v>-0.773023733756465</v>
      </c>
    </row>
    <row r="1503" customFormat="false" ht="15" hidden="false" customHeight="false" outlineLevel="0" collapsed="false">
      <c r="A1503" s="2" t="n">
        <v>1495</v>
      </c>
      <c r="B1503" s="53" t="n">
        <f aca="true">NORMINV(RAND(),0,B$7)</f>
        <v>1.25708429736875</v>
      </c>
      <c r="C1503" s="53" t="n">
        <f aca="true">NORMINV(RAND(),0,C$7)</f>
        <v>1.77506334463595</v>
      </c>
      <c r="D1503" s="53" t="n">
        <f aca="true">NORMINV(RAND(),0,D$7)</f>
        <v>5.79545498230575</v>
      </c>
      <c r="E1503" s="53" t="n">
        <f aca="true">NORMINV(RAND(),0,E$7)</f>
        <v>-0.142739097487726</v>
      </c>
      <c r="F1503" s="53" t="n">
        <f aca="true">NORMINV(RAND(),0,F$7)</f>
        <v>-0.0456791765283676</v>
      </c>
      <c r="G1503" s="53" t="n">
        <f aca="true">NORMINV(RAND(),0,G$7)</f>
        <v>-0.539777303642384</v>
      </c>
      <c r="H1503" s="53" t="n">
        <f aca="true">NORMINV(RAND(),0,H$7)</f>
        <v>0.142744379987892</v>
      </c>
      <c r="I1503" s="53" t="n">
        <f aca="false">SUM(B1503:H1503)</f>
        <v>8.24215142663987</v>
      </c>
      <c r="J1503" s="53" t="n">
        <f aca="true">NORMINV(RAND(),0,J$7)</f>
        <v>-3.88291493056919</v>
      </c>
      <c r="K1503" s="53" t="n">
        <f aca="true">NORMINV(RAND(),0,K$7)</f>
        <v>-0.0771570373278944</v>
      </c>
      <c r="L1503" s="53" t="n">
        <f aca="true">NORMINV(RAND(),0,L$7)</f>
        <v>0.46334818165479</v>
      </c>
      <c r="M1503" s="53" t="n">
        <f aca="true">NORMINV(RAND(),0,M$7)</f>
        <v>0.0657997274071036</v>
      </c>
      <c r="N1503" s="53" t="n">
        <f aca="true">NORMINV(RAND(),0,N$7)</f>
        <v>0.215199010030045</v>
      </c>
      <c r="O1503" s="53" t="n">
        <f aca="false">SUM(J1503:N1503)</f>
        <v>-3.21572504880515</v>
      </c>
    </row>
    <row r="1504" customFormat="false" ht="15" hidden="false" customHeight="false" outlineLevel="0" collapsed="false">
      <c r="A1504" s="2" t="n">
        <v>1496</v>
      </c>
      <c r="B1504" s="53" t="n">
        <f aca="true">NORMINV(RAND(),0,B$7)</f>
        <v>-3.63030828980221</v>
      </c>
      <c r="C1504" s="53" t="n">
        <f aca="true">NORMINV(RAND(),0,C$7)</f>
        <v>-0.882770697781951</v>
      </c>
      <c r="D1504" s="53" t="n">
        <f aca="true">NORMINV(RAND(),0,D$7)</f>
        <v>1.96587050782331</v>
      </c>
      <c r="E1504" s="53" t="n">
        <f aca="true">NORMINV(RAND(),0,E$7)</f>
        <v>0.271734331331198</v>
      </c>
      <c r="F1504" s="53" t="n">
        <f aca="true">NORMINV(RAND(),0,F$7)</f>
        <v>0.169985717197848</v>
      </c>
      <c r="G1504" s="53" t="n">
        <f aca="true">NORMINV(RAND(),0,G$7)</f>
        <v>-0.147862712302842</v>
      </c>
      <c r="H1504" s="53" t="n">
        <f aca="true">NORMINV(RAND(),0,H$7)</f>
        <v>0.195604141160606</v>
      </c>
      <c r="I1504" s="53" t="n">
        <f aca="false">SUM(B1504:H1504)</f>
        <v>-2.05774700237404</v>
      </c>
      <c r="J1504" s="53" t="n">
        <f aca="true">NORMINV(RAND(),0,J$7)</f>
        <v>-0.520010354839867</v>
      </c>
      <c r="K1504" s="53" t="n">
        <f aca="true">NORMINV(RAND(),0,K$7)</f>
        <v>-0.497164277795203</v>
      </c>
      <c r="L1504" s="53" t="n">
        <f aca="true">NORMINV(RAND(),0,L$7)</f>
        <v>-0.67221834838361</v>
      </c>
      <c r="M1504" s="53" t="n">
        <f aca="true">NORMINV(RAND(),0,M$7)</f>
        <v>0.152475830560321</v>
      </c>
      <c r="N1504" s="53" t="n">
        <f aca="true">NORMINV(RAND(),0,N$7)</f>
        <v>-0.411605012753037</v>
      </c>
      <c r="O1504" s="53" t="n">
        <f aca="false">SUM(J1504:N1504)</f>
        <v>-1.9485221632114</v>
      </c>
    </row>
    <row r="1505" customFormat="false" ht="15" hidden="false" customHeight="false" outlineLevel="0" collapsed="false">
      <c r="A1505" s="2" t="n">
        <v>1497</v>
      </c>
      <c r="B1505" s="53" t="n">
        <f aca="true">NORMINV(RAND(),0,B$7)</f>
        <v>2.02091051451492</v>
      </c>
      <c r="C1505" s="53" t="n">
        <f aca="true">NORMINV(RAND(),0,C$7)</f>
        <v>-0.535020150281892</v>
      </c>
      <c r="D1505" s="53" t="n">
        <f aca="true">NORMINV(RAND(),0,D$7)</f>
        <v>1.08243851379609</v>
      </c>
      <c r="E1505" s="53" t="n">
        <f aca="true">NORMINV(RAND(),0,E$7)</f>
        <v>0.336696282848315</v>
      </c>
      <c r="F1505" s="53" t="n">
        <f aca="true">NORMINV(RAND(),0,F$7)</f>
        <v>0.946579036384902</v>
      </c>
      <c r="G1505" s="53" t="n">
        <f aca="true">NORMINV(RAND(),0,G$7)</f>
        <v>-1.29694571608833</v>
      </c>
      <c r="H1505" s="53" t="n">
        <f aca="true">NORMINV(RAND(),0,H$7)</f>
        <v>0.22694924486451</v>
      </c>
      <c r="I1505" s="53" t="n">
        <f aca="false">SUM(B1505:H1505)</f>
        <v>2.78160772603852</v>
      </c>
      <c r="J1505" s="53" t="n">
        <f aca="true">NORMINV(RAND(),0,J$7)</f>
        <v>0.162143725096657</v>
      </c>
      <c r="K1505" s="53" t="n">
        <f aca="true">NORMINV(RAND(),0,K$7)</f>
        <v>-0.994705875135262</v>
      </c>
      <c r="L1505" s="53" t="n">
        <f aca="true">NORMINV(RAND(),0,L$7)</f>
        <v>0.180705901488461</v>
      </c>
      <c r="M1505" s="53" t="n">
        <f aca="true">NORMINV(RAND(),0,M$7)</f>
        <v>-0.141042160767078</v>
      </c>
      <c r="N1505" s="53" t="n">
        <f aca="true">NORMINV(RAND(),0,N$7)</f>
        <v>0.12765022723909</v>
      </c>
      <c r="O1505" s="53" t="n">
        <f aca="false">SUM(J1505:N1505)</f>
        <v>-0.665248182078132</v>
      </c>
    </row>
    <row r="1506" customFormat="false" ht="15" hidden="false" customHeight="false" outlineLevel="0" collapsed="false">
      <c r="A1506" s="2" t="n">
        <v>1498</v>
      </c>
      <c r="B1506" s="53" t="n">
        <f aca="true">NORMINV(RAND(),0,B$7)</f>
        <v>0.115801432109968</v>
      </c>
      <c r="C1506" s="53" t="n">
        <f aca="true">NORMINV(RAND(),0,C$7)</f>
        <v>1.12221641335032</v>
      </c>
      <c r="D1506" s="53" t="n">
        <f aca="true">NORMINV(RAND(),0,D$7)</f>
        <v>1.77022903109249</v>
      </c>
      <c r="E1506" s="53" t="n">
        <f aca="true">NORMINV(RAND(),0,E$7)</f>
        <v>0.340050976356296</v>
      </c>
      <c r="F1506" s="53" t="n">
        <f aca="true">NORMINV(RAND(),0,F$7)</f>
        <v>-0.492017276156743</v>
      </c>
      <c r="G1506" s="53" t="n">
        <f aca="true">NORMINV(RAND(),0,G$7)</f>
        <v>0.978800885310335</v>
      </c>
      <c r="H1506" s="53" t="n">
        <f aca="true">NORMINV(RAND(),0,H$7)</f>
        <v>-0.0410613640716241</v>
      </c>
      <c r="I1506" s="53" t="n">
        <f aca="false">SUM(B1506:H1506)</f>
        <v>3.79402009799104</v>
      </c>
      <c r="J1506" s="53" t="n">
        <f aca="true">NORMINV(RAND(),0,J$7)</f>
        <v>-0.0997286107893492</v>
      </c>
      <c r="K1506" s="53" t="n">
        <f aca="true">NORMINV(RAND(),0,K$7)</f>
        <v>0.910502205490491</v>
      </c>
      <c r="L1506" s="53" t="n">
        <f aca="true">NORMINV(RAND(),0,L$7)</f>
        <v>-0.0138369503460387</v>
      </c>
      <c r="M1506" s="53" t="n">
        <f aca="true">NORMINV(RAND(),0,M$7)</f>
        <v>-0.0731558037516823</v>
      </c>
      <c r="N1506" s="53" t="n">
        <f aca="true">NORMINV(RAND(),0,N$7)</f>
        <v>-0.482031371218495</v>
      </c>
      <c r="O1506" s="53" t="n">
        <f aca="false">SUM(J1506:N1506)</f>
        <v>0.241749469384925</v>
      </c>
    </row>
    <row r="1507" customFormat="false" ht="15" hidden="false" customHeight="false" outlineLevel="0" collapsed="false">
      <c r="A1507" s="2" t="n">
        <v>1499</v>
      </c>
      <c r="B1507" s="53" t="n">
        <f aca="true">NORMINV(RAND(),0,B$7)</f>
        <v>1.32698791734427</v>
      </c>
      <c r="C1507" s="53" t="n">
        <f aca="true">NORMINV(RAND(),0,C$7)</f>
        <v>-1.95522766871204</v>
      </c>
      <c r="D1507" s="53" t="n">
        <f aca="true">NORMINV(RAND(),0,D$7)</f>
        <v>0.681974540860207</v>
      </c>
      <c r="E1507" s="53" t="n">
        <f aca="true">NORMINV(RAND(),0,E$7)</f>
        <v>0.18502439686066</v>
      </c>
      <c r="F1507" s="53" t="n">
        <f aca="true">NORMINV(RAND(),0,F$7)</f>
        <v>-0.344127991696141</v>
      </c>
      <c r="G1507" s="53" t="n">
        <f aca="true">NORMINV(RAND(),0,G$7)</f>
        <v>-0.286447681576864</v>
      </c>
      <c r="H1507" s="53" t="n">
        <f aca="true">NORMINV(RAND(),0,H$7)</f>
        <v>-0.447808313846596</v>
      </c>
      <c r="I1507" s="53" t="n">
        <f aca="false">SUM(B1507:H1507)</f>
        <v>-0.839624800766509</v>
      </c>
      <c r="J1507" s="53" t="n">
        <f aca="true">NORMINV(RAND(),0,J$7)</f>
        <v>1.65791195945325</v>
      </c>
      <c r="K1507" s="53" t="n">
        <f aca="true">NORMINV(RAND(),0,K$7)</f>
        <v>-0.0880548192968624</v>
      </c>
      <c r="L1507" s="53" t="n">
        <f aca="true">NORMINV(RAND(),0,L$7)</f>
        <v>0.369811723900767</v>
      </c>
      <c r="M1507" s="53" t="n">
        <f aca="true">NORMINV(RAND(),0,M$7)</f>
        <v>-0.188319647298845</v>
      </c>
      <c r="N1507" s="53" t="n">
        <f aca="true">NORMINV(RAND(),0,N$7)</f>
        <v>0.510187328357253</v>
      </c>
      <c r="O1507" s="53" t="n">
        <f aca="false">SUM(J1507:N1507)</f>
        <v>2.26153654511557</v>
      </c>
    </row>
    <row r="1508" customFormat="false" ht="15" hidden="false" customHeight="false" outlineLevel="0" collapsed="false">
      <c r="A1508" s="2" t="n">
        <v>1500</v>
      </c>
      <c r="B1508" s="53" t="n">
        <f aca="true">NORMINV(RAND(),0,B$7)</f>
        <v>1.22065938516317</v>
      </c>
      <c r="C1508" s="53" t="n">
        <f aca="true">NORMINV(RAND(),0,C$7)</f>
        <v>-0.509959424617737</v>
      </c>
      <c r="D1508" s="53" t="n">
        <f aca="true">NORMINV(RAND(),0,D$7)</f>
        <v>0.793807539221898</v>
      </c>
      <c r="E1508" s="53" t="n">
        <f aca="true">NORMINV(RAND(),0,E$7)</f>
        <v>-0.156917375505342</v>
      </c>
      <c r="F1508" s="53" t="n">
        <f aca="true">NORMINV(RAND(),0,F$7)</f>
        <v>0.0423622501444887</v>
      </c>
      <c r="G1508" s="53" t="n">
        <f aca="true">NORMINV(RAND(),0,G$7)</f>
        <v>-0.868621984477722</v>
      </c>
      <c r="H1508" s="53" t="n">
        <f aca="true">NORMINV(RAND(),0,H$7)</f>
        <v>-0.739371674094723</v>
      </c>
      <c r="I1508" s="53" t="n">
        <f aca="false">SUM(B1508:H1508)</f>
        <v>-0.218041284165964</v>
      </c>
      <c r="J1508" s="53" t="n">
        <f aca="true">NORMINV(RAND(),0,J$7)</f>
        <v>0.33104510842864</v>
      </c>
      <c r="K1508" s="53" t="n">
        <f aca="true">NORMINV(RAND(),0,K$7)</f>
        <v>-0.138539123604274</v>
      </c>
      <c r="L1508" s="53" t="n">
        <f aca="true">NORMINV(RAND(),0,L$7)</f>
        <v>0.0550776089904856</v>
      </c>
      <c r="M1508" s="53" t="n">
        <f aca="true">NORMINV(RAND(),0,M$7)</f>
        <v>-0.110477689858434</v>
      </c>
      <c r="N1508" s="53" t="n">
        <f aca="true">NORMINV(RAND(),0,N$7)</f>
        <v>0.299946548271561</v>
      </c>
      <c r="O1508" s="53" t="n">
        <f aca="false">SUM(J1508:N1508)</f>
        <v>0.437052452227979</v>
      </c>
    </row>
    <row r="1509" customFormat="false" ht="15" hidden="false" customHeight="false" outlineLevel="0" collapsed="false">
      <c r="A1509" s="2" t="n">
        <v>1501</v>
      </c>
      <c r="B1509" s="53" t="n">
        <f aca="true">NORMINV(RAND(),0,B$7)</f>
        <v>2.02334714185594</v>
      </c>
      <c r="C1509" s="53" t="n">
        <f aca="true">NORMINV(RAND(),0,C$7)</f>
        <v>-0.626969040483651</v>
      </c>
      <c r="D1509" s="53" t="n">
        <f aca="true">NORMINV(RAND(),0,D$7)</f>
        <v>-2.08274862690912</v>
      </c>
      <c r="E1509" s="53" t="n">
        <f aca="true">NORMINV(RAND(),0,E$7)</f>
        <v>-0.622428045385288</v>
      </c>
      <c r="F1509" s="53" t="n">
        <f aca="true">NORMINV(RAND(),0,F$7)</f>
        <v>-0.613146443584394</v>
      </c>
      <c r="G1509" s="53" t="n">
        <f aca="true">NORMINV(RAND(),0,G$7)</f>
        <v>1.3222010541638</v>
      </c>
      <c r="H1509" s="53" t="n">
        <f aca="true">NORMINV(RAND(),0,H$7)</f>
        <v>-0.267476099085173</v>
      </c>
      <c r="I1509" s="53" t="n">
        <f aca="false">SUM(B1509:H1509)</f>
        <v>-0.867220059427887</v>
      </c>
      <c r="J1509" s="53" t="n">
        <f aca="true">NORMINV(RAND(),0,J$7)</f>
        <v>1.68571086366206</v>
      </c>
      <c r="K1509" s="53" t="n">
        <f aca="true">NORMINV(RAND(),0,K$7)</f>
        <v>0.725060727889086</v>
      </c>
      <c r="L1509" s="53" t="n">
        <f aca="true">NORMINV(RAND(),0,L$7)</f>
        <v>-0.217218445750191</v>
      </c>
      <c r="M1509" s="53" t="n">
        <f aca="true">NORMINV(RAND(),0,M$7)</f>
        <v>-0.0797641972081187</v>
      </c>
      <c r="N1509" s="53" t="n">
        <f aca="true">NORMINV(RAND(),0,N$7)</f>
        <v>-0.102618390867177</v>
      </c>
      <c r="O1509" s="53" t="n">
        <f aca="false">SUM(J1509:N1509)</f>
        <v>2.01117055772566</v>
      </c>
    </row>
    <row r="1510" customFormat="false" ht="15" hidden="false" customHeight="false" outlineLevel="0" collapsed="false">
      <c r="A1510" s="2" t="n">
        <v>1502</v>
      </c>
      <c r="B1510" s="53" t="n">
        <f aca="true">NORMINV(RAND(),0,B$7)</f>
        <v>-0.23130460008726</v>
      </c>
      <c r="C1510" s="53" t="n">
        <f aca="true">NORMINV(RAND(),0,C$7)</f>
        <v>0.217693494438695</v>
      </c>
      <c r="D1510" s="53" t="n">
        <f aca="true">NORMINV(RAND(),0,D$7)</f>
        <v>0.965861003407048</v>
      </c>
      <c r="E1510" s="53" t="n">
        <f aca="true">NORMINV(RAND(),0,E$7)</f>
        <v>-0.788073576520331</v>
      </c>
      <c r="F1510" s="53" t="n">
        <f aca="true">NORMINV(RAND(),0,F$7)</f>
        <v>0.0781137625178893</v>
      </c>
      <c r="G1510" s="53" t="n">
        <f aca="true">NORMINV(RAND(),0,G$7)</f>
        <v>-0.323084614307132</v>
      </c>
      <c r="H1510" s="53" t="n">
        <f aca="true">NORMINV(RAND(),0,H$7)</f>
        <v>-0.0370378123381176</v>
      </c>
      <c r="I1510" s="53" t="n">
        <f aca="false">SUM(B1510:H1510)</f>
        <v>-0.117832342889207</v>
      </c>
      <c r="J1510" s="53" t="n">
        <f aca="true">NORMINV(RAND(),0,J$7)</f>
        <v>-0.951854339428057</v>
      </c>
      <c r="K1510" s="53" t="n">
        <f aca="true">NORMINV(RAND(),0,K$7)</f>
        <v>-0.138453453709183</v>
      </c>
      <c r="L1510" s="53" t="n">
        <f aca="true">NORMINV(RAND(),0,L$7)</f>
        <v>-0.651881127880204</v>
      </c>
      <c r="M1510" s="53" t="n">
        <f aca="true">NORMINV(RAND(),0,M$7)</f>
        <v>-0.0818150400737275</v>
      </c>
      <c r="N1510" s="53" t="n">
        <f aca="true">NORMINV(RAND(),0,N$7)</f>
        <v>0.290778157810994</v>
      </c>
      <c r="O1510" s="53" t="n">
        <f aca="false">SUM(J1510:N1510)</f>
        <v>-1.53322580328018</v>
      </c>
    </row>
    <row r="1511" customFormat="false" ht="15" hidden="false" customHeight="false" outlineLevel="0" collapsed="false">
      <c r="A1511" s="2" t="n">
        <v>1503</v>
      </c>
      <c r="B1511" s="53" t="n">
        <f aca="true">NORMINV(RAND(),0,B$7)</f>
        <v>2.69906334232502</v>
      </c>
      <c r="C1511" s="53" t="n">
        <f aca="true">NORMINV(RAND(),0,C$7)</f>
        <v>3.16377774124094</v>
      </c>
      <c r="D1511" s="53" t="n">
        <f aca="true">NORMINV(RAND(),0,D$7)</f>
        <v>-0.507586966235775</v>
      </c>
      <c r="E1511" s="53" t="n">
        <f aca="true">NORMINV(RAND(),0,E$7)</f>
        <v>-0.315695350527411</v>
      </c>
      <c r="F1511" s="53" t="n">
        <f aca="true">NORMINV(RAND(),0,F$7)</f>
        <v>0.185322402656146</v>
      </c>
      <c r="G1511" s="53" t="n">
        <f aca="true">NORMINV(RAND(),0,G$7)</f>
        <v>0.784423096149352</v>
      </c>
      <c r="H1511" s="53" t="n">
        <f aca="true">NORMINV(RAND(),0,H$7)</f>
        <v>0.406085234050979</v>
      </c>
      <c r="I1511" s="53" t="n">
        <f aca="false">SUM(B1511:H1511)</f>
        <v>6.41538949965925</v>
      </c>
      <c r="J1511" s="53" t="n">
        <f aca="true">NORMINV(RAND(),0,J$7)</f>
        <v>5.11646854250649</v>
      </c>
      <c r="K1511" s="53" t="n">
        <f aca="true">NORMINV(RAND(),0,K$7)</f>
        <v>0.148120543552158</v>
      </c>
      <c r="L1511" s="53" t="n">
        <f aca="true">NORMINV(RAND(),0,L$7)</f>
        <v>0.037496757737369</v>
      </c>
      <c r="M1511" s="53" t="n">
        <f aca="true">NORMINV(RAND(),0,M$7)</f>
        <v>-0.0901858437860866</v>
      </c>
      <c r="N1511" s="53" t="n">
        <f aca="true">NORMINV(RAND(),0,N$7)</f>
        <v>-0.097160900833535</v>
      </c>
      <c r="O1511" s="53" t="n">
        <f aca="false">SUM(J1511:N1511)</f>
        <v>5.11473909917639</v>
      </c>
    </row>
    <row r="1512" customFormat="false" ht="15" hidden="false" customHeight="false" outlineLevel="0" collapsed="false">
      <c r="A1512" s="2" t="n">
        <v>1504</v>
      </c>
      <c r="B1512" s="53" t="n">
        <f aca="true">NORMINV(RAND(),0,B$7)</f>
        <v>3.2574634310187</v>
      </c>
      <c r="C1512" s="53" t="n">
        <f aca="true">NORMINV(RAND(),0,C$7)</f>
        <v>-0.288573835722423</v>
      </c>
      <c r="D1512" s="53" t="n">
        <f aca="true">NORMINV(RAND(),0,D$7)</f>
        <v>0.827276387688</v>
      </c>
      <c r="E1512" s="53" t="n">
        <f aca="true">NORMINV(RAND(),0,E$7)</f>
        <v>0.162421352150613</v>
      </c>
      <c r="F1512" s="53" t="n">
        <f aca="true">NORMINV(RAND(),0,F$7)</f>
        <v>0.116022811130126</v>
      </c>
      <c r="G1512" s="53" t="n">
        <f aca="true">NORMINV(RAND(),0,G$7)</f>
        <v>-0.126268372089657</v>
      </c>
      <c r="H1512" s="53" t="n">
        <f aca="true">NORMINV(RAND(),0,H$7)</f>
        <v>-0.40523581167342</v>
      </c>
      <c r="I1512" s="53" t="n">
        <f aca="false">SUM(B1512:H1512)</f>
        <v>3.54310596250194</v>
      </c>
      <c r="J1512" s="53" t="n">
        <f aca="true">NORMINV(RAND(),0,J$7)</f>
        <v>3.67289675857271</v>
      </c>
      <c r="K1512" s="53" t="n">
        <f aca="true">NORMINV(RAND(),0,K$7)</f>
        <v>-0.384174226776577</v>
      </c>
      <c r="L1512" s="53" t="n">
        <f aca="true">NORMINV(RAND(),0,L$7)</f>
        <v>0.755296312342193</v>
      </c>
      <c r="M1512" s="53" t="n">
        <f aca="true">NORMINV(RAND(),0,M$7)</f>
        <v>0.569362385780353</v>
      </c>
      <c r="N1512" s="53" t="n">
        <f aca="true">NORMINV(RAND(),0,N$7)</f>
        <v>-0.43459344559866</v>
      </c>
      <c r="O1512" s="53" t="n">
        <f aca="false">SUM(J1512:N1512)</f>
        <v>4.17878778432002</v>
      </c>
    </row>
    <row r="1513" customFormat="false" ht="15" hidden="false" customHeight="false" outlineLevel="0" collapsed="false">
      <c r="A1513" s="2" t="n">
        <v>1505</v>
      </c>
      <c r="B1513" s="53" t="n">
        <f aca="true">NORMINV(RAND(),0,B$7)</f>
        <v>2.27389686325753</v>
      </c>
      <c r="C1513" s="53" t="n">
        <f aca="true">NORMINV(RAND(),0,C$7)</f>
        <v>0.88631382734527</v>
      </c>
      <c r="D1513" s="53" t="n">
        <f aca="true">NORMINV(RAND(),0,D$7)</f>
        <v>-1.17124682362342</v>
      </c>
      <c r="E1513" s="53" t="n">
        <f aca="true">NORMINV(RAND(),0,E$7)</f>
        <v>-0.341753659567457</v>
      </c>
      <c r="F1513" s="53" t="n">
        <f aca="true">NORMINV(RAND(),0,F$7)</f>
        <v>-0.0265655668558929</v>
      </c>
      <c r="G1513" s="53" t="n">
        <f aca="true">NORMINV(RAND(),0,G$7)</f>
        <v>-0.676797860572199</v>
      </c>
      <c r="H1513" s="53" t="n">
        <f aca="true">NORMINV(RAND(),0,H$7)</f>
        <v>-0.0672446979366996</v>
      </c>
      <c r="I1513" s="53" t="n">
        <f aca="false">SUM(B1513:H1513)</f>
        <v>0.876602082047129</v>
      </c>
      <c r="J1513" s="53" t="n">
        <f aca="true">NORMINV(RAND(),0,J$7)</f>
        <v>3.48621937002936</v>
      </c>
      <c r="K1513" s="53" t="n">
        <f aca="true">NORMINV(RAND(),0,K$7)</f>
        <v>0.971831439135707</v>
      </c>
      <c r="L1513" s="53" t="n">
        <f aca="true">NORMINV(RAND(),0,L$7)</f>
        <v>0.220642157438548</v>
      </c>
      <c r="M1513" s="53" t="n">
        <f aca="true">NORMINV(RAND(),0,M$7)</f>
        <v>0.381156439758911</v>
      </c>
      <c r="N1513" s="53" t="n">
        <f aca="true">NORMINV(RAND(),0,N$7)</f>
        <v>0.556566091223855</v>
      </c>
      <c r="O1513" s="53" t="n">
        <f aca="false">SUM(J1513:N1513)</f>
        <v>5.61641549758638</v>
      </c>
    </row>
    <row r="1514" customFormat="false" ht="15" hidden="false" customHeight="false" outlineLevel="0" collapsed="false">
      <c r="A1514" s="2" t="n">
        <v>1506</v>
      </c>
      <c r="B1514" s="53" t="n">
        <f aca="true">NORMINV(RAND(),0,B$7)</f>
        <v>-0.441116100087802</v>
      </c>
      <c r="C1514" s="53" t="n">
        <f aca="true">NORMINV(RAND(),0,C$7)</f>
        <v>2.78452571570877</v>
      </c>
      <c r="D1514" s="53" t="n">
        <f aca="true">NORMINV(RAND(),0,D$7)</f>
        <v>-1.49020410157911</v>
      </c>
      <c r="E1514" s="53" t="n">
        <f aca="true">NORMINV(RAND(),0,E$7)</f>
        <v>-0.0318921655336143</v>
      </c>
      <c r="F1514" s="53" t="n">
        <f aca="true">NORMINV(RAND(),0,F$7)</f>
        <v>-0.530745111754208</v>
      </c>
      <c r="G1514" s="53" t="n">
        <f aca="true">NORMINV(RAND(),0,G$7)</f>
        <v>1.96811011679581</v>
      </c>
      <c r="H1514" s="53" t="n">
        <f aca="true">NORMINV(RAND(),0,H$7)</f>
        <v>0.36445874098967</v>
      </c>
      <c r="I1514" s="53" t="n">
        <f aca="false">SUM(B1514:H1514)</f>
        <v>2.62313709453951</v>
      </c>
      <c r="J1514" s="53" t="n">
        <f aca="true">NORMINV(RAND(),0,J$7)</f>
        <v>-3.07464736236585</v>
      </c>
      <c r="K1514" s="53" t="n">
        <f aca="true">NORMINV(RAND(),0,K$7)</f>
        <v>-1.10573675252003</v>
      </c>
      <c r="L1514" s="53" t="n">
        <f aca="true">NORMINV(RAND(),0,L$7)</f>
        <v>0.596947509820938</v>
      </c>
      <c r="M1514" s="53" t="n">
        <f aca="true">NORMINV(RAND(),0,M$7)</f>
        <v>0.0686316787479538</v>
      </c>
      <c r="N1514" s="53" t="n">
        <f aca="true">NORMINV(RAND(),0,N$7)</f>
        <v>0.382058047616016</v>
      </c>
      <c r="O1514" s="53" t="n">
        <f aca="false">SUM(J1514:N1514)</f>
        <v>-3.13274687870098</v>
      </c>
    </row>
    <row r="1515" customFormat="false" ht="15" hidden="false" customHeight="false" outlineLevel="0" collapsed="false">
      <c r="A1515" s="2" t="n">
        <v>1507</v>
      </c>
      <c r="B1515" s="53" t="n">
        <f aca="true">NORMINV(RAND(),0,B$7)</f>
        <v>0.122266578840571</v>
      </c>
      <c r="C1515" s="53" t="n">
        <f aca="true">NORMINV(RAND(),0,C$7)</f>
        <v>2.72313334603301</v>
      </c>
      <c r="D1515" s="53" t="n">
        <f aca="true">NORMINV(RAND(),0,D$7)</f>
        <v>0.609221592120968</v>
      </c>
      <c r="E1515" s="53" t="n">
        <f aca="true">NORMINV(RAND(),0,E$7)</f>
        <v>-0.31631097871858</v>
      </c>
      <c r="F1515" s="53" t="n">
        <f aca="true">NORMINV(RAND(),0,F$7)</f>
        <v>-0.434416530838553</v>
      </c>
      <c r="G1515" s="53" t="n">
        <f aca="true">NORMINV(RAND(),0,G$7)</f>
        <v>2.1844647189502</v>
      </c>
      <c r="H1515" s="53" t="n">
        <f aca="true">NORMINV(RAND(),0,H$7)</f>
        <v>-0.022917779344017</v>
      </c>
      <c r="I1515" s="53" t="n">
        <f aca="false">SUM(B1515:H1515)</f>
        <v>4.8654409470436</v>
      </c>
      <c r="J1515" s="53" t="n">
        <f aca="true">NORMINV(RAND(),0,J$7)</f>
        <v>0.0250410648315989</v>
      </c>
      <c r="K1515" s="53" t="n">
        <f aca="true">NORMINV(RAND(),0,K$7)</f>
        <v>0.464264425250607</v>
      </c>
      <c r="L1515" s="53" t="n">
        <f aca="true">NORMINV(RAND(),0,L$7)</f>
        <v>-0.502096178401509</v>
      </c>
      <c r="M1515" s="53" t="n">
        <f aca="true">NORMINV(RAND(),0,M$7)</f>
        <v>-0.000222086907188798</v>
      </c>
      <c r="N1515" s="53" t="n">
        <f aca="true">NORMINV(RAND(),0,N$7)</f>
        <v>0.0351883087017117</v>
      </c>
      <c r="O1515" s="53" t="n">
        <f aca="false">SUM(J1515:N1515)</f>
        <v>0.0221755334752198</v>
      </c>
    </row>
    <row r="1516" customFormat="false" ht="15" hidden="false" customHeight="false" outlineLevel="0" collapsed="false">
      <c r="A1516" s="2" t="n">
        <v>1508</v>
      </c>
      <c r="B1516" s="53" t="n">
        <f aca="true">NORMINV(RAND(),0,B$7)</f>
        <v>4.32316632951625</v>
      </c>
      <c r="C1516" s="53" t="n">
        <f aca="true">NORMINV(RAND(),0,C$7)</f>
        <v>-0.114773291325026</v>
      </c>
      <c r="D1516" s="53" t="n">
        <f aca="true">NORMINV(RAND(),0,D$7)</f>
        <v>-4.98120437368465</v>
      </c>
      <c r="E1516" s="53" t="n">
        <f aca="true">NORMINV(RAND(),0,E$7)</f>
        <v>-0.0619934744828061</v>
      </c>
      <c r="F1516" s="53" t="n">
        <f aca="true">NORMINV(RAND(),0,F$7)</f>
        <v>0.0920032052768384</v>
      </c>
      <c r="G1516" s="53" t="n">
        <f aca="true">NORMINV(RAND(),0,G$7)</f>
        <v>0.626449452055092</v>
      </c>
      <c r="H1516" s="53" t="n">
        <f aca="true">NORMINV(RAND(),0,H$7)</f>
        <v>-0.632401599991937</v>
      </c>
      <c r="I1516" s="53" t="n">
        <f aca="false">SUM(B1516:H1516)</f>
        <v>-0.74875375263623</v>
      </c>
      <c r="J1516" s="53" t="n">
        <f aca="true">NORMINV(RAND(),0,J$7)</f>
        <v>-0.769446605332769</v>
      </c>
      <c r="K1516" s="53" t="n">
        <f aca="true">NORMINV(RAND(),0,K$7)</f>
        <v>0.454037616764925</v>
      </c>
      <c r="L1516" s="53" t="n">
        <f aca="true">NORMINV(RAND(),0,L$7)</f>
        <v>-0.0294635120782398</v>
      </c>
      <c r="M1516" s="53" t="n">
        <f aca="true">NORMINV(RAND(),0,M$7)</f>
        <v>0.0337558439332294</v>
      </c>
      <c r="N1516" s="53" t="n">
        <f aca="true">NORMINV(RAND(),0,N$7)</f>
        <v>-0.190756004123933</v>
      </c>
      <c r="O1516" s="53" t="n">
        <f aca="false">SUM(J1516:N1516)</f>
        <v>-0.501872660836788</v>
      </c>
    </row>
    <row r="1517" customFormat="false" ht="15" hidden="false" customHeight="false" outlineLevel="0" collapsed="false">
      <c r="A1517" s="2" t="n">
        <v>1509</v>
      </c>
      <c r="B1517" s="53" t="n">
        <f aca="true">NORMINV(RAND(),0,B$7)</f>
        <v>-0.276173106982166</v>
      </c>
      <c r="C1517" s="53" t="n">
        <f aca="true">NORMINV(RAND(),0,C$7)</f>
        <v>-0.216025769720333</v>
      </c>
      <c r="D1517" s="53" t="n">
        <f aca="true">NORMINV(RAND(),0,D$7)</f>
        <v>-1.83734402201313</v>
      </c>
      <c r="E1517" s="53" t="n">
        <f aca="true">NORMINV(RAND(),0,E$7)</f>
        <v>-0.0452664116679187</v>
      </c>
      <c r="F1517" s="53" t="n">
        <f aca="true">NORMINV(RAND(),0,F$7)</f>
        <v>-0.688204496783229</v>
      </c>
      <c r="G1517" s="53" t="n">
        <f aca="true">NORMINV(RAND(),0,G$7)</f>
        <v>1.78106827721654</v>
      </c>
      <c r="H1517" s="53" t="n">
        <f aca="true">NORMINV(RAND(),0,H$7)</f>
        <v>-0.0485269069490346</v>
      </c>
      <c r="I1517" s="53" t="n">
        <f aca="false">SUM(B1517:H1517)</f>
        <v>-1.33047243689928</v>
      </c>
      <c r="J1517" s="53" t="n">
        <f aca="true">NORMINV(RAND(),0,J$7)</f>
        <v>-1.78148239220246</v>
      </c>
      <c r="K1517" s="53" t="n">
        <f aca="true">NORMINV(RAND(),0,K$7)</f>
        <v>-1.29776731374196</v>
      </c>
      <c r="L1517" s="53" t="n">
        <f aca="true">NORMINV(RAND(),0,L$7)</f>
        <v>0.23180458647903</v>
      </c>
      <c r="M1517" s="53" t="n">
        <f aca="true">NORMINV(RAND(),0,M$7)</f>
        <v>0.226792915154877</v>
      </c>
      <c r="N1517" s="53" t="n">
        <f aca="true">NORMINV(RAND(),0,N$7)</f>
        <v>-0.0496991022646853</v>
      </c>
      <c r="O1517" s="53" t="n">
        <f aca="false">SUM(J1517:N1517)</f>
        <v>-2.67035130657519</v>
      </c>
    </row>
    <row r="1518" customFormat="false" ht="15" hidden="false" customHeight="false" outlineLevel="0" collapsed="false">
      <c r="A1518" s="2" t="n">
        <v>1510</v>
      </c>
      <c r="B1518" s="53" t="n">
        <f aca="true">NORMINV(RAND(),0,B$7)</f>
        <v>2.37132395101884</v>
      </c>
      <c r="C1518" s="53" t="n">
        <f aca="true">NORMINV(RAND(),0,C$7)</f>
        <v>-1.18925762520957</v>
      </c>
      <c r="D1518" s="53" t="n">
        <f aca="true">NORMINV(RAND(),0,D$7)</f>
        <v>-0.934394642691597</v>
      </c>
      <c r="E1518" s="53" t="n">
        <f aca="true">NORMINV(RAND(),0,E$7)</f>
        <v>-0.356751762027489</v>
      </c>
      <c r="F1518" s="53" t="n">
        <f aca="true">NORMINV(RAND(),0,F$7)</f>
        <v>0.453308958562261</v>
      </c>
      <c r="G1518" s="53" t="n">
        <f aca="true">NORMINV(RAND(),0,G$7)</f>
        <v>-0.198643740106604</v>
      </c>
      <c r="H1518" s="53" t="n">
        <f aca="true">NORMINV(RAND(),0,H$7)</f>
        <v>-0.483698797453847</v>
      </c>
      <c r="I1518" s="53" t="n">
        <f aca="false">SUM(B1518:H1518)</f>
        <v>-0.338113657908002</v>
      </c>
      <c r="J1518" s="53" t="n">
        <f aca="true">NORMINV(RAND(),0,J$7)</f>
        <v>4.50838416982063</v>
      </c>
      <c r="K1518" s="53" t="n">
        <f aca="true">NORMINV(RAND(),0,K$7)</f>
        <v>-0.892672153653545</v>
      </c>
      <c r="L1518" s="53" t="n">
        <f aca="true">NORMINV(RAND(),0,L$7)</f>
        <v>-0.691378142946444</v>
      </c>
      <c r="M1518" s="53" t="n">
        <f aca="true">NORMINV(RAND(),0,M$7)</f>
        <v>-0.042548804408154</v>
      </c>
      <c r="N1518" s="53" t="n">
        <f aca="true">NORMINV(RAND(),0,N$7)</f>
        <v>-0.18544512761213</v>
      </c>
      <c r="O1518" s="53" t="n">
        <f aca="false">SUM(J1518:N1518)</f>
        <v>2.69633994120036</v>
      </c>
    </row>
    <row r="1519" customFormat="false" ht="15" hidden="false" customHeight="false" outlineLevel="0" collapsed="false">
      <c r="A1519" s="2" t="n">
        <v>1511</v>
      </c>
      <c r="B1519" s="53" t="n">
        <f aca="true">NORMINV(RAND(),0,B$7)</f>
        <v>-2.36067187859693</v>
      </c>
      <c r="C1519" s="53" t="n">
        <f aca="true">NORMINV(RAND(),0,C$7)</f>
        <v>-2.26312001358723</v>
      </c>
      <c r="D1519" s="53" t="n">
        <f aca="true">NORMINV(RAND(),0,D$7)</f>
        <v>3.53580008353635</v>
      </c>
      <c r="E1519" s="53" t="n">
        <f aca="true">NORMINV(RAND(),0,E$7)</f>
        <v>-0.111952917032336</v>
      </c>
      <c r="F1519" s="53" t="n">
        <f aca="true">NORMINV(RAND(),0,F$7)</f>
        <v>0.0429219568791253</v>
      </c>
      <c r="G1519" s="53" t="n">
        <f aca="true">NORMINV(RAND(),0,G$7)</f>
        <v>-0.752439217559944</v>
      </c>
      <c r="H1519" s="53" t="n">
        <f aca="true">NORMINV(RAND(),0,H$7)</f>
        <v>-0.218401466643451</v>
      </c>
      <c r="I1519" s="53" t="n">
        <f aca="false">SUM(B1519:H1519)</f>
        <v>-2.12786345300442</v>
      </c>
      <c r="J1519" s="53" t="n">
        <f aca="true">NORMINV(RAND(),0,J$7)</f>
        <v>0.37112472405234</v>
      </c>
      <c r="K1519" s="53" t="n">
        <f aca="true">NORMINV(RAND(),0,K$7)</f>
        <v>0.590297447323751</v>
      </c>
      <c r="L1519" s="53" t="n">
        <f aca="true">NORMINV(RAND(),0,L$7)</f>
        <v>0.0393240959814774</v>
      </c>
      <c r="M1519" s="53" t="n">
        <f aca="true">NORMINV(RAND(),0,M$7)</f>
        <v>0.223038317354738</v>
      </c>
      <c r="N1519" s="53" t="n">
        <f aca="true">NORMINV(RAND(),0,N$7)</f>
        <v>-0.161874770162266</v>
      </c>
      <c r="O1519" s="53" t="n">
        <f aca="false">SUM(J1519:N1519)</f>
        <v>1.06190981455004</v>
      </c>
    </row>
    <row r="1520" customFormat="false" ht="15" hidden="false" customHeight="false" outlineLevel="0" collapsed="false">
      <c r="A1520" s="2" t="n">
        <v>1512</v>
      </c>
      <c r="B1520" s="53" t="n">
        <f aca="true">NORMINV(RAND(),0,B$7)</f>
        <v>0.324006648900573</v>
      </c>
      <c r="C1520" s="53" t="n">
        <f aca="true">NORMINV(RAND(),0,C$7)</f>
        <v>3.05829026766261</v>
      </c>
      <c r="D1520" s="53" t="n">
        <f aca="true">NORMINV(RAND(),0,D$7)</f>
        <v>5.84314143307135</v>
      </c>
      <c r="E1520" s="53" t="n">
        <f aca="true">NORMINV(RAND(),0,E$7)</f>
        <v>0.28207435315597</v>
      </c>
      <c r="F1520" s="53" t="n">
        <f aca="true">NORMINV(RAND(),0,F$7)</f>
        <v>-0.200578789556861</v>
      </c>
      <c r="G1520" s="53" t="n">
        <f aca="true">NORMINV(RAND(),0,G$7)</f>
        <v>-0.441604476861071</v>
      </c>
      <c r="H1520" s="53" t="n">
        <f aca="true">NORMINV(RAND(),0,H$7)</f>
        <v>0.301187438523755</v>
      </c>
      <c r="I1520" s="53" t="n">
        <f aca="false">SUM(B1520:H1520)</f>
        <v>9.16651687489633</v>
      </c>
      <c r="J1520" s="53" t="n">
        <f aca="true">NORMINV(RAND(),0,J$7)</f>
        <v>-0.646706543918679</v>
      </c>
      <c r="K1520" s="53" t="n">
        <f aca="true">NORMINV(RAND(),0,K$7)</f>
        <v>-0.46091658788944</v>
      </c>
      <c r="L1520" s="53" t="n">
        <f aca="true">NORMINV(RAND(),0,L$7)</f>
        <v>-0.575349374944857</v>
      </c>
      <c r="M1520" s="53" t="n">
        <f aca="true">NORMINV(RAND(),0,M$7)</f>
        <v>0.471973532627472</v>
      </c>
      <c r="N1520" s="53" t="n">
        <f aca="true">NORMINV(RAND(),0,N$7)</f>
        <v>0.503778932896727</v>
      </c>
      <c r="O1520" s="53" t="n">
        <f aca="false">SUM(J1520:N1520)</f>
        <v>-0.707220041228777</v>
      </c>
    </row>
    <row r="1521" customFormat="false" ht="15" hidden="false" customHeight="false" outlineLevel="0" collapsed="false">
      <c r="A1521" s="2" t="n">
        <v>1513</v>
      </c>
      <c r="B1521" s="53" t="n">
        <f aca="true">NORMINV(RAND(),0,B$7)</f>
        <v>-2.49817604455869</v>
      </c>
      <c r="C1521" s="53" t="n">
        <f aca="true">NORMINV(RAND(),0,C$7)</f>
        <v>-0.461523277277972</v>
      </c>
      <c r="D1521" s="53" t="n">
        <f aca="true">NORMINV(RAND(),0,D$7)</f>
        <v>-0.272566110004702</v>
      </c>
      <c r="E1521" s="53" t="n">
        <f aca="true">NORMINV(RAND(),0,E$7)</f>
        <v>0.152343603832542</v>
      </c>
      <c r="F1521" s="53" t="n">
        <f aca="true">NORMINV(RAND(),0,F$7)</f>
        <v>-0.275439340717027</v>
      </c>
      <c r="G1521" s="53" t="n">
        <f aca="true">NORMINV(RAND(),0,G$7)</f>
        <v>0.275579726278583</v>
      </c>
      <c r="H1521" s="53" t="n">
        <f aca="true">NORMINV(RAND(),0,H$7)</f>
        <v>0.0593261274865576</v>
      </c>
      <c r="I1521" s="53" t="n">
        <f aca="false">SUM(B1521:H1521)</f>
        <v>-3.02045531496071</v>
      </c>
      <c r="J1521" s="53" t="n">
        <f aca="true">NORMINV(RAND(),0,J$7)</f>
        <v>-4.88992014651712</v>
      </c>
      <c r="K1521" s="53" t="n">
        <f aca="true">NORMINV(RAND(),0,K$7)</f>
        <v>0.49192956408032</v>
      </c>
      <c r="L1521" s="53" t="n">
        <f aca="true">NORMINV(RAND(),0,L$7)</f>
        <v>-0.339216979843831</v>
      </c>
      <c r="M1521" s="53" t="n">
        <f aca="true">NORMINV(RAND(),0,M$7)</f>
        <v>-0.229618512509167</v>
      </c>
      <c r="N1521" s="53" t="n">
        <f aca="true">NORMINV(RAND(),0,N$7)</f>
        <v>-0.269335911829371</v>
      </c>
      <c r="O1521" s="53" t="n">
        <f aca="false">SUM(J1521:N1521)</f>
        <v>-5.23616198661917</v>
      </c>
    </row>
    <row r="1522" customFormat="false" ht="15" hidden="false" customHeight="false" outlineLevel="0" collapsed="false">
      <c r="A1522" s="2" t="n">
        <v>1514</v>
      </c>
      <c r="B1522" s="53" t="n">
        <f aca="true">NORMINV(RAND(),0,B$7)</f>
        <v>-1.5061924312765</v>
      </c>
      <c r="C1522" s="53" t="n">
        <f aca="true">NORMINV(RAND(),0,C$7)</f>
        <v>0.411343353823472</v>
      </c>
      <c r="D1522" s="53" t="n">
        <f aca="true">NORMINV(RAND(),0,D$7)</f>
        <v>-2.02456782921602</v>
      </c>
      <c r="E1522" s="53" t="n">
        <f aca="true">NORMINV(RAND(),0,E$7)</f>
        <v>0.0187183289083788</v>
      </c>
      <c r="F1522" s="53" t="n">
        <f aca="true">NORMINV(RAND(),0,F$7)</f>
        <v>0.188065339063321</v>
      </c>
      <c r="G1522" s="53" t="n">
        <f aca="true">NORMINV(RAND(),0,G$7)</f>
        <v>-1.41814860013989</v>
      </c>
      <c r="H1522" s="53" t="n">
        <f aca="true">NORMINV(RAND(),0,H$7)</f>
        <v>-0.562816181481484</v>
      </c>
      <c r="I1522" s="53" t="n">
        <f aca="false">SUM(B1522:H1522)</f>
        <v>-4.89359802031872</v>
      </c>
      <c r="J1522" s="53" t="n">
        <f aca="true">NORMINV(RAND(),0,J$7)</f>
        <v>0.229290816998578</v>
      </c>
      <c r="K1522" s="53" t="n">
        <f aca="true">NORMINV(RAND(),0,K$7)</f>
        <v>0.427636489114996</v>
      </c>
      <c r="L1522" s="53" t="n">
        <f aca="true">NORMINV(RAND(),0,L$7)</f>
        <v>-0.129976531728118</v>
      </c>
      <c r="M1522" s="53" t="n">
        <f aca="true">NORMINV(RAND(),0,M$7)</f>
        <v>0.309862630622258</v>
      </c>
      <c r="N1522" s="53" t="n">
        <f aca="true">NORMINV(RAND(),0,N$7)</f>
        <v>0.0775664023338599</v>
      </c>
      <c r="O1522" s="53" t="n">
        <f aca="false">SUM(J1522:N1522)</f>
        <v>0.914379807341573</v>
      </c>
    </row>
    <row r="1523" customFormat="false" ht="15" hidden="false" customHeight="false" outlineLevel="0" collapsed="false">
      <c r="A1523" s="2" t="n">
        <v>1515</v>
      </c>
      <c r="B1523" s="53" t="n">
        <f aca="true">NORMINV(RAND(),0,B$7)</f>
        <v>0.57782646790769</v>
      </c>
      <c r="C1523" s="53" t="n">
        <f aca="true">NORMINV(RAND(),0,C$7)</f>
        <v>-1.20847801448654</v>
      </c>
      <c r="D1523" s="53" t="n">
        <f aca="true">NORMINV(RAND(),0,D$7)</f>
        <v>-1.5255242398331</v>
      </c>
      <c r="E1523" s="53" t="n">
        <f aca="true">NORMINV(RAND(),0,E$7)</f>
        <v>-0.388111478565643</v>
      </c>
      <c r="F1523" s="53" t="n">
        <f aca="true">NORMINV(RAND(),0,F$7)</f>
        <v>0.155934285919298</v>
      </c>
      <c r="G1523" s="53" t="n">
        <f aca="true">NORMINV(RAND(),0,G$7)</f>
        <v>-0.0528324247292989</v>
      </c>
      <c r="H1523" s="53" t="n">
        <f aca="true">NORMINV(RAND(),0,H$7)</f>
        <v>-0.161391972533944</v>
      </c>
      <c r="I1523" s="53" t="n">
        <f aca="false">SUM(B1523:H1523)</f>
        <v>-2.60257737632154</v>
      </c>
      <c r="J1523" s="53" t="n">
        <f aca="true">NORMINV(RAND(),0,J$7)</f>
        <v>1.43930233097696</v>
      </c>
      <c r="K1523" s="53" t="n">
        <f aca="true">NORMINV(RAND(),0,K$7)</f>
        <v>0.49788737591561</v>
      </c>
      <c r="L1523" s="53" t="n">
        <f aca="true">NORMINV(RAND(),0,L$7)</f>
        <v>0.0788670069308498</v>
      </c>
      <c r="M1523" s="53" t="n">
        <f aca="true">NORMINV(RAND(),0,M$7)</f>
        <v>-0.273840638382542</v>
      </c>
      <c r="N1523" s="53" t="n">
        <f aca="true">NORMINV(RAND(),0,N$7)</f>
        <v>-0.265078543786475</v>
      </c>
      <c r="O1523" s="53" t="n">
        <f aca="false">SUM(J1523:N1523)</f>
        <v>1.4771375316544</v>
      </c>
    </row>
    <row r="1524" customFormat="false" ht="15" hidden="false" customHeight="false" outlineLevel="0" collapsed="false">
      <c r="A1524" s="2" t="n">
        <v>1516</v>
      </c>
      <c r="B1524" s="53" t="n">
        <f aca="true">NORMINV(RAND(),0,B$7)</f>
        <v>1.39377901433297</v>
      </c>
      <c r="C1524" s="53" t="n">
        <f aca="true">NORMINV(RAND(),0,C$7)</f>
        <v>-2.47183909887651</v>
      </c>
      <c r="D1524" s="53" t="n">
        <f aca="true">NORMINV(RAND(),0,D$7)</f>
        <v>0.353615115453528</v>
      </c>
      <c r="E1524" s="53" t="n">
        <f aca="true">NORMINV(RAND(),0,E$7)</f>
        <v>-0.0177045110507676</v>
      </c>
      <c r="F1524" s="53" t="n">
        <f aca="true">NORMINV(RAND(),0,F$7)</f>
        <v>-0.244632011484482</v>
      </c>
      <c r="G1524" s="53" t="n">
        <f aca="true">NORMINV(RAND(),0,G$7)</f>
        <v>1.16534084747393</v>
      </c>
      <c r="H1524" s="53" t="n">
        <f aca="true">NORMINV(RAND(),0,H$7)</f>
        <v>-0.021264098675385</v>
      </c>
      <c r="I1524" s="53" t="n">
        <f aca="false">SUM(B1524:H1524)</f>
        <v>0.157295257173286</v>
      </c>
      <c r="J1524" s="53" t="n">
        <f aca="true">NORMINV(RAND(),0,J$7)</f>
        <v>0.476056490440685</v>
      </c>
      <c r="K1524" s="53" t="n">
        <f aca="true">NORMINV(RAND(),0,K$7)</f>
        <v>-0.0107277736657384</v>
      </c>
      <c r="L1524" s="53" t="n">
        <f aca="true">NORMINV(RAND(),0,L$7)</f>
        <v>-0.253391318817642</v>
      </c>
      <c r="M1524" s="53" t="n">
        <f aca="true">NORMINV(RAND(),0,M$7)</f>
        <v>0.143769803671434</v>
      </c>
      <c r="N1524" s="53" t="n">
        <f aca="true">NORMINV(RAND(),0,N$7)</f>
        <v>-0.166991173609265</v>
      </c>
      <c r="O1524" s="53" t="n">
        <f aca="false">SUM(J1524:N1524)</f>
        <v>0.188716028019475</v>
      </c>
    </row>
    <row r="1525" customFormat="false" ht="15" hidden="false" customHeight="false" outlineLevel="0" collapsed="false">
      <c r="A1525" s="2" t="n">
        <v>1517</v>
      </c>
      <c r="B1525" s="53" t="n">
        <f aca="true">NORMINV(RAND(),0,B$7)</f>
        <v>0.145004735309775</v>
      </c>
      <c r="C1525" s="53" t="n">
        <f aca="true">NORMINV(RAND(),0,C$7)</f>
        <v>3.17802555869507</v>
      </c>
      <c r="D1525" s="53" t="n">
        <f aca="true">NORMINV(RAND(),0,D$7)</f>
        <v>-0.141642287902748</v>
      </c>
      <c r="E1525" s="53" t="n">
        <f aca="true">NORMINV(RAND(),0,E$7)</f>
        <v>0.152428830339824</v>
      </c>
      <c r="F1525" s="53" t="n">
        <f aca="true">NORMINV(RAND(),0,F$7)</f>
        <v>-0.430604976386914</v>
      </c>
      <c r="G1525" s="53" t="n">
        <f aca="true">NORMINV(RAND(),0,G$7)</f>
        <v>2.86746296080986</v>
      </c>
      <c r="H1525" s="53" t="n">
        <f aca="true">NORMINV(RAND(),0,H$7)</f>
        <v>0.34037669681493</v>
      </c>
      <c r="I1525" s="53" t="n">
        <f aca="false">SUM(B1525:H1525)</f>
        <v>6.1110515176798</v>
      </c>
      <c r="J1525" s="53" t="n">
        <f aca="true">NORMINV(RAND(),0,J$7)</f>
        <v>-0.681350052548064</v>
      </c>
      <c r="K1525" s="53" t="n">
        <f aca="true">NORMINV(RAND(),0,K$7)</f>
        <v>0.135203236737438</v>
      </c>
      <c r="L1525" s="53" t="n">
        <f aca="true">NORMINV(RAND(),0,L$7)</f>
        <v>-0.216231380276804</v>
      </c>
      <c r="M1525" s="53" t="n">
        <f aca="true">NORMINV(RAND(),0,M$7)</f>
        <v>0.242813021980282</v>
      </c>
      <c r="N1525" s="53" t="n">
        <f aca="true">NORMINV(RAND(),0,N$7)</f>
        <v>0.238298280082841</v>
      </c>
      <c r="O1525" s="53" t="n">
        <f aca="false">SUM(J1525:N1525)</f>
        <v>-0.281266894024307</v>
      </c>
    </row>
    <row r="1526" customFormat="false" ht="15" hidden="false" customHeight="false" outlineLevel="0" collapsed="false">
      <c r="A1526" s="2" t="n">
        <v>1518</v>
      </c>
      <c r="B1526" s="53" t="n">
        <f aca="true">NORMINV(RAND(),0,B$7)</f>
        <v>3.46262562204708</v>
      </c>
      <c r="C1526" s="53" t="n">
        <f aca="true">NORMINV(RAND(),0,C$7)</f>
        <v>-0.160071907417374</v>
      </c>
      <c r="D1526" s="53" t="n">
        <f aca="true">NORMINV(RAND(),0,D$7)</f>
        <v>-2.36889469444569</v>
      </c>
      <c r="E1526" s="53" t="n">
        <f aca="true">NORMINV(RAND(),0,E$7)</f>
        <v>-0.202873724371592</v>
      </c>
      <c r="F1526" s="53" t="n">
        <f aca="true">NORMINV(RAND(),0,F$7)</f>
        <v>0.22028691502099</v>
      </c>
      <c r="G1526" s="53" t="n">
        <f aca="true">NORMINV(RAND(),0,G$7)</f>
        <v>-0.801930082613056</v>
      </c>
      <c r="H1526" s="53" t="n">
        <f aca="true">NORMINV(RAND(),0,H$7)</f>
        <v>0.448929965210796</v>
      </c>
      <c r="I1526" s="53" t="n">
        <f aca="false">SUM(B1526:H1526)</f>
        <v>0.598072093431162</v>
      </c>
      <c r="J1526" s="53" t="n">
        <f aca="true">NORMINV(RAND(),0,J$7)</f>
        <v>-1.83162130729089</v>
      </c>
      <c r="K1526" s="53" t="n">
        <f aca="true">NORMINV(RAND(),0,K$7)</f>
        <v>1.21292828465323</v>
      </c>
      <c r="L1526" s="53" t="n">
        <f aca="true">NORMINV(RAND(),0,L$7)</f>
        <v>0.196356264430586</v>
      </c>
      <c r="M1526" s="53" t="n">
        <f aca="true">NORMINV(RAND(),0,M$7)</f>
        <v>0.0961882819242786</v>
      </c>
      <c r="N1526" s="53" t="n">
        <f aca="true">NORMINV(RAND(),0,N$7)</f>
        <v>0.347286716512179</v>
      </c>
      <c r="O1526" s="53" t="n">
        <f aca="false">SUM(J1526:N1526)</f>
        <v>0.0211382402293869</v>
      </c>
    </row>
    <row r="1527" customFormat="false" ht="15" hidden="false" customHeight="false" outlineLevel="0" collapsed="false">
      <c r="A1527" s="2" t="n">
        <v>1519</v>
      </c>
      <c r="B1527" s="53" t="n">
        <f aca="true">NORMINV(RAND(),0,B$7)</f>
        <v>0.0411160976234904</v>
      </c>
      <c r="C1527" s="53" t="n">
        <f aca="true">NORMINV(RAND(),0,C$7)</f>
        <v>-0.806896324198487</v>
      </c>
      <c r="D1527" s="53" t="n">
        <f aca="true">NORMINV(RAND(),0,D$7)</f>
        <v>3.53837025752801</v>
      </c>
      <c r="E1527" s="53" t="n">
        <f aca="true">NORMINV(RAND(),0,E$7)</f>
        <v>-0.277711144200157</v>
      </c>
      <c r="F1527" s="53" t="n">
        <f aca="true">NORMINV(RAND(),0,F$7)</f>
        <v>0.0794050840894878</v>
      </c>
      <c r="G1527" s="53" t="n">
        <f aca="true">NORMINV(RAND(),0,G$7)</f>
        <v>-1.41131763783603</v>
      </c>
      <c r="H1527" s="53" t="n">
        <f aca="true">NORMINV(RAND(),0,H$7)</f>
        <v>-0.215676761995809</v>
      </c>
      <c r="I1527" s="53" t="n">
        <f aca="false">SUM(B1527:H1527)</f>
        <v>0.947289571010502</v>
      </c>
      <c r="J1527" s="53" t="n">
        <f aca="true">NORMINV(RAND(),0,J$7)</f>
        <v>2.22649558228096</v>
      </c>
      <c r="K1527" s="53" t="n">
        <f aca="true">NORMINV(RAND(),0,K$7)</f>
        <v>0.566461204097501</v>
      </c>
      <c r="L1527" s="53" t="n">
        <f aca="true">NORMINV(RAND(),0,L$7)</f>
        <v>-0.00765579108111907</v>
      </c>
      <c r="M1527" s="53" t="n">
        <f aca="true">NORMINV(RAND(),0,M$7)</f>
        <v>-0.23525257007637</v>
      </c>
      <c r="N1527" s="53" t="n">
        <f aca="true">NORMINV(RAND(),0,N$7)</f>
        <v>0.149747326133803</v>
      </c>
      <c r="O1527" s="53" t="n">
        <f aca="false">SUM(J1527:N1527)</f>
        <v>2.69979575135478</v>
      </c>
    </row>
    <row r="1528" customFormat="false" ht="15" hidden="false" customHeight="false" outlineLevel="0" collapsed="false">
      <c r="A1528" s="2" t="n">
        <v>1520</v>
      </c>
      <c r="B1528" s="53" t="n">
        <f aca="true">NORMINV(RAND(),0,B$7)</f>
        <v>0.13661430022866</v>
      </c>
      <c r="C1528" s="53" t="n">
        <f aca="true">NORMINV(RAND(),0,C$7)</f>
        <v>1.17678808082822</v>
      </c>
      <c r="D1528" s="53" t="n">
        <f aca="true">NORMINV(RAND(),0,D$7)</f>
        <v>-1.09760022392141</v>
      </c>
      <c r="E1528" s="53" t="n">
        <f aca="true">NORMINV(RAND(),0,E$7)</f>
        <v>0.120995728324349</v>
      </c>
      <c r="F1528" s="53" t="n">
        <f aca="true">NORMINV(RAND(),0,F$7)</f>
        <v>0.53198191292075</v>
      </c>
      <c r="G1528" s="53" t="n">
        <f aca="true">NORMINV(RAND(),0,G$7)</f>
        <v>0.993290283200348</v>
      </c>
      <c r="H1528" s="53" t="n">
        <f aca="true">NORMINV(RAND(),0,H$7)</f>
        <v>0.00825529492460173</v>
      </c>
      <c r="I1528" s="53" t="n">
        <f aca="false">SUM(B1528:H1528)</f>
        <v>1.87032537650552</v>
      </c>
      <c r="J1528" s="53" t="n">
        <f aca="true">NORMINV(RAND(),0,J$7)</f>
        <v>-1.56120586954583</v>
      </c>
      <c r="K1528" s="53" t="n">
        <f aca="true">NORMINV(RAND(),0,K$7)</f>
        <v>0.892638100964975</v>
      </c>
      <c r="L1528" s="53" t="n">
        <f aca="true">NORMINV(RAND(),0,L$7)</f>
        <v>0.44589873753577</v>
      </c>
      <c r="M1528" s="53" t="n">
        <f aca="true">NORMINV(RAND(),0,M$7)</f>
        <v>-0.0334601730293438</v>
      </c>
      <c r="N1528" s="53" t="n">
        <f aca="true">NORMINV(RAND(),0,N$7)</f>
        <v>0.0873077512116601</v>
      </c>
      <c r="O1528" s="53" t="n">
        <f aca="false">SUM(J1528:N1528)</f>
        <v>-0.16882145286277</v>
      </c>
    </row>
    <row r="1529" customFormat="false" ht="15" hidden="false" customHeight="false" outlineLevel="0" collapsed="false">
      <c r="A1529" s="2" t="n">
        <v>1521</v>
      </c>
      <c r="B1529" s="53" t="n">
        <f aca="true">NORMINV(RAND(),0,B$7)</f>
        <v>0.252616566808945</v>
      </c>
      <c r="C1529" s="53" t="n">
        <f aca="true">NORMINV(RAND(),0,C$7)</f>
        <v>-0.711360112713469</v>
      </c>
      <c r="D1529" s="53" t="n">
        <f aca="true">NORMINV(RAND(),0,D$7)</f>
        <v>-4.48733104544969</v>
      </c>
      <c r="E1529" s="53" t="n">
        <f aca="true">NORMINV(RAND(),0,E$7)</f>
        <v>-0.696282812277182</v>
      </c>
      <c r="F1529" s="53" t="n">
        <f aca="true">NORMINV(RAND(),0,F$7)</f>
        <v>-0.393288540599798</v>
      </c>
      <c r="G1529" s="53" t="n">
        <f aca="true">NORMINV(RAND(),0,G$7)</f>
        <v>0.932027794281587</v>
      </c>
      <c r="H1529" s="53" t="n">
        <f aca="true">NORMINV(RAND(),0,H$7)</f>
        <v>-0.0426339421557231</v>
      </c>
      <c r="I1529" s="53" t="n">
        <f aca="false">SUM(B1529:H1529)</f>
        <v>-5.14625209210533</v>
      </c>
      <c r="J1529" s="53" t="n">
        <f aca="true">NORMINV(RAND(),0,J$7)</f>
        <v>0.196310282018426</v>
      </c>
      <c r="K1529" s="53" t="n">
        <f aca="true">NORMINV(RAND(),0,K$7)</f>
        <v>1.02527259569611</v>
      </c>
      <c r="L1529" s="53" t="n">
        <f aca="true">NORMINV(RAND(),0,L$7)</f>
        <v>-0.217132214610437</v>
      </c>
      <c r="M1529" s="53" t="n">
        <f aca="true">NORMINV(RAND(),0,M$7)</f>
        <v>-0.216872464322344</v>
      </c>
      <c r="N1529" s="53" t="n">
        <f aca="true">NORMINV(RAND(),0,N$7)</f>
        <v>0.209770053577086</v>
      </c>
      <c r="O1529" s="53" t="n">
        <f aca="false">SUM(J1529:N1529)</f>
        <v>0.997348252358838</v>
      </c>
    </row>
    <row r="1530" customFormat="false" ht="15" hidden="false" customHeight="false" outlineLevel="0" collapsed="false">
      <c r="A1530" s="2" t="n">
        <v>1522</v>
      </c>
      <c r="B1530" s="53" t="n">
        <f aca="true">NORMINV(RAND(),0,B$7)</f>
        <v>2.03273340239944</v>
      </c>
      <c r="C1530" s="53" t="n">
        <f aca="true">NORMINV(RAND(),0,C$7)</f>
        <v>-1.14288310644563</v>
      </c>
      <c r="D1530" s="53" t="n">
        <f aca="true">NORMINV(RAND(),0,D$7)</f>
        <v>-3.60472423456613</v>
      </c>
      <c r="E1530" s="53" t="n">
        <f aca="true">NORMINV(RAND(),0,E$7)</f>
        <v>0.0571411461452301</v>
      </c>
      <c r="F1530" s="53" t="n">
        <f aca="true">NORMINV(RAND(),0,F$7)</f>
        <v>-0.0236265082426554</v>
      </c>
      <c r="G1530" s="53" t="n">
        <f aca="true">NORMINV(RAND(),0,G$7)</f>
        <v>0.39426788027787</v>
      </c>
      <c r="H1530" s="53" t="n">
        <f aca="true">NORMINV(RAND(),0,H$7)</f>
        <v>-0.624973933135701</v>
      </c>
      <c r="I1530" s="53" t="n">
        <f aca="false">SUM(B1530:H1530)</f>
        <v>-2.91206535356758</v>
      </c>
      <c r="J1530" s="53" t="n">
        <f aca="true">NORMINV(RAND(),0,J$7)</f>
        <v>-0.680263639708594</v>
      </c>
      <c r="K1530" s="53" t="n">
        <f aca="true">NORMINV(RAND(),0,K$7)</f>
        <v>1.31880023217866</v>
      </c>
      <c r="L1530" s="53" t="n">
        <f aca="true">NORMINV(RAND(),0,L$7)</f>
        <v>0.157525653758726</v>
      </c>
      <c r="M1530" s="53" t="n">
        <f aca="true">NORMINV(RAND(),0,M$7)</f>
        <v>0.0349864732760066</v>
      </c>
      <c r="N1530" s="53" t="n">
        <f aca="true">NORMINV(RAND(),0,N$7)</f>
        <v>0.280613717097617</v>
      </c>
      <c r="O1530" s="53" t="n">
        <f aca="false">SUM(J1530:N1530)</f>
        <v>1.11166243660242</v>
      </c>
    </row>
    <row r="1531" customFormat="false" ht="15" hidden="false" customHeight="false" outlineLevel="0" collapsed="false">
      <c r="A1531" s="2" t="n">
        <v>1523</v>
      </c>
      <c r="B1531" s="53" t="n">
        <f aca="true">NORMINV(RAND(),0,B$7)</f>
        <v>3.22253061263145</v>
      </c>
      <c r="C1531" s="53" t="n">
        <f aca="true">NORMINV(RAND(),0,C$7)</f>
        <v>1.22303486719906</v>
      </c>
      <c r="D1531" s="53" t="n">
        <f aca="true">NORMINV(RAND(),0,D$7)</f>
        <v>1.44121183390677</v>
      </c>
      <c r="E1531" s="53" t="n">
        <f aca="true">NORMINV(RAND(),0,E$7)</f>
        <v>0.113356670461242</v>
      </c>
      <c r="F1531" s="53" t="n">
        <f aca="true">NORMINV(RAND(),0,F$7)</f>
        <v>0.176254657426915</v>
      </c>
      <c r="G1531" s="53" t="n">
        <f aca="true">NORMINV(RAND(),0,G$7)</f>
        <v>-0.72570536153266</v>
      </c>
      <c r="H1531" s="53" t="n">
        <f aca="true">NORMINV(RAND(),0,H$7)</f>
        <v>-0.0576201722989465</v>
      </c>
      <c r="I1531" s="53" t="n">
        <f aca="false">SUM(B1531:H1531)</f>
        <v>5.39306310779383</v>
      </c>
      <c r="J1531" s="53" t="n">
        <f aca="true">NORMINV(RAND(),0,J$7)</f>
        <v>0.711004184865165</v>
      </c>
      <c r="K1531" s="53" t="n">
        <f aca="true">NORMINV(RAND(),0,K$7)</f>
        <v>0.209709246542805</v>
      </c>
      <c r="L1531" s="53" t="n">
        <f aca="true">NORMINV(RAND(),0,L$7)</f>
        <v>0.523870359028196</v>
      </c>
      <c r="M1531" s="53" t="n">
        <f aca="true">NORMINV(RAND(),0,M$7)</f>
        <v>-0.0490824421793171</v>
      </c>
      <c r="N1531" s="53" t="n">
        <f aca="true">NORMINV(RAND(),0,N$7)</f>
        <v>-0.00559701982028817</v>
      </c>
      <c r="O1531" s="53" t="n">
        <f aca="false">SUM(J1531:N1531)</f>
        <v>1.38990432843656</v>
      </c>
    </row>
    <row r="1532" customFormat="false" ht="15" hidden="false" customHeight="false" outlineLevel="0" collapsed="false">
      <c r="A1532" s="2" t="n">
        <v>1524</v>
      </c>
      <c r="B1532" s="53" t="n">
        <f aca="true">NORMINV(RAND(),0,B$7)</f>
        <v>1.96343619305107</v>
      </c>
      <c r="C1532" s="53" t="n">
        <f aca="true">NORMINV(RAND(),0,C$7)</f>
        <v>-3.11421584597332</v>
      </c>
      <c r="D1532" s="53" t="n">
        <f aca="true">NORMINV(RAND(),0,D$7)</f>
        <v>2.00058864549538</v>
      </c>
      <c r="E1532" s="53" t="n">
        <f aca="true">NORMINV(RAND(),0,E$7)</f>
        <v>0.27558236136543</v>
      </c>
      <c r="F1532" s="53" t="n">
        <f aca="true">NORMINV(RAND(),0,F$7)</f>
        <v>-0.159190198507212</v>
      </c>
      <c r="G1532" s="53" t="n">
        <f aca="true">NORMINV(RAND(),0,G$7)</f>
        <v>-0.0848613443834392</v>
      </c>
      <c r="H1532" s="53" t="n">
        <f aca="true">NORMINV(RAND(),0,H$7)</f>
        <v>-0.495995460909952</v>
      </c>
      <c r="I1532" s="53" t="n">
        <f aca="false">SUM(B1532:H1532)</f>
        <v>0.385344350137965</v>
      </c>
      <c r="J1532" s="53" t="n">
        <f aca="true">NORMINV(RAND(),0,J$7)</f>
        <v>-1.30785154739156</v>
      </c>
      <c r="K1532" s="53" t="n">
        <f aca="true">NORMINV(RAND(),0,K$7)</f>
        <v>-0.313807385284097</v>
      </c>
      <c r="L1532" s="53" t="n">
        <f aca="true">NORMINV(RAND(),0,L$7)</f>
        <v>0.0285519511195433</v>
      </c>
      <c r="M1532" s="53" t="n">
        <f aca="true">NORMINV(RAND(),0,M$7)</f>
        <v>0.307372469925116</v>
      </c>
      <c r="N1532" s="53" t="n">
        <f aca="true">NORMINV(RAND(),0,N$7)</f>
        <v>-0.0166674196620948</v>
      </c>
      <c r="O1532" s="53" t="n">
        <f aca="false">SUM(J1532:N1532)</f>
        <v>-1.3024019312931</v>
      </c>
    </row>
    <row r="1533" customFormat="false" ht="15" hidden="false" customHeight="false" outlineLevel="0" collapsed="false">
      <c r="A1533" s="2" t="n">
        <v>1525</v>
      </c>
      <c r="B1533" s="53" t="n">
        <f aca="true">NORMINV(RAND(),0,B$7)</f>
        <v>-0.0447033148823273</v>
      </c>
      <c r="C1533" s="53" t="n">
        <f aca="true">NORMINV(RAND(),0,C$7)</f>
        <v>1.45353173830568</v>
      </c>
      <c r="D1533" s="53" t="n">
        <f aca="true">NORMINV(RAND(),0,D$7)</f>
        <v>-0.47837848279302</v>
      </c>
      <c r="E1533" s="53" t="n">
        <f aca="true">NORMINV(RAND(),0,E$7)</f>
        <v>-0.737061845463628</v>
      </c>
      <c r="F1533" s="53" t="n">
        <f aca="true">NORMINV(RAND(),0,F$7)</f>
        <v>-0.669379566184258</v>
      </c>
      <c r="G1533" s="53" t="n">
        <f aca="true">NORMINV(RAND(),0,G$7)</f>
        <v>-0.0725468120632789</v>
      </c>
      <c r="H1533" s="53" t="n">
        <f aca="true">NORMINV(RAND(),0,H$7)</f>
        <v>0.174795609508661</v>
      </c>
      <c r="I1533" s="53" t="n">
        <f aca="false">SUM(B1533:H1533)</f>
        <v>-0.373742673572167</v>
      </c>
      <c r="J1533" s="53" t="n">
        <f aca="true">NORMINV(RAND(),0,J$7)</f>
        <v>-0.344465787645583</v>
      </c>
      <c r="K1533" s="53" t="n">
        <f aca="true">NORMINV(RAND(),0,K$7)</f>
        <v>0.467066408696312</v>
      </c>
      <c r="L1533" s="53" t="n">
        <f aca="true">NORMINV(RAND(),0,L$7)</f>
        <v>0.274279238985736</v>
      </c>
      <c r="M1533" s="53" t="n">
        <f aca="true">NORMINV(RAND(),0,M$7)</f>
        <v>-0.117605151746332</v>
      </c>
      <c r="N1533" s="53" t="n">
        <f aca="true">NORMINV(RAND(),0,N$7)</f>
        <v>0.968571334425392</v>
      </c>
      <c r="O1533" s="53" t="n">
        <f aca="false">SUM(J1533:N1533)</f>
        <v>1.24784604271553</v>
      </c>
    </row>
    <row r="1534" customFormat="false" ht="15" hidden="false" customHeight="false" outlineLevel="0" collapsed="false">
      <c r="A1534" s="2" t="n">
        <v>1526</v>
      </c>
      <c r="B1534" s="53" t="n">
        <f aca="true">NORMINV(RAND(),0,B$7)</f>
        <v>0.30888258997214</v>
      </c>
      <c r="C1534" s="53" t="n">
        <f aca="true">NORMINV(RAND(),0,C$7)</f>
        <v>2.30419180582248</v>
      </c>
      <c r="D1534" s="53" t="n">
        <f aca="true">NORMINV(RAND(),0,D$7)</f>
        <v>0.507215782629552</v>
      </c>
      <c r="E1534" s="53" t="n">
        <f aca="true">NORMINV(RAND(),0,E$7)</f>
        <v>-0.447260858194636</v>
      </c>
      <c r="F1534" s="53" t="n">
        <f aca="true">NORMINV(RAND(),0,F$7)</f>
        <v>-0.8217281743718</v>
      </c>
      <c r="G1534" s="53" t="n">
        <f aca="true">NORMINV(RAND(),0,G$7)</f>
        <v>-1.42564662731922</v>
      </c>
      <c r="H1534" s="53" t="n">
        <f aca="true">NORMINV(RAND(),0,H$7)</f>
        <v>0.0128769124755067</v>
      </c>
      <c r="I1534" s="53" t="n">
        <f aca="false">SUM(B1534:H1534)</f>
        <v>0.438531431014022</v>
      </c>
      <c r="J1534" s="53" t="n">
        <f aca="true">NORMINV(RAND(),0,J$7)</f>
        <v>0.787863588756824</v>
      </c>
      <c r="K1534" s="53" t="n">
        <f aca="true">NORMINV(RAND(),0,K$7)</f>
        <v>-0.378292605187014</v>
      </c>
      <c r="L1534" s="53" t="n">
        <f aca="true">NORMINV(RAND(),0,L$7)</f>
        <v>-0.631629926685163</v>
      </c>
      <c r="M1534" s="53" t="n">
        <f aca="true">NORMINV(RAND(),0,M$7)</f>
        <v>-0.269907746486818</v>
      </c>
      <c r="N1534" s="53" t="n">
        <f aca="true">NORMINV(RAND(),0,N$7)</f>
        <v>1.24966430943147</v>
      </c>
      <c r="O1534" s="53" t="n">
        <f aca="false">SUM(J1534:N1534)</f>
        <v>0.757697619829294</v>
      </c>
    </row>
    <row r="1535" customFormat="false" ht="15" hidden="false" customHeight="false" outlineLevel="0" collapsed="false">
      <c r="A1535" s="2" t="n">
        <v>1527</v>
      </c>
      <c r="B1535" s="53" t="n">
        <f aca="true">NORMINV(RAND(),0,B$7)</f>
        <v>0.788204657820587</v>
      </c>
      <c r="C1535" s="53" t="n">
        <f aca="true">NORMINV(RAND(),0,C$7)</f>
        <v>0.727850871524824</v>
      </c>
      <c r="D1535" s="53" t="n">
        <f aca="true">NORMINV(RAND(),0,D$7)</f>
        <v>-0.951311136113459</v>
      </c>
      <c r="E1535" s="53" t="n">
        <f aca="true">NORMINV(RAND(),0,E$7)</f>
        <v>-0.0241037780659635</v>
      </c>
      <c r="F1535" s="53" t="n">
        <f aca="true">NORMINV(RAND(),0,F$7)</f>
        <v>-0.156576393919781</v>
      </c>
      <c r="G1535" s="53" t="n">
        <f aca="true">NORMINV(RAND(),0,G$7)</f>
        <v>1.53974342836374</v>
      </c>
      <c r="H1535" s="53" t="n">
        <f aca="true">NORMINV(RAND(),0,H$7)</f>
        <v>0.12540185807274</v>
      </c>
      <c r="I1535" s="53" t="n">
        <f aca="false">SUM(B1535:H1535)</f>
        <v>2.04920950768268</v>
      </c>
      <c r="J1535" s="53" t="n">
        <f aca="true">NORMINV(RAND(),0,J$7)</f>
        <v>-0.843526542993086</v>
      </c>
      <c r="K1535" s="53" t="n">
        <f aca="true">NORMINV(RAND(),0,K$7)</f>
        <v>0.776570156173155</v>
      </c>
      <c r="L1535" s="53" t="n">
        <f aca="true">NORMINV(RAND(),0,L$7)</f>
        <v>-0.285872654601603</v>
      </c>
      <c r="M1535" s="53" t="n">
        <f aca="true">NORMINV(RAND(),0,M$7)</f>
        <v>0.0322252064022412</v>
      </c>
      <c r="N1535" s="53" t="n">
        <f aca="true">NORMINV(RAND(),0,N$7)</f>
        <v>-0.104040554829698</v>
      </c>
      <c r="O1535" s="53" t="n">
        <f aca="false">SUM(J1535:N1535)</f>
        <v>-0.424644389848992</v>
      </c>
    </row>
    <row r="1536" customFormat="false" ht="15" hidden="false" customHeight="false" outlineLevel="0" collapsed="false">
      <c r="A1536" s="2" t="n">
        <v>1528</v>
      </c>
      <c r="B1536" s="53" t="n">
        <f aca="true">NORMINV(RAND(),0,B$7)</f>
        <v>1.35922116886565</v>
      </c>
      <c r="C1536" s="53" t="n">
        <f aca="true">NORMINV(RAND(),0,C$7)</f>
        <v>-0.890968131861957</v>
      </c>
      <c r="D1536" s="53" t="n">
        <f aca="true">NORMINV(RAND(),0,D$7)</f>
        <v>-0.620745678644973</v>
      </c>
      <c r="E1536" s="53" t="n">
        <f aca="true">NORMINV(RAND(),0,E$7)</f>
        <v>0.146575789704272</v>
      </c>
      <c r="F1536" s="53" t="n">
        <f aca="true">NORMINV(RAND(),0,F$7)</f>
        <v>0.644339584610176</v>
      </c>
      <c r="G1536" s="53" t="n">
        <f aca="true">NORMINV(RAND(),0,G$7)</f>
        <v>-0.15370648156301</v>
      </c>
      <c r="H1536" s="53" t="n">
        <f aca="true">NORMINV(RAND(),0,H$7)</f>
        <v>0.0191951622135846</v>
      </c>
      <c r="I1536" s="53" t="n">
        <f aca="false">SUM(B1536:H1536)</f>
        <v>0.503911413323742</v>
      </c>
      <c r="J1536" s="53" t="n">
        <f aca="true">NORMINV(RAND(),0,J$7)</f>
        <v>4.09788023326464</v>
      </c>
      <c r="K1536" s="53" t="n">
        <f aca="true">NORMINV(RAND(),0,K$7)</f>
        <v>-1.01364314679451</v>
      </c>
      <c r="L1536" s="53" t="n">
        <f aca="true">NORMINV(RAND(),0,L$7)</f>
        <v>-0.125147530011766</v>
      </c>
      <c r="M1536" s="53" t="n">
        <f aca="true">NORMINV(RAND(),0,M$7)</f>
        <v>-0.0641591319566307</v>
      </c>
      <c r="N1536" s="53" t="n">
        <f aca="true">NORMINV(RAND(),0,N$7)</f>
        <v>-0.318162021864445</v>
      </c>
      <c r="O1536" s="53" t="n">
        <f aca="false">SUM(J1536:N1536)</f>
        <v>2.5767684026373</v>
      </c>
    </row>
    <row r="1537" customFormat="false" ht="15" hidden="false" customHeight="false" outlineLevel="0" collapsed="false">
      <c r="A1537" s="2" t="n">
        <v>1529</v>
      </c>
      <c r="B1537" s="53" t="n">
        <f aca="true">NORMINV(RAND(),0,B$7)</f>
        <v>-0.658520052001207</v>
      </c>
      <c r="C1537" s="53" t="n">
        <f aca="true">NORMINV(RAND(),0,C$7)</f>
        <v>-0.0821995779647266</v>
      </c>
      <c r="D1537" s="53" t="n">
        <f aca="true">NORMINV(RAND(),0,D$7)</f>
        <v>2.90930832002984</v>
      </c>
      <c r="E1537" s="53" t="n">
        <f aca="true">NORMINV(RAND(),0,E$7)</f>
        <v>0.179358674398611</v>
      </c>
      <c r="F1537" s="53" t="n">
        <f aca="true">NORMINV(RAND(),0,F$7)</f>
        <v>0.196281252817471</v>
      </c>
      <c r="G1537" s="53" t="n">
        <f aca="true">NORMINV(RAND(),0,G$7)</f>
        <v>0.769302524432679</v>
      </c>
      <c r="H1537" s="53" t="n">
        <f aca="true">NORMINV(RAND(),0,H$7)</f>
        <v>-0.228787360417331</v>
      </c>
      <c r="I1537" s="53" t="n">
        <f aca="false">SUM(B1537:H1537)</f>
        <v>3.08474378129533</v>
      </c>
      <c r="J1537" s="53" t="n">
        <f aca="true">NORMINV(RAND(),0,J$7)</f>
        <v>2.50816106479648</v>
      </c>
      <c r="K1537" s="53" t="n">
        <f aca="true">NORMINV(RAND(),0,K$7)</f>
        <v>0.136193212981901</v>
      </c>
      <c r="L1537" s="53" t="n">
        <f aca="true">NORMINV(RAND(),0,L$7)</f>
        <v>0.497981315217431</v>
      </c>
      <c r="M1537" s="53" t="n">
        <f aca="true">NORMINV(RAND(),0,M$7)</f>
        <v>-0.293469755228733</v>
      </c>
      <c r="N1537" s="53" t="n">
        <f aca="true">NORMINV(RAND(),0,N$7)</f>
        <v>-0.175744692659281</v>
      </c>
      <c r="O1537" s="53" t="n">
        <f aca="false">SUM(J1537:N1537)</f>
        <v>2.6731211451078</v>
      </c>
    </row>
    <row r="1538" customFormat="false" ht="15" hidden="false" customHeight="false" outlineLevel="0" collapsed="false">
      <c r="A1538" s="2" t="n">
        <v>1530</v>
      </c>
      <c r="B1538" s="53" t="n">
        <f aca="true">NORMINV(RAND(),0,B$7)</f>
        <v>-1.201525746513</v>
      </c>
      <c r="C1538" s="53" t="n">
        <f aca="true">NORMINV(RAND(),0,C$7)</f>
        <v>-0.669761025975778</v>
      </c>
      <c r="D1538" s="53" t="n">
        <f aca="true">NORMINV(RAND(),0,D$7)</f>
        <v>1.4794571488273</v>
      </c>
      <c r="E1538" s="53" t="n">
        <f aca="true">NORMINV(RAND(),0,E$7)</f>
        <v>0.175670220972423</v>
      </c>
      <c r="F1538" s="53" t="n">
        <f aca="true">NORMINV(RAND(),0,F$7)</f>
        <v>0.0609704408656746</v>
      </c>
      <c r="G1538" s="53" t="n">
        <f aca="true">NORMINV(RAND(),0,G$7)</f>
        <v>-0.512705870358796</v>
      </c>
      <c r="H1538" s="53" t="n">
        <f aca="true">NORMINV(RAND(),0,H$7)</f>
        <v>0.183206545493697</v>
      </c>
      <c r="I1538" s="53" t="n">
        <f aca="false">SUM(B1538:H1538)</f>
        <v>-0.48468828668848</v>
      </c>
      <c r="J1538" s="53" t="n">
        <f aca="true">NORMINV(RAND(),0,J$7)</f>
        <v>-5.04637782233929</v>
      </c>
      <c r="K1538" s="53" t="n">
        <f aca="true">NORMINV(RAND(),0,K$7)</f>
        <v>-0.932288508528002</v>
      </c>
      <c r="L1538" s="53" t="n">
        <f aca="true">NORMINV(RAND(),0,L$7)</f>
        <v>0.715526738776909</v>
      </c>
      <c r="M1538" s="53" t="n">
        <f aca="true">NORMINV(RAND(),0,M$7)</f>
        <v>0.146559670207566</v>
      </c>
      <c r="N1538" s="53" t="n">
        <f aca="true">NORMINV(RAND(),0,N$7)</f>
        <v>0.0409993447469334</v>
      </c>
      <c r="O1538" s="53" t="n">
        <f aca="false">SUM(J1538:N1538)</f>
        <v>-5.07558057713588</v>
      </c>
    </row>
    <row r="1539" customFormat="false" ht="15" hidden="false" customHeight="false" outlineLevel="0" collapsed="false">
      <c r="A1539" s="2" t="n">
        <v>1531</v>
      </c>
      <c r="B1539" s="53" t="n">
        <f aca="true">NORMINV(RAND(),0,B$7)</f>
        <v>0.823146329468357</v>
      </c>
      <c r="C1539" s="53" t="n">
        <f aca="true">NORMINV(RAND(),0,C$7)</f>
        <v>0.349891556355584</v>
      </c>
      <c r="D1539" s="53" t="n">
        <f aca="true">NORMINV(RAND(),0,D$7)</f>
        <v>-1.27184013428534</v>
      </c>
      <c r="E1539" s="53" t="n">
        <f aca="true">NORMINV(RAND(),0,E$7)</f>
        <v>0.452390849303999</v>
      </c>
      <c r="F1539" s="53" t="n">
        <f aca="true">NORMINV(RAND(),0,F$7)</f>
        <v>0.230939932873267</v>
      </c>
      <c r="G1539" s="53" t="n">
        <f aca="true">NORMINV(RAND(),0,G$7)</f>
        <v>-2.43627241200306</v>
      </c>
      <c r="H1539" s="53" t="n">
        <f aca="true">NORMINV(RAND(),0,H$7)</f>
        <v>-0.121149591820457</v>
      </c>
      <c r="I1539" s="53" t="n">
        <f aca="false">SUM(B1539:H1539)</f>
        <v>-1.97289347010765</v>
      </c>
      <c r="J1539" s="53" t="n">
        <f aca="true">NORMINV(RAND(),0,J$7)</f>
        <v>-2.65749309045395</v>
      </c>
      <c r="K1539" s="53" t="n">
        <f aca="true">NORMINV(RAND(),0,K$7)</f>
        <v>0.425844233100034</v>
      </c>
      <c r="L1539" s="53" t="n">
        <f aca="true">NORMINV(RAND(),0,L$7)</f>
        <v>-0.0197153588221534</v>
      </c>
      <c r="M1539" s="53" t="n">
        <f aca="true">NORMINV(RAND(),0,M$7)</f>
        <v>0.217354382631562</v>
      </c>
      <c r="N1539" s="53" t="n">
        <f aca="true">NORMINV(RAND(),0,N$7)</f>
        <v>-0.0588694095996838</v>
      </c>
      <c r="O1539" s="53" t="n">
        <f aca="false">SUM(J1539:N1539)</f>
        <v>-2.09287924314419</v>
      </c>
    </row>
    <row r="1540" customFormat="false" ht="15" hidden="false" customHeight="false" outlineLevel="0" collapsed="false">
      <c r="A1540" s="2" t="n">
        <v>1532</v>
      </c>
      <c r="B1540" s="53" t="n">
        <f aca="true">NORMINV(RAND(),0,B$7)</f>
        <v>2.81941401955423</v>
      </c>
      <c r="C1540" s="53" t="n">
        <f aca="true">NORMINV(RAND(),0,C$7)</f>
        <v>1.19748085801713</v>
      </c>
      <c r="D1540" s="53" t="n">
        <f aca="true">NORMINV(RAND(),0,D$7)</f>
        <v>-0.763885776604967</v>
      </c>
      <c r="E1540" s="53" t="n">
        <f aca="true">NORMINV(RAND(),0,E$7)</f>
        <v>0.598138174654302</v>
      </c>
      <c r="F1540" s="53" t="n">
        <f aca="true">NORMINV(RAND(),0,F$7)</f>
        <v>-0.163815987785538</v>
      </c>
      <c r="G1540" s="53" t="n">
        <f aca="true">NORMINV(RAND(),0,G$7)</f>
        <v>-0.195061179188195</v>
      </c>
      <c r="H1540" s="53" t="n">
        <f aca="true">NORMINV(RAND(),0,H$7)</f>
        <v>-0.465577949862947</v>
      </c>
      <c r="I1540" s="53" t="n">
        <f aca="false">SUM(B1540:H1540)</f>
        <v>3.02669215878401</v>
      </c>
      <c r="J1540" s="53" t="n">
        <f aca="true">NORMINV(RAND(),0,J$7)</f>
        <v>-0.479119147803677</v>
      </c>
      <c r="K1540" s="53" t="n">
        <f aca="true">NORMINV(RAND(),0,K$7)</f>
        <v>-1.36024918863567</v>
      </c>
      <c r="L1540" s="53" t="n">
        <f aca="true">NORMINV(RAND(),0,L$7)</f>
        <v>-0.469475301478776</v>
      </c>
      <c r="M1540" s="53" t="n">
        <f aca="true">NORMINV(RAND(),0,M$7)</f>
        <v>0.0438731472314462</v>
      </c>
      <c r="N1540" s="53" t="n">
        <f aca="true">NORMINV(RAND(),0,N$7)</f>
        <v>0.575722652932249</v>
      </c>
      <c r="O1540" s="53" t="n">
        <f aca="false">SUM(J1540:N1540)</f>
        <v>-1.68924783775443</v>
      </c>
    </row>
    <row r="1541" customFormat="false" ht="15" hidden="false" customHeight="false" outlineLevel="0" collapsed="false">
      <c r="A1541" s="2" t="n">
        <v>1533</v>
      </c>
      <c r="B1541" s="53" t="n">
        <f aca="true">NORMINV(RAND(),0,B$7)</f>
        <v>-0.648439501985398</v>
      </c>
      <c r="C1541" s="53" t="n">
        <f aca="true">NORMINV(RAND(),0,C$7)</f>
        <v>-1.91588083299618</v>
      </c>
      <c r="D1541" s="53" t="n">
        <f aca="true">NORMINV(RAND(),0,D$7)</f>
        <v>-3.34033484606824</v>
      </c>
      <c r="E1541" s="53" t="n">
        <f aca="true">NORMINV(RAND(),0,E$7)</f>
        <v>0.846474520153677</v>
      </c>
      <c r="F1541" s="53" t="n">
        <f aca="true">NORMINV(RAND(),0,F$7)</f>
        <v>0.134877275397672</v>
      </c>
      <c r="G1541" s="53" t="n">
        <f aca="true">NORMINV(RAND(),0,G$7)</f>
        <v>-1.94772396601788</v>
      </c>
      <c r="H1541" s="53" t="n">
        <f aca="true">NORMINV(RAND(),0,H$7)</f>
        <v>0.246759542798983</v>
      </c>
      <c r="I1541" s="53" t="n">
        <f aca="false">SUM(B1541:H1541)</f>
        <v>-6.62426780871737</v>
      </c>
      <c r="J1541" s="53" t="n">
        <f aca="true">NORMINV(RAND(),0,J$7)</f>
        <v>3.31592170939708</v>
      </c>
      <c r="K1541" s="53" t="n">
        <f aca="true">NORMINV(RAND(),0,K$7)</f>
        <v>-0.402447740567394</v>
      </c>
      <c r="L1541" s="53" t="n">
        <f aca="true">NORMINV(RAND(),0,L$7)</f>
        <v>0.0169658767651171</v>
      </c>
      <c r="M1541" s="53" t="n">
        <f aca="true">NORMINV(RAND(),0,M$7)</f>
        <v>-0.11912103790788</v>
      </c>
      <c r="N1541" s="53" t="n">
        <f aca="true">NORMINV(RAND(),0,N$7)</f>
        <v>0.348099906621998</v>
      </c>
      <c r="O1541" s="53" t="n">
        <f aca="false">SUM(J1541:N1541)</f>
        <v>3.15941871430892</v>
      </c>
    </row>
    <row r="1542" customFormat="false" ht="15" hidden="false" customHeight="false" outlineLevel="0" collapsed="false">
      <c r="A1542" s="2" t="n">
        <v>1534</v>
      </c>
      <c r="B1542" s="53" t="n">
        <f aca="true">NORMINV(RAND(),0,B$7)</f>
        <v>-3.51110318128646</v>
      </c>
      <c r="C1542" s="53" t="n">
        <f aca="true">NORMINV(RAND(),0,C$7)</f>
        <v>0.589650302359707</v>
      </c>
      <c r="D1542" s="53" t="n">
        <f aca="true">NORMINV(RAND(),0,D$7)</f>
        <v>-0.146041566280452</v>
      </c>
      <c r="E1542" s="53" t="n">
        <f aca="true">NORMINV(RAND(),0,E$7)</f>
        <v>0.07798621860784</v>
      </c>
      <c r="F1542" s="53" t="n">
        <f aca="true">NORMINV(RAND(),0,F$7)</f>
        <v>0.0396351025575067</v>
      </c>
      <c r="G1542" s="53" t="n">
        <f aca="true">NORMINV(RAND(),0,G$7)</f>
        <v>0.542757582132044</v>
      </c>
      <c r="H1542" s="53" t="n">
        <f aca="true">NORMINV(RAND(),0,H$7)</f>
        <v>-0.735786596812886</v>
      </c>
      <c r="I1542" s="53" t="n">
        <f aca="false">SUM(B1542:H1542)</f>
        <v>-3.1429021387227</v>
      </c>
      <c r="J1542" s="53" t="n">
        <f aca="true">NORMINV(RAND(),0,J$7)</f>
        <v>2.38307733044778</v>
      </c>
      <c r="K1542" s="53" t="n">
        <f aca="true">NORMINV(RAND(),0,K$7)</f>
        <v>-0.793528411028031</v>
      </c>
      <c r="L1542" s="53" t="n">
        <f aca="true">NORMINV(RAND(),0,L$7)</f>
        <v>0.300755657602087</v>
      </c>
      <c r="M1542" s="53" t="n">
        <f aca="true">NORMINV(RAND(),0,M$7)</f>
        <v>0.500120351850028</v>
      </c>
      <c r="N1542" s="53" t="n">
        <f aca="true">NORMINV(RAND(),0,N$7)</f>
        <v>0.0912406276948478</v>
      </c>
      <c r="O1542" s="53" t="n">
        <f aca="false">SUM(J1542:N1542)</f>
        <v>2.48166555656671</v>
      </c>
    </row>
    <row r="1543" customFormat="false" ht="15" hidden="false" customHeight="false" outlineLevel="0" collapsed="false">
      <c r="A1543" s="2" t="n">
        <v>1535</v>
      </c>
      <c r="B1543" s="53" t="n">
        <f aca="true">NORMINV(RAND(),0,B$7)</f>
        <v>1.73804756682095</v>
      </c>
      <c r="C1543" s="53" t="n">
        <f aca="true">NORMINV(RAND(),0,C$7)</f>
        <v>-1.54966954220815</v>
      </c>
      <c r="D1543" s="53" t="n">
        <f aca="true">NORMINV(RAND(),0,D$7)</f>
        <v>-1.11400949686677</v>
      </c>
      <c r="E1543" s="53" t="n">
        <f aca="true">NORMINV(RAND(),0,E$7)</f>
        <v>-0.00698331798439917</v>
      </c>
      <c r="F1543" s="53" t="n">
        <f aca="true">NORMINV(RAND(),0,F$7)</f>
        <v>-0.0706425152980263</v>
      </c>
      <c r="G1543" s="53" t="n">
        <f aca="true">NORMINV(RAND(),0,G$7)</f>
        <v>1.00168293197112</v>
      </c>
      <c r="H1543" s="53" t="n">
        <f aca="true">NORMINV(RAND(),0,H$7)</f>
        <v>-0.0508547029723799</v>
      </c>
      <c r="I1543" s="53" t="n">
        <f aca="false">SUM(B1543:H1543)</f>
        <v>-0.0524290765376602</v>
      </c>
      <c r="J1543" s="53" t="n">
        <f aca="true">NORMINV(RAND(),0,J$7)</f>
        <v>0.736290152094586</v>
      </c>
      <c r="K1543" s="53" t="n">
        <f aca="true">NORMINV(RAND(),0,K$7)</f>
        <v>-0.382093608935561</v>
      </c>
      <c r="L1543" s="53" t="n">
        <f aca="true">NORMINV(RAND(),0,L$7)</f>
        <v>0.0786451450080168</v>
      </c>
      <c r="M1543" s="53" t="n">
        <f aca="true">NORMINV(RAND(),0,M$7)</f>
        <v>0.0150537075710769</v>
      </c>
      <c r="N1543" s="53" t="n">
        <f aca="true">NORMINV(RAND(),0,N$7)</f>
        <v>0.123254743343867</v>
      </c>
      <c r="O1543" s="53" t="n">
        <f aca="false">SUM(J1543:N1543)</f>
        <v>0.571150139081985</v>
      </c>
    </row>
    <row r="1544" customFormat="false" ht="15" hidden="false" customHeight="false" outlineLevel="0" collapsed="false">
      <c r="A1544" s="2" t="n">
        <v>1536</v>
      </c>
      <c r="B1544" s="53" t="n">
        <f aca="true">NORMINV(RAND(),0,B$7)</f>
        <v>-0.000812226639175276</v>
      </c>
      <c r="C1544" s="53" t="n">
        <f aca="true">NORMINV(RAND(),0,C$7)</f>
        <v>-1.88612804252804</v>
      </c>
      <c r="D1544" s="53" t="n">
        <f aca="true">NORMINV(RAND(),0,D$7)</f>
        <v>-1.48805165622073</v>
      </c>
      <c r="E1544" s="53" t="n">
        <f aca="true">NORMINV(RAND(),0,E$7)</f>
        <v>0.679336041195126</v>
      </c>
      <c r="F1544" s="53" t="n">
        <f aca="true">NORMINV(RAND(),0,F$7)</f>
        <v>0.187052637061599</v>
      </c>
      <c r="G1544" s="53" t="n">
        <f aca="true">NORMINV(RAND(),0,G$7)</f>
        <v>2.33960802638939</v>
      </c>
      <c r="H1544" s="53" t="n">
        <f aca="true">NORMINV(RAND(),0,H$7)</f>
        <v>0.336063813343418</v>
      </c>
      <c r="I1544" s="53" t="n">
        <f aca="false">SUM(B1544:H1544)</f>
        <v>0.167068592601581</v>
      </c>
      <c r="J1544" s="53" t="n">
        <f aca="true">NORMINV(RAND(),0,J$7)</f>
        <v>-1.66738053394645</v>
      </c>
      <c r="K1544" s="53" t="n">
        <f aca="true">NORMINV(RAND(),0,K$7)</f>
        <v>0.193588082309672</v>
      </c>
      <c r="L1544" s="53" t="n">
        <f aca="true">NORMINV(RAND(),0,L$7)</f>
        <v>0.0279748471740418</v>
      </c>
      <c r="M1544" s="53" t="n">
        <f aca="true">NORMINV(RAND(),0,M$7)</f>
        <v>0.0226392077123865</v>
      </c>
      <c r="N1544" s="53" t="n">
        <f aca="true">NORMINV(RAND(),0,N$7)</f>
        <v>-0.296423194498092</v>
      </c>
      <c r="O1544" s="53" t="n">
        <f aca="false">SUM(J1544:N1544)</f>
        <v>-1.71960159124845</v>
      </c>
    </row>
    <row r="1545" customFormat="false" ht="15" hidden="false" customHeight="false" outlineLevel="0" collapsed="false">
      <c r="A1545" s="2" t="n">
        <v>1537</v>
      </c>
      <c r="B1545" s="53" t="n">
        <f aca="true">NORMINV(RAND(),0,B$7)</f>
        <v>0.00282922289324617</v>
      </c>
      <c r="C1545" s="53" t="n">
        <f aca="true">NORMINV(RAND(),0,C$7)</f>
        <v>-0.460893636185095</v>
      </c>
      <c r="D1545" s="53" t="n">
        <f aca="true">NORMINV(RAND(),0,D$7)</f>
        <v>0.917710168774967</v>
      </c>
      <c r="E1545" s="53" t="n">
        <f aca="true">NORMINV(RAND(),0,E$7)</f>
        <v>0.0891274747863918</v>
      </c>
      <c r="F1545" s="53" t="n">
        <f aca="true">NORMINV(RAND(),0,F$7)</f>
        <v>-0.341657544827125</v>
      </c>
      <c r="G1545" s="53" t="n">
        <f aca="true">NORMINV(RAND(),0,G$7)</f>
        <v>-1.35641818894904</v>
      </c>
      <c r="H1545" s="53" t="n">
        <f aca="true">NORMINV(RAND(),0,H$7)</f>
        <v>-0.119736113759112</v>
      </c>
      <c r="I1545" s="53" t="n">
        <f aca="false">SUM(B1545:H1545)</f>
        <v>-1.26903861726576</v>
      </c>
      <c r="J1545" s="53" t="n">
        <f aca="true">NORMINV(RAND(),0,J$7)</f>
        <v>0.255195652282737</v>
      </c>
      <c r="K1545" s="53" t="n">
        <f aca="true">NORMINV(RAND(),0,K$7)</f>
        <v>-0.123030985549347</v>
      </c>
      <c r="L1545" s="53" t="n">
        <f aca="true">NORMINV(RAND(),0,L$7)</f>
        <v>-0.293631541024926</v>
      </c>
      <c r="M1545" s="53" t="n">
        <f aca="true">NORMINV(RAND(),0,M$7)</f>
        <v>0.151509225388187</v>
      </c>
      <c r="N1545" s="53" t="n">
        <f aca="true">NORMINV(RAND(),0,N$7)</f>
        <v>0.410798239009095</v>
      </c>
      <c r="O1545" s="53" t="n">
        <f aca="false">SUM(J1545:N1545)</f>
        <v>0.400840590105746</v>
      </c>
    </row>
    <row r="1546" customFormat="false" ht="15" hidden="false" customHeight="false" outlineLevel="0" collapsed="false">
      <c r="A1546" s="2" t="n">
        <v>1538</v>
      </c>
      <c r="B1546" s="53" t="n">
        <f aca="true">NORMINV(RAND(),0,B$7)</f>
        <v>-1.28366743373732</v>
      </c>
      <c r="C1546" s="53" t="n">
        <f aca="true">NORMINV(RAND(),0,C$7)</f>
        <v>2.48612862920299</v>
      </c>
      <c r="D1546" s="53" t="n">
        <f aca="true">NORMINV(RAND(),0,D$7)</f>
        <v>-0.849977860398398</v>
      </c>
      <c r="E1546" s="53" t="n">
        <f aca="true">NORMINV(RAND(),0,E$7)</f>
        <v>0.397689215616323</v>
      </c>
      <c r="F1546" s="53" t="n">
        <f aca="true">NORMINV(RAND(),0,F$7)</f>
        <v>0.223569311645912</v>
      </c>
      <c r="G1546" s="53" t="n">
        <f aca="true">NORMINV(RAND(),0,G$7)</f>
        <v>1.13574256556106</v>
      </c>
      <c r="H1546" s="53" t="n">
        <f aca="true">NORMINV(RAND(),0,H$7)</f>
        <v>-0.253569683658382</v>
      </c>
      <c r="I1546" s="53" t="n">
        <f aca="false">SUM(B1546:H1546)</f>
        <v>1.85591474423219</v>
      </c>
      <c r="J1546" s="53" t="n">
        <f aca="true">NORMINV(RAND(),0,J$7)</f>
        <v>-0.427950719401558</v>
      </c>
      <c r="K1546" s="53" t="n">
        <f aca="true">NORMINV(RAND(),0,K$7)</f>
        <v>-0.234569753487062</v>
      </c>
      <c r="L1546" s="53" t="n">
        <f aca="true">NORMINV(RAND(),0,L$7)</f>
        <v>-0.198421725309607</v>
      </c>
      <c r="M1546" s="53" t="n">
        <f aca="true">NORMINV(RAND(),0,M$7)</f>
        <v>-0.172444554065784</v>
      </c>
      <c r="N1546" s="53" t="n">
        <f aca="true">NORMINV(RAND(),0,N$7)</f>
        <v>-0.350701205210518</v>
      </c>
      <c r="O1546" s="53" t="n">
        <f aca="false">SUM(J1546:N1546)</f>
        <v>-1.38408795747453</v>
      </c>
    </row>
    <row r="1547" customFormat="false" ht="15" hidden="false" customHeight="false" outlineLevel="0" collapsed="false">
      <c r="A1547" s="2" t="n">
        <v>1539</v>
      </c>
      <c r="B1547" s="53" t="n">
        <f aca="true">NORMINV(RAND(),0,B$7)</f>
        <v>-0.912461548236787</v>
      </c>
      <c r="C1547" s="53" t="n">
        <f aca="true">NORMINV(RAND(),0,C$7)</f>
        <v>0.841989560202031</v>
      </c>
      <c r="D1547" s="53" t="n">
        <f aca="true">NORMINV(RAND(),0,D$7)</f>
        <v>0.0586187499329786</v>
      </c>
      <c r="E1547" s="53" t="n">
        <f aca="true">NORMINV(RAND(),0,E$7)</f>
        <v>-0.275169179768432</v>
      </c>
      <c r="F1547" s="53" t="n">
        <f aca="true">NORMINV(RAND(),0,F$7)</f>
        <v>0.0138579457286764</v>
      </c>
      <c r="G1547" s="53" t="n">
        <f aca="true">NORMINV(RAND(),0,G$7)</f>
        <v>-2.85859117125909</v>
      </c>
      <c r="H1547" s="53" t="n">
        <f aca="true">NORMINV(RAND(),0,H$7)</f>
        <v>0.200098302564212</v>
      </c>
      <c r="I1547" s="53" t="n">
        <f aca="false">SUM(B1547:H1547)</f>
        <v>-2.93165734083641</v>
      </c>
      <c r="J1547" s="53" t="n">
        <f aca="true">NORMINV(RAND(),0,J$7)</f>
        <v>2.55480447717291</v>
      </c>
      <c r="K1547" s="53" t="n">
        <f aca="true">NORMINV(RAND(),0,K$7)</f>
        <v>-0.490391812423596</v>
      </c>
      <c r="L1547" s="53" t="n">
        <f aca="true">NORMINV(RAND(),0,L$7)</f>
        <v>0.392797920215966</v>
      </c>
      <c r="M1547" s="53" t="n">
        <f aca="true">NORMINV(RAND(),0,M$7)</f>
        <v>-0.132284969328636</v>
      </c>
      <c r="N1547" s="53" t="n">
        <f aca="true">NORMINV(RAND(),0,N$7)</f>
        <v>-0.282167561235024</v>
      </c>
      <c r="O1547" s="53" t="n">
        <f aca="false">SUM(J1547:N1547)</f>
        <v>2.04275805440162</v>
      </c>
    </row>
    <row r="1548" customFormat="false" ht="15" hidden="false" customHeight="false" outlineLevel="0" collapsed="false">
      <c r="A1548" s="2" t="n">
        <v>1540</v>
      </c>
      <c r="B1548" s="53" t="n">
        <f aca="true">NORMINV(RAND(),0,B$7)</f>
        <v>0.103708585495705</v>
      </c>
      <c r="C1548" s="53" t="n">
        <f aca="true">NORMINV(RAND(),0,C$7)</f>
        <v>-2.19581656620801</v>
      </c>
      <c r="D1548" s="53" t="n">
        <f aca="true">NORMINV(RAND(),0,D$7)</f>
        <v>1.44523405962358</v>
      </c>
      <c r="E1548" s="53" t="n">
        <f aca="true">NORMINV(RAND(),0,E$7)</f>
        <v>0.0388684193862347</v>
      </c>
      <c r="F1548" s="53" t="n">
        <f aca="true">NORMINV(RAND(),0,F$7)</f>
        <v>0.144308757471171</v>
      </c>
      <c r="G1548" s="53" t="n">
        <f aca="true">NORMINV(RAND(),0,G$7)</f>
        <v>1.94122500800213</v>
      </c>
      <c r="H1548" s="53" t="n">
        <f aca="true">NORMINV(RAND(),0,H$7)</f>
        <v>-0.124255237416169</v>
      </c>
      <c r="I1548" s="53" t="n">
        <f aca="false">SUM(B1548:H1548)</f>
        <v>1.35327302635464</v>
      </c>
      <c r="J1548" s="53" t="n">
        <f aca="true">NORMINV(RAND(),0,J$7)</f>
        <v>-0.418013904026566</v>
      </c>
      <c r="K1548" s="53" t="n">
        <f aca="true">NORMINV(RAND(),0,K$7)</f>
        <v>0.417192967594066</v>
      </c>
      <c r="L1548" s="53" t="n">
        <f aca="true">NORMINV(RAND(),0,L$7)</f>
        <v>-0.209321213281852</v>
      </c>
      <c r="M1548" s="53" t="n">
        <f aca="true">NORMINV(RAND(),0,M$7)</f>
        <v>0.344825024313695</v>
      </c>
      <c r="N1548" s="53" t="n">
        <f aca="true">NORMINV(RAND(),0,N$7)</f>
        <v>-0.00158126682184481</v>
      </c>
      <c r="O1548" s="53" t="n">
        <f aca="false">SUM(J1548:N1548)</f>
        <v>0.133101607777499</v>
      </c>
    </row>
    <row r="1549" customFormat="false" ht="15" hidden="false" customHeight="false" outlineLevel="0" collapsed="false">
      <c r="A1549" s="2" t="n">
        <v>1541</v>
      </c>
      <c r="B1549" s="53" t="n">
        <f aca="true">NORMINV(RAND(),0,B$7)</f>
        <v>-2.47390193107425</v>
      </c>
      <c r="C1549" s="53" t="n">
        <f aca="true">NORMINV(RAND(),0,C$7)</f>
        <v>1.9133487924343</v>
      </c>
      <c r="D1549" s="53" t="n">
        <f aca="true">NORMINV(RAND(),0,D$7)</f>
        <v>2.25671277246182</v>
      </c>
      <c r="E1549" s="53" t="n">
        <f aca="true">NORMINV(RAND(),0,E$7)</f>
        <v>-0.16302564249106</v>
      </c>
      <c r="F1549" s="53" t="n">
        <f aca="true">NORMINV(RAND(),0,F$7)</f>
        <v>-0.285976980214716</v>
      </c>
      <c r="G1549" s="53" t="n">
        <f aca="true">NORMINV(RAND(),0,G$7)</f>
        <v>1.99279816318736</v>
      </c>
      <c r="H1549" s="53" t="n">
        <f aca="true">NORMINV(RAND(),0,H$7)</f>
        <v>-0.0166543334591946</v>
      </c>
      <c r="I1549" s="53" t="n">
        <f aca="false">SUM(B1549:H1549)</f>
        <v>3.22330084084427</v>
      </c>
      <c r="J1549" s="53" t="n">
        <f aca="true">NORMINV(RAND(),0,J$7)</f>
        <v>-1.5839816676044</v>
      </c>
      <c r="K1549" s="53" t="n">
        <f aca="true">NORMINV(RAND(),0,K$7)</f>
        <v>-0.150629303928689</v>
      </c>
      <c r="L1549" s="53" t="n">
        <f aca="true">NORMINV(RAND(),0,L$7)</f>
        <v>0.0532862780744705</v>
      </c>
      <c r="M1549" s="53" t="n">
        <f aca="true">NORMINV(RAND(),0,M$7)</f>
        <v>-0.152990964197254</v>
      </c>
      <c r="N1549" s="53" t="n">
        <f aca="true">NORMINV(RAND(),0,N$7)</f>
        <v>0.337418505380774</v>
      </c>
      <c r="O1549" s="53" t="n">
        <f aca="false">SUM(J1549:N1549)</f>
        <v>-1.4968971522751</v>
      </c>
    </row>
    <row r="1550" customFormat="false" ht="15" hidden="false" customHeight="false" outlineLevel="0" collapsed="false">
      <c r="A1550" s="2" t="n">
        <v>1542</v>
      </c>
      <c r="B1550" s="53" t="n">
        <f aca="true">NORMINV(RAND(),0,B$7)</f>
        <v>1.71014403533478</v>
      </c>
      <c r="C1550" s="53" t="n">
        <f aca="true">NORMINV(RAND(),0,C$7)</f>
        <v>-1.1760947258604</v>
      </c>
      <c r="D1550" s="53" t="n">
        <f aca="true">NORMINV(RAND(),0,D$7)</f>
        <v>0.534569392059465</v>
      </c>
      <c r="E1550" s="53" t="n">
        <f aca="true">NORMINV(RAND(),0,E$7)</f>
        <v>-0.385259666935971</v>
      </c>
      <c r="F1550" s="53" t="n">
        <f aca="true">NORMINV(RAND(),0,F$7)</f>
        <v>0.429707219296975</v>
      </c>
      <c r="G1550" s="53" t="n">
        <f aca="true">NORMINV(RAND(),0,G$7)</f>
        <v>0.10653067690696</v>
      </c>
      <c r="H1550" s="53" t="n">
        <f aca="true">NORMINV(RAND(),0,H$7)</f>
        <v>0.512231016995194</v>
      </c>
      <c r="I1550" s="53" t="n">
        <f aca="false">SUM(B1550:H1550)</f>
        <v>1.731827947797</v>
      </c>
      <c r="J1550" s="53" t="n">
        <f aca="true">NORMINV(RAND(),0,J$7)</f>
        <v>-0.607500214122752</v>
      </c>
      <c r="K1550" s="53" t="n">
        <f aca="true">NORMINV(RAND(),0,K$7)</f>
        <v>-0.321037093018795</v>
      </c>
      <c r="L1550" s="53" t="n">
        <f aca="true">NORMINV(RAND(),0,L$7)</f>
        <v>0.393847907002996</v>
      </c>
      <c r="M1550" s="53" t="n">
        <f aca="true">NORMINV(RAND(),0,M$7)</f>
        <v>-0.114015448180735</v>
      </c>
      <c r="N1550" s="53" t="n">
        <f aca="true">NORMINV(RAND(),0,N$7)</f>
        <v>0.275407406718584</v>
      </c>
      <c r="O1550" s="53" t="n">
        <f aca="false">SUM(J1550:N1550)</f>
        <v>-0.373297441600702</v>
      </c>
    </row>
    <row r="1551" customFormat="false" ht="15" hidden="false" customHeight="false" outlineLevel="0" collapsed="false">
      <c r="A1551" s="2" t="n">
        <v>1543</v>
      </c>
      <c r="B1551" s="53" t="n">
        <f aca="true">NORMINV(RAND(),0,B$7)</f>
        <v>1.47555132416438</v>
      </c>
      <c r="C1551" s="53" t="n">
        <f aca="true">NORMINV(RAND(),0,C$7)</f>
        <v>-0.872375537230029</v>
      </c>
      <c r="D1551" s="53" t="n">
        <f aca="true">NORMINV(RAND(),0,D$7)</f>
        <v>1.15456378509272</v>
      </c>
      <c r="E1551" s="53" t="n">
        <f aca="true">NORMINV(RAND(),0,E$7)</f>
        <v>0.199866699883701</v>
      </c>
      <c r="F1551" s="53" t="n">
        <f aca="true">NORMINV(RAND(),0,F$7)</f>
        <v>0.284858161070299</v>
      </c>
      <c r="G1551" s="53" t="n">
        <f aca="true">NORMINV(RAND(),0,G$7)</f>
        <v>-1.80596397958889</v>
      </c>
      <c r="H1551" s="53" t="n">
        <f aca="true">NORMINV(RAND(),0,H$7)</f>
        <v>0.284139190640301</v>
      </c>
      <c r="I1551" s="53" t="n">
        <f aca="false">SUM(B1551:H1551)</f>
        <v>0.720639644032478</v>
      </c>
      <c r="J1551" s="53" t="n">
        <f aca="true">NORMINV(RAND(),0,J$7)</f>
        <v>-1.01901364014724</v>
      </c>
      <c r="K1551" s="53" t="n">
        <f aca="true">NORMINV(RAND(),0,K$7)</f>
        <v>0.333051592356556</v>
      </c>
      <c r="L1551" s="53" t="n">
        <f aca="true">NORMINV(RAND(),0,L$7)</f>
        <v>0.248454121497023</v>
      </c>
      <c r="M1551" s="53" t="n">
        <f aca="true">NORMINV(RAND(),0,M$7)</f>
        <v>-0.439581506786162</v>
      </c>
      <c r="N1551" s="53" t="n">
        <f aca="true">NORMINV(RAND(),0,N$7)</f>
        <v>0.455977857319049</v>
      </c>
      <c r="O1551" s="53" t="n">
        <f aca="false">SUM(J1551:N1551)</f>
        <v>-0.421111575760772</v>
      </c>
    </row>
    <row r="1552" customFormat="false" ht="15" hidden="false" customHeight="false" outlineLevel="0" collapsed="false">
      <c r="A1552" s="2" t="n">
        <v>1544</v>
      </c>
      <c r="B1552" s="53" t="n">
        <f aca="true">NORMINV(RAND(),0,B$7)</f>
        <v>-1.67574055266693</v>
      </c>
      <c r="C1552" s="53" t="n">
        <f aca="true">NORMINV(RAND(),0,C$7)</f>
        <v>3.11735297406279</v>
      </c>
      <c r="D1552" s="53" t="n">
        <f aca="true">NORMINV(RAND(),0,D$7)</f>
        <v>4.90540704023843</v>
      </c>
      <c r="E1552" s="53" t="n">
        <f aca="true">NORMINV(RAND(),0,E$7)</f>
        <v>0.249142772250796</v>
      </c>
      <c r="F1552" s="53" t="n">
        <f aca="true">NORMINV(RAND(),0,F$7)</f>
        <v>0.336513074797551</v>
      </c>
      <c r="G1552" s="53" t="n">
        <f aca="true">NORMINV(RAND(),0,G$7)</f>
        <v>-1.7582248889683</v>
      </c>
      <c r="H1552" s="53" t="n">
        <f aca="true">NORMINV(RAND(),0,H$7)</f>
        <v>-0.282338254029322</v>
      </c>
      <c r="I1552" s="53" t="n">
        <f aca="false">SUM(B1552:H1552)</f>
        <v>4.89211216568502</v>
      </c>
      <c r="J1552" s="53" t="n">
        <f aca="true">NORMINV(RAND(),0,J$7)</f>
        <v>-1.25795865069012</v>
      </c>
      <c r="K1552" s="53" t="n">
        <f aca="true">NORMINV(RAND(),0,K$7)</f>
        <v>-2.16370767304205</v>
      </c>
      <c r="L1552" s="53" t="n">
        <f aca="true">NORMINV(RAND(),0,L$7)</f>
        <v>0.145412193691865</v>
      </c>
      <c r="M1552" s="53" t="n">
        <f aca="true">NORMINV(RAND(),0,M$7)</f>
        <v>-0.132789596056624</v>
      </c>
      <c r="N1552" s="53" t="n">
        <f aca="true">NORMINV(RAND(),0,N$7)</f>
        <v>-0.428526501334064</v>
      </c>
      <c r="O1552" s="53" t="n">
        <f aca="false">SUM(J1552:N1552)</f>
        <v>-3.83757022743099</v>
      </c>
    </row>
    <row r="1553" customFormat="false" ht="15" hidden="false" customHeight="false" outlineLevel="0" collapsed="false">
      <c r="A1553" s="2" t="n">
        <v>1545</v>
      </c>
      <c r="B1553" s="53" t="n">
        <f aca="true">NORMINV(RAND(),0,B$7)</f>
        <v>-1.52963861371823</v>
      </c>
      <c r="C1553" s="53" t="n">
        <f aca="true">NORMINV(RAND(),0,C$7)</f>
        <v>0.99195471870471</v>
      </c>
      <c r="D1553" s="53" t="n">
        <f aca="true">NORMINV(RAND(),0,D$7)</f>
        <v>2.35269607792679</v>
      </c>
      <c r="E1553" s="53" t="n">
        <f aca="true">NORMINV(RAND(),0,E$7)</f>
        <v>0.527008440510511</v>
      </c>
      <c r="F1553" s="53" t="n">
        <f aca="true">NORMINV(RAND(),0,F$7)</f>
        <v>-0.196737544012315</v>
      </c>
      <c r="G1553" s="53" t="n">
        <f aca="true">NORMINV(RAND(),0,G$7)</f>
        <v>1.78041797854711</v>
      </c>
      <c r="H1553" s="53" t="n">
        <f aca="true">NORMINV(RAND(),0,H$7)</f>
        <v>-0.104463933414935</v>
      </c>
      <c r="I1553" s="53" t="n">
        <f aca="false">SUM(B1553:H1553)</f>
        <v>3.82123712454364</v>
      </c>
      <c r="J1553" s="53" t="n">
        <f aca="true">NORMINV(RAND(),0,J$7)</f>
        <v>0.358828018133953</v>
      </c>
      <c r="K1553" s="53" t="n">
        <f aca="true">NORMINV(RAND(),0,K$7)</f>
        <v>1.18822722369378</v>
      </c>
      <c r="L1553" s="53" t="n">
        <f aca="true">NORMINV(RAND(),0,L$7)</f>
        <v>0.457783437526918</v>
      </c>
      <c r="M1553" s="53" t="n">
        <f aca="true">NORMINV(RAND(),0,M$7)</f>
        <v>-0.0433163996279566</v>
      </c>
      <c r="N1553" s="53" t="n">
        <f aca="true">NORMINV(RAND(),0,N$7)</f>
        <v>0.091118768335806</v>
      </c>
      <c r="O1553" s="53" t="n">
        <f aca="false">SUM(J1553:N1553)</f>
        <v>2.0526410480625</v>
      </c>
    </row>
    <row r="1554" customFormat="false" ht="15" hidden="false" customHeight="false" outlineLevel="0" collapsed="false">
      <c r="A1554" s="2" t="n">
        <v>1546</v>
      </c>
      <c r="B1554" s="53" t="n">
        <f aca="true">NORMINV(RAND(),0,B$7)</f>
        <v>1.55766948661311</v>
      </c>
      <c r="C1554" s="53" t="n">
        <f aca="true">NORMINV(RAND(),0,C$7)</f>
        <v>-1.02988265728999</v>
      </c>
      <c r="D1554" s="53" t="n">
        <f aca="true">NORMINV(RAND(),0,D$7)</f>
        <v>-0.429198614159184</v>
      </c>
      <c r="E1554" s="53" t="n">
        <f aca="true">NORMINV(RAND(),0,E$7)</f>
        <v>-0.462735072575452</v>
      </c>
      <c r="F1554" s="53" t="n">
        <f aca="true">NORMINV(RAND(),0,F$7)</f>
        <v>0.15821114664598</v>
      </c>
      <c r="G1554" s="53" t="n">
        <f aca="true">NORMINV(RAND(),0,G$7)</f>
        <v>0.50210132743951</v>
      </c>
      <c r="H1554" s="53" t="n">
        <f aca="true">NORMINV(RAND(),0,H$7)</f>
        <v>0.23750494688678</v>
      </c>
      <c r="I1554" s="53" t="n">
        <f aca="false">SUM(B1554:H1554)</f>
        <v>0.533670563560749</v>
      </c>
      <c r="J1554" s="53" t="n">
        <f aca="true">NORMINV(RAND(),0,J$7)</f>
        <v>0.133913059007053</v>
      </c>
      <c r="K1554" s="53" t="n">
        <f aca="true">NORMINV(RAND(),0,K$7)</f>
        <v>0.809581464872838</v>
      </c>
      <c r="L1554" s="53" t="n">
        <f aca="true">NORMINV(RAND(),0,L$7)</f>
        <v>-0.226684003201999</v>
      </c>
      <c r="M1554" s="53" t="n">
        <f aca="true">NORMINV(RAND(),0,M$7)</f>
        <v>0.158376496746316</v>
      </c>
      <c r="N1554" s="53" t="n">
        <f aca="true">NORMINV(RAND(),0,N$7)</f>
        <v>-0.0380731107837066</v>
      </c>
      <c r="O1554" s="53" t="n">
        <f aca="false">SUM(J1554:N1554)</f>
        <v>0.8371139066405</v>
      </c>
    </row>
    <row r="1555" customFormat="false" ht="15" hidden="false" customHeight="false" outlineLevel="0" collapsed="false">
      <c r="A1555" s="2" t="n">
        <v>1547</v>
      </c>
      <c r="B1555" s="53" t="n">
        <f aca="true">NORMINV(RAND(),0,B$7)</f>
        <v>1.46890234459704</v>
      </c>
      <c r="C1555" s="53" t="n">
        <f aca="true">NORMINV(RAND(),0,C$7)</f>
        <v>-0.876310780633032</v>
      </c>
      <c r="D1555" s="53" t="n">
        <f aca="true">NORMINV(RAND(),0,D$7)</f>
        <v>-2.38396794594326</v>
      </c>
      <c r="E1555" s="53" t="n">
        <f aca="true">NORMINV(RAND(),0,E$7)</f>
        <v>0.54218635188598</v>
      </c>
      <c r="F1555" s="53" t="n">
        <f aca="true">NORMINV(RAND(),0,F$7)</f>
        <v>0.0876625526112232</v>
      </c>
      <c r="G1555" s="53" t="n">
        <f aca="true">NORMINV(RAND(),0,G$7)</f>
        <v>0.677462526201222</v>
      </c>
      <c r="H1555" s="53" t="n">
        <f aca="true">NORMINV(RAND(),0,H$7)</f>
        <v>0.00175488022081687</v>
      </c>
      <c r="I1555" s="53" t="n">
        <f aca="false">SUM(B1555:H1555)</f>
        <v>-0.482310071060005</v>
      </c>
      <c r="J1555" s="53" t="n">
        <f aca="true">NORMINV(RAND(),0,J$7)</f>
        <v>0.297564815366128</v>
      </c>
      <c r="K1555" s="53" t="n">
        <f aca="true">NORMINV(RAND(),0,K$7)</f>
        <v>0.127240685669622</v>
      </c>
      <c r="L1555" s="53" t="n">
        <f aca="true">NORMINV(RAND(),0,L$7)</f>
        <v>-0.137960725890157</v>
      </c>
      <c r="M1555" s="53" t="n">
        <f aca="true">NORMINV(RAND(),0,M$7)</f>
        <v>0.102710185717342</v>
      </c>
      <c r="N1555" s="53" t="n">
        <f aca="true">NORMINV(RAND(),0,N$7)</f>
        <v>-0.41347991169419</v>
      </c>
      <c r="O1555" s="53" t="n">
        <f aca="false">SUM(J1555:N1555)</f>
        <v>-0.0239249508312552</v>
      </c>
    </row>
    <row r="1556" customFormat="false" ht="15" hidden="false" customHeight="false" outlineLevel="0" collapsed="false">
      <c r="A1556" s="2" t="n">
        <v>1548</v>
      </c>
      <c r="B1556" s="53" t="n">
        <f aca="true">NORMINV(RAND(),0,B$7)</f>
        <v>-1.60414505149207</v>
      </c>
      <c r="C1556" s="53" t="n">
        <f aca="true">NORMINV(RAND(),0,C$7)</f>
        <v>1.08886341070842</v>
      </c>
      <c r="D1556" s="53" t="n">
        <f aca="true">NORMINV(RAND(),0,D$7)</f>
        <v>1.44570870344948</v>
      </c>
      <c r="E1556" s="53" t="n">
        <f aca="true">NORMINV(RAND(),0,E$7)</f>
        <v>0.0101698646272432</v>
      </c>
      <c r="F1556" s="53" t="n">
        <f aca="true">NORMINV(RAND(),0,F$7)</f>
        <v>0.329681033509095</v>
      </c>
      <c r="G1556" s="53" t="n">
        <f aca="true">NORMINV(RAND(),0,G$7)</f>
        <v>1.42730366688851</v>
      </c>
      <c r="H1556" s="53" t="n">
        <f aca="true">NORMINV(RAND(),0,H$7)</f>
        <v>-0.545989632273628</v>
      </c>
      <c r="I1556" s="53" t="n">
        <f aca="false">SUM(B1556:H1556)</f>
        <v>2.15159199541705</v>
      </c>
      <c r="J1556" s="53" t="n">
        <f aca="true">NORMINV(RAND(),0,J$7)</f>
        <v>0.0596728168320346</v>
      </c>
      <c r="K1556" s="53" t="n">
        <f aca="true">NORMINV(RAND(),0,K$7)</f>
        <v>0.619363321016894</v>
      </c>
      <c r="L1556" s="53" t="n">
        <f aca="true">NORMINV(RAND(),0,L$7)</f>
        <v>-0.618077893986896</v>
      </c>
      <c r="M1556" s="53" t="n">
        <f aca="true">NORMINV(RAND(),0,M$7)</f>
        <v>-0.261785417591062</v>
      </c>
      <c r="N1556" s="53" t="n">
        <f aca="true">NORMINV(RAND(),0,N$7)</f>
        <v>0.0397006427549908</v>
      </c>
      <c r="O1556" s="53" t="n">
        <f aca="false">SUM(J1556:N1556)</f>
        <v>-0.161126530974038</v>
      </c>
    </row>
    <row r="1557" customFormat="false" ht="15" hidden="false" customHeight="false" outlineLevel="0" collapsed="false">
      <c r="A1557" s="2" t="n">
        <v>1549</v>
      </c>
      <c r="B1557" s="53" t="n">
        <f aca="true">NORMINV(RAND(),0,B$7)</f>
        <v>-2.25865329231251</v>
      </c>
      <c r="C1557" s="53" t="n">
        <f aca="true">NORMINV(RAND(),0,C$7)</f>
        <v>-2.00440929604796</v>
      </c>
      <c r="D1557" s="53" t="n">
        <f aca="true">NORMINV(RAND(),0,D$7)</f>
        <v>0.716420659508777</v>
      </c>
      <c r="E1557" s="53" t="n">
        <f aca="true">NORMINV(RAND(),0,E$7)</f>
        <v>-0.280046290231799</v>
      </c>
      <c r="F1557" s="53" t="n">
        <f aca="true">NORMINV(RAND(),0,F$7)</f>
        <v>-0.348609696911951</v>
      </c>
      <c r="G1557" s="53" t="n">
        <f aca="true">NORMINV(RAND(),0,G$7)</f>
        <v>-0.0220718589190798</v>
      </c>
      <c r="H1557" s="53" t="n">
        <f aca="true">NORMINV(RAND(),0,H$7)</f>
        <v>-0.231296186377215</v>
      </c>
      <c r="I1557" s="53" t="n">
        <f aca="false">SUM(B1557:H1557)</f>
        <v>-4.42866596129174</v>
      </c>
      <c r="J1557" s="53" t="n">
        <f aca="true">NORMINV(RAND(),0,J$7)</f>
        <v>2.17488867703583</v>
      </c>
      <c r="K1557" s="53" t="n">
        <f aca="true">NORMINV(RAND(),0,K$7)</f>
        <v>0.0870157370504892</v>
      </c>
      <c r="L1557" s="53" t="n">
        <f aca="true">NORMINV(RAND(),0,L$7)</f>
        <v>-0.624546046543054</v>
      </c>
      <c r="M1557" s="53" t="n">
        <f aca="true">NORMINV(RAND(),0,M$7)</f>
        <v>-0.150389736727724</v>
      </c>
      <c r="N1557" s="53" t="n">
        <f aca="true">NORMINV(RAND(),0,N$7)</f>
        <v>0.0014000728877283</v>
      </c>
      <c r="O1557" s="53" t="n">
        <f aca="false">SUM(J1557:N1557)</f>
        <v>1.48836870370327</v>
      </c>
    </row>
    <row r="1558" customFormat="false" ht="15" hidden="false" customHeight="false" outlineLevel="0" collapsed="false">
      <c r="A1558" s="2" t="n">
        <v>1550</v>
      </c>
      <c r="B1558" s="53" t="n">
        <f aca="true">NORMINV(RAND(),0,B$7)</f>
        <v>2.76548877885629</v>
      </c>
      <c r="C1558" s="53" t="n">
        <f aca="true">NORMINV(RAND(),0,C$7)</f>
        <v>0.948560224120834</v>
      </c>
      <c r="D1558" s="53" t="n">
        <f aca="true">NORMINV(RAND(),0,D$7)</f>
        <v>-1.68299613404457</v>
      </c>
      <c r="E1558" s="53" t="n">
        <f aca="true">NORMINV(RAND(),0,E$7)</f>
        <v>-0.0184104875706297</v>
      </c>
      <c r="F1558" s="53" t="n">
        <f aca="true">NORMINV(RAND(),0,F$7)</f>
        <v>-0.341638701204982</v>
      </c>
      <c r="G1558" s="53" t="n">
        <f aca="true">NORMINV(RAND(),0,G$7)</f>
        <v>0.804479420510542</v>
      </c>
      <c r="H1558" s="53" t="n">
        <f aca="true">NORMINV(RAND(),0,H$7)</f>
        <v>-0.119348953981498</v>
      </c>
      <c r="I1558" s="53" t="n">
        <f aca="false">SUM(B1558:H1558)</f>
        <v>2.35613414668599</v>
      </c>
      <c r="J1558" s="53" t="n">
        <f aca="true">NORMINV(RAND(),0,J$7)</f>
        <v>1.38670606093122</v>
      </c>
      <c r="K1558" s="53" t="n">
        <f aca="true">NORMINV(RAND(),0,K$7)</f>
        <v>-0.416903684247158</v>
      </c>
      <c r="L1558" s="53" t="n">
        <f aca="true">NORMINV(RAND(),0,L$7)</f>
        <v>0.149123707337984</v>
      </c>
      <c r="M1558" s="53" t="n">
        <f aca="true">NORMINV(RAND(),0,M$7)</f>
        <v>0.0293814937985007</v>
      </c>
      <c r="N1558" s="53" t="n">
        <f aca="true">NORMINV(RAND(),0,N$7)</f>
        <v>0.285656193624394</v>
      </c>
      <c r="O1558" s="53" t="n">
        <f aca="false">SUM(J1558:N1558)</f>
        <v>1.43396377144494</v>
      </c>
    </row>
    <row r="1559" customFormat="false" ht="15" hidden="false" customHeight="false" outlineLevel="0" collapsed="false">
      <c r="A1559" s="2" t="n">
        <v>1551</v>
      </c>
      <c r="B1559" s="53" t="n">
        <f aca="true">NORMINV(RAND(),0,B$7)</f>
        <v>0.314185393677067</v>
      </c>
      <c r="C1559" s="53" t="n">
        <f aca="true">NORMINV(RAND(),0,C$7)</f>
        <v>2.15267133673604</v>
      </c>
      <c r="D1559" s="53" t="n">
        <f aca="true">NORMINV(RAND(),0,D$7)</f>
        <v>-3.62071485286513</v>
      </c>
      <c r="E1559" s="53" t="n">
        <f aca="true">NORMINV(RAND(),0,E$7)</f>
        <v>-0.245682349505381</v>
      </c>
      <c r="F1559" s="53" t="n">
        <f aca="true">NORMINV(RAND(),0,F$7)</f>
        <v>-0.0428919741134463</v>
      </c>
      <c r="G1559" s="53" t="n">
        <f aca="true">NORMINV(RAND(),0,G$7)</f>
        <v>0.0220082024851183</v>
      </c>
      <c r="H1559" s="53" t="n">
        <f aca="true">NORMINV(RAND(),0,H$7)</f>
        <v>-0.390800831455061</v>
      </c>
      <c r="I1559" s="53" t="n">
        <f aca="false">SUM(B1559:H1559)</f>
        <v>-1.81122507504079</v>
      </c>
      <c r="J1559" s="53" t="n">
        <f aca="true">NORMINV(RAND(),0,J$7)</f>
        <v>2.41843382315136</v>
      </c>
      <c r="K1559" s="53" t="n">
        <f aca="true">NORMINV(RAND(),0,K$7)</f>
        <v>0.994332122162653</v>
      </c>
      <c r="L1559" s="53" t="n">
        <f aca="true">NORMINV(RAND(),0,L$7)</f>
        <v>-0.00469967504605614</v>
      </c>
      <c r="M1559" s="53" t="n">
        <f aca="true">NORMINV(RAND(),0,M$7)</f>
        <v>0.295808779507884</v>
      </c>
      <c r="N1559" s="53" t="n">
        <f aca="true">NORMINV(RAND(),0,N$7)</f>
        <v>0.139124640606974</v>
      </c>
      <c r="O1559" s="53" t="n">
        <f aca="false">SUM(J1559:N1559)</f>
        <v>3.84299969038282</v>
      </c>
    </row>
    <row r="1560" customFormat="false" ht="15" hidden="false" customHeight="false" outlineLevel="0" collapsed="false">
      <c r="A1560" s="2" t="n">
        <v>1552</v>
      </c>
      <c r="B1560" s="53" t="n">
        <f aca="true">NORMINV(RAND(),0,B$7)</f>
        <v>-0.0963498200880621</v>
      </c>
      <c r="C1560" s="53" t="n">
        <f aca="true">NORMINV(RAND(),0,C$7)</f>
        <v>1.73917539857784</v>
      </c>
      <c r="D1560" s="53" t="n">
        <f aca="true">NORMINV(RAND(),0,D$7)</f>
        <v>-4.73485351986207</v>
      </c>
      <c r="E1560" s="53" t="n">
        <f aca="true">NORMINV(RAND(),0,E$7)</f>
        <v>-0.15555048402718</v>
      </c>
      <c r="F1560" s="53" t="n">
        <f aca="true">NORMINV(RAND(),0,F$7)</f>
        <v>-0.0166337613015697</v>
      </c>
      <c r="G1560" s="53" t="n">
        <f aca="true">NORMINV(RAND(),0,G$7)</f>
        <v>-0.753203612419613</v>
      </c>
      <c r="H1560" s="53" t="n">
        <f aca="true">NORMINV(RAND(),0,H$7)</f>
        <v>-0.49658605425831</v>
      </c>
      <c r="I1560" s="53" t="n">
        <f aca="false">SUM(B1560:H1560)</f>
        <v>-4.51400185337897</v>
      </c>
      <c r="J1560" s="53" t="n">
        <f aca="true">NORMINV(RAND(),0,J$7)</f>
        <v>0.0447973048995713</v>
      </c>
      <c r="K1560" s="53" t="n">
        <f aca="true">NORMINV(RAND(),0,K$7)</f>
        <v>0.463234958937044</v>
      </c>
      <c r="L1560" s="53" t="n">
        <f aca="true">NORMINV(RAND(),0,L$7)</f>
        <v>-0.362981754144988</v>
      </c>
      <c r="M1560" s="53" t="n">
        <f aca="true">NORMINV(RAND(),0,M$7)</f>
        <v>0.0735947806584276</v>
      </c>
      <c r="N1560" s="53" t="n">
        <f aca="true">NORMINV(RAND(),0,N$7)</f>
        <v>0.72139797321087</v>
      </c>
      <c r="O1560" s="53" t="n">
        <f aca="false">SUM(J1560:N1560)</f>
        <v>0.940043263560925</v>
      </c>
    </row>
    <row r="1561" customFormat="false" ht="15" hidden="false" customHeight="false" outlineLevel="0" collapsed="false">
      <c r="A1561" s="2" t="n">
        <v>1553</v>
      </c>
      <c r="B1561" s="53" t="n">
        <f aca="true">NORMINV(RAND(),0,B$7)</f>
        <v>0.100345441833043</v>
      </c>
      <c r="C1561" s="53" t="n">
        <f aca="true">NORMINV(RAND(),0,C$7)</f>
        <v>-2.61984456793713</v>
      </c>
      <c r="D1561" s="53" t="n">
        <f aca="true">NORMINV(RAND(),0,D$7)</f>
        <v>0.497980486003362</v>
      </c>
      <c r="E1561" s="53" t="n">
        <f aca="true">NORMINV(RAND(),0,E$7)</f>
        <v>-0.635448764999619</v>
      </c>
      <c r="F1561" s="53" t="n">
        <f aca="true">NORMINV(RAND(),0,F$7)</f>
        <v>0.117644570555937</v>
      </c>
      <c r="G1561" s="53" t="n">
        <f aca="true">NORMINV(RAND(),0,G$7)</f>
        <v>1.22740805853312</v>
      </c>
      <c r="H1561" s="53" t="n">
        <f aca="true">NORMINV(RAND(),0,H$7)</f>
        <v>0.0850405490731219</v>
      </c>
      <c r="I1561" s="53" t="n">
        <f aca="false">SUM(B1561:H1561)</f>
        <v>-1.22687422693817</v>
      </c>
      <c r="J1561" s="53" t="n">
        <f aca="true">NORMINV(RAND(),0,J$7)</f>
        <v>-3.07539635165252</v>
      </c>
      <c r="K1561" s="53" t="n">
        <f aca="true">NORMINV(RAND(),0,K$7)</f>
        <v>0.18200835668318</v>
      </c>
      <c r="L1561" s="53" t="n">
        <f aca="true">NORMINV(RAND(),0,L$7)</f>
        <v>-0.15497664306165</v>
      </c>
      <c r="M1561" s="53" t="n">
        <f aca="true">NORMINV(RAND(),0,M$7)</f>
        <v>0.204009351014014</v>
      </c>
      <c r="N1561" s="53" t="n">
        <f aca="true">NORMINV(RAND(),0,N$7)</f>
        <v>-0.195984764749868</v>
      </c>
      <c r="O1561" s="53" t="n">
        <f aca="false">SUM(J1561:N1561)</f>
        <v>-3.04034005176685</v>
      </c>
    </row>
    <row r="1562" customFormat="false" ht="15" hidden="false" customHeight="false" outlineLevel="0" collapsed="false">
      <c r="A1562" s="2" t="n">
        <v>1554</v>
      </c>
      <c r="B1562" s="53" t="n">
        <f aca="true">NORMINV(RAND(),0,B$7)</f>
        <v>-2.80371097296828</v>
      </c>
      <c r="C1562" s="53" t="n">
        <f aca="true">NORMINV(RAND(),0,C$7)</f>
        <v>-0.850115229398007</v>
      </c>
      <c r="D1562" s="53" t="n">
        <f aca="true">NORMINV(RAND(),0,D$7)</f>
        <v>3.40063561295787</v>
      </c>
      <c r="E1562" s="53" t="n">
        <f aca="true">NORMINV(RAND(),0,E$7)</f>
        <v>-0.168509081807831</v>
      </c>
      <c r="F1562" s="53" t="n">
        <f aca="true">NORMINV(RAND(),0,F$7)</f>
        <v>0.238469008256142</v>
      </c>
      <c r="G1562" s="53" t="n">
        <f aca="true">NORMINV(RAND(),0,G$7)</f>
        <v>-1.20654710721168</v>
      </c>
      <c r="H1562" s="53" t="n">
        <f aca="true">NORMINV(RAND(),0,H$7)</f>
        <v>0.270467790549563</v>
      </c>
      <c r="I1562" s="53" t="n">
        <f aca="false">SUM(B1562:H1562)</f>
        <v>-1.11930997962223</v>
      </c>
      <c r="J1562" s="53" t="n">
        <f aca="true">NORMINV(RAND(),0,J$7)</f>
        <v>3.80778308831476</v>
      </c>
      <c r="K1562" s="53" t="n">
        <f aca="true">NORMINV(RAND(),0,K$7)</f>
        <v>0.00213991853487167</v>
      </c>
      <c r="L1562" s="53" t="n">
        <f aca="true">NORMINV(RAND(),0,L$7)</f>
        <v>-0.491468087183897</v>
      </c>
      <c r="M1562" s="53" t="n">
        <f aca="true">NORMINV(RAND(),0,M$7)</f>
        <v>-0.000727983819373516</v>
      </c>
      <c r="N1562" s="53" t="n">
        <f aca="true">NORMINV(RAND(),0,N$7)</f>
        <v>0.152621466878006</v>
      </c>
      <c r="O1562" s="53" t="n">
        <f aca="false">SUM(J1562:N1562)</f>
        <v>3.47034840272437</v>
      </c>
    </row>
    <row r="1563" customFormat="false" ht="15" hidden="false" customHeight="false" outlineLevel="0" collapsed="false">
      <c r="A1563" s="2" t="n">
        <v>1555</v>
      </c>
      <c r="B1563" s="53" t="n">
        <f aca="true">NORMINV(RAND(),0,B$7)</f>
        <v>2.2215972092916</v>
      </c>
      <c r="C1563" s="53" t="n">
        <f aca="true">NORMINV(RAND(),0,C$7)</f>
        <v>-2.03732857400203</v>
      </c>
      <c r="D1563" s="53" t="n">
        <f aca="true">NORMINV(RAND(),0,D$7)</f>
        <v>1.48953352825308</v>
      </c>
      <c r="E1563" s="53" t="n">
        <f aca="true">NORMINV(RAND(),0,E$7)</f>
        <v>0.441491235799553</v>
      </c>
      <c r="F1563" s="53" t="n">
        <f aca="true">NORMINV(RAND(),0,F$7)</f>
        <v>0.00826175669510863</v>
      </c>
      <c r="G1563" s="53" t="n">
        <f aca="true">NORMINV(RAND(),0,G$7)</f>
        <v>0.990361078975056</v>
      </c>
      <c r="H1563" s="53" t="n">
        <f aca="true">NORMINV(RAND(),0,H$7)</f>
        <v>-0.120684392598637</v>
      </c>
      <c r="I1563" s="53" t="n">
        <f aca="false">SUM(B1563:H1563)</f>
        <v>2.99323184241373</v>
      </c>
      <c r="J1563" s="53" t="n">
        <f aca="true">NORMINV(RAND(),0,J$7)</f>
        <v>-0.125122525719695</v>
      </c>
      <c r="K1563" s="53" t="n">
        <f aca="true">NORMINV(RAND(),0,K$7)</f>
        <v>-0.551766494703748</v>
      </c>
      <c r="L1563" s="53" t="n">
        <f aca="true">NORMINV(RAND(),0,L$7)</f>
        <v>0.454729819546883</v>
      </c>
      <c r="M1563" s="53" t="n">
        <f aca="true">NORMINV(RAND(),0,M$7)</f>
        <v>-0.178972248158382</v>
      </c>
      <c r="N1563" s="53" t="n">
        <f aca="true">NORMINV(RAND(),0,N$7)</f>
        <v>0.0268811977326219</v>
      </c>
      <c r="O1563" s="53" t="n">
        <f aca="false">SUM(J1563:N1563)</f>
        <v>-0.37425025130232</v>
      </c>
    </row>
    <row r="1564" customFormat="false" ht="15" hidden="false" customHeight="false" outlineLevel="0" collapsed="false">
      <c r="A1564" s="2" t="n">
        <v>1556</v>
      </c>
      <c r="B1564" s="53" t="n">
        <f aca="true">NORMINV(RAND(),0,B$7)</f>
        <v>0.1557333277239</v>
      </c>
      <c r="C1564" s="53" t="n">
        <f aca="true">NORMINV(RAND(),0,C$7)</f>
        <v>1.22635689267459</v>
      </c>
      <c r="D1564" s="53" t="n">
        <f aca="true">NORMINV(RAND(),0,D$7)</f>
        <v>1.60367515863209</v>
      </c>
      <c r="E1564" s="53" t="n">
        <f aca="true">NORMINV(RAND(),0,E$7)</f>
        <v>0.463550648362033</v>
      </c>
      <c r="F1564" s="53" t="n">
        <f aca="true">NORMINV(RAND(),0,F$7)</f>
        <v>-0.152188847546045</v>
      </c>
      <c r="G1564" s="53" t="n">
        <f aca="true">NORMINV(RAND(),0,G$7)</f>
        <v>1.93221807051344</v>
      </c>
      <c r="H1564" s="53" t="n">
        <f aca="true">NORMINV(RAND(),0,H$7)</f>
        <v>-0.125485077000474</v>
      </c>
      <c r="I1564" s="53" t="n">
        <f aca="false">SUM(B1564:H1564)</f>
        <v>5.10386017335953</v>
      </c>
      <c r="J1564" s="53" t="n">
        <f aca="true">NORMINV(RAND(),0,J$7)</f>
        <v>-1.85970745034379</v>
      </c>
      <c r="K1564" s="53" t="n">
        <f aca="true">NORMINV(RAND(),0,K$7)</f>
        <v>0.327782858816836</v>
      </c>
      <c r="L1564" s="53" t="n">
        <f aca="true">NORMINV(RAND(),0,L$7)</f>
        <v>-0.325925346339976</v>
      </c>
      <c r="M1564" s="53" t="n">
        <f aca="true">NORMINV(RAND(),0,M$7)</f>
        <v>0.141516065678646</v>
      </c>
      <c r="N1564" s="53" t="n">
        <f aca="true">NORMINV(RAND(),0,N$7)</f>
        <v>0.29237950566822</v>
      </c>
      <c r="O1564" s="53" t="n">
        <f aca="false">SUM(J1564:N1564)</f>
        <v>-1.42395436652006</v>
      </c>
    </row>
    <row r="1565" customFormat="false" ht="15" hidden="false" customHeight="false" outlineLevel="0" collapsed="false">
      <c r="A1565" s="2" t="n">
        <v>1557</v>
      </c>
      <c r="B1565" s="53" t="n">
        <f aca="true">NORMINV(RAND(),0,B$7)</f>
        <v>0.999347791293391</v>
      </c>
      <c r="C1565" s="53" t="n">
        <f aca="true">NORMINV(RAND(),0,C$7)</f>
        <v>-0.436787147372918</v>
      </c>
      <c r="D1565" s="53" t="n">
        <f aca="true">NORMINV(RAND(),0,D$7)</f>
        <v>-0.102526268279885</v>
      </c>
      <c r="E1565" s="53" t="n">
        <f aca="true">NORMINV(RAND(),0,E$7)</f>
        <v>-0.920504307383845</v>
      </c>
      <c r="F1565" s="53" t="n">
        <f aca="true">NORMINV(RAND(),0,F$7)</f>
        <v>-0.0115006524922492</v>
      </c>
      <c r="G1565" s="53" t="n">
        <f aca="true">NORMINV(RAND(),0,G$7)</f>
        <v>-1.79814969213732</v>
      </c>
      <c r="H1565" s="53" t="n">
        <f aca="true">NORMINV(RAND(),0,H$7)</f>
        <v>-0.469520770402322</v>
      </c>
      <c r="I1565" s="53" t="n">
        <f aca="false">SUM(B1565:H1565)</f>
        <v>-2.73964104677515</v>
      </c>
      <c r="J1565" s="53" t="n">
        <f aca="true">NORMINV(RAND(),0,J$7)</f>
        <v>-1.2901105548615</v>
      </c>
      <c r="K1565" s="53" t="n">
        <f aca="true">NORMINV(RAND(),0,K$7)</f>
        <v>-0.376096575084203</v>
      </c>
      <c r="L1565" s="53" t="n">
        <f aca="true">NORMINV(RAND(),0,L$7)</f>
        <v>0.230907767976284</v>
      </c>
      <c r="M1565" s="53" t="n">
        <f aca="true">NORMINV(RAND(),0,M$7)</f>
        <v>0.0642641302897155</v>
      </c>
      <c r="N1565" s="53" t="n">
        <f aca="true">NORMINV(RAND(),0,N$7)</f>
        <v>-0.0911697688924449</v>
      </c>
      <c r="O1565" s="53" t="n">
        <f aca="false">SUM(J1565:N1565)</f>
        <v>-1.46220500057215</v>
      </c>
    </row>
    <row r="1566" customFormat="false" ht="15" hidden="false" customHeight="false" outlineLevel="0" collapsed="false">
      <c r="A1566" s="2" t="n">
        <v>1558</v>
      </c>
      <c r="B1566" s="53" t="n">
        <f aca="true">NORMINV(RAND(),0,B$7)</f>
        <v>0.572076015590407</v>
      </c>
      <c r="C1566" s="53" t="n">
        <f aca="true">NORMINV(RAND(),0,C$7)</f>
        <v>0.801576674367692</v>
      </c>
      <c r="D1566" s="53" t="n">
        <f aca="true">NORMINV(RAND(),0,D$7)</f>
        <v>4.30355481491591</v>
      </c>
      <c r="E1566" s="53" t="n">
        <f aca="true">NORMINV(RAND(),0,E$7)</f>
        <v>0.17024125035857</v>
      </c>
      <c r="F1566" s="53" t="n">
        <f aca="true">NORMINV(RAND(),0,F$7)</f>
        <v>0.228843666904303</v>
      </c>
      <c r="G1566" s="53" t="n">
        <f aca="true">NORMINV(RAND(),0,G$7)</f>
        <v>1.44749358162567</v>
      </c>
      <c r="H1566" s="53" t="n">
        <f aca="true">NORMINV(RAND(),0,H$7)</f>
        <v>0.403455885768081</v>
      </c>
      <c r="I1566" s="53" t="n">
        <f aca="false">SUM(B1566:H1566)</f>
        <v>7.92724188953063</v>
      </c>
      <c r="J1566" s="53" t="n">
        <f aca="true">NORMINV(RAND(),0,J$7)</f>
        <v>2.10911274918641</v>
      </c>
      <c r="K1566" s="53" t="n">
        <f aca="true">NORMINV(RAND(),0,K$7)</f>
        <v>-0.609866185401156</v>
      </c>
      <c r="L1566" s="53" t="n">
        <f aca="true">NORMINV(RAND(),0,L$7)</f>
        <v>-0.317900526955649</v>
      </c>
      <c r="M1566" s="53" t="n">
        <f aca="true">NORMINV(RAND(),0,M$7)</f>
        <v>-0.152268424272825</v>
      </c>
      <c r="N1566" s="53" t="n">
        <f aca="true">NORMINV(RAND(),0,N$7)</f>
        <v>0.233538762978979</v>
      </c>
      <c r="O1566" s="53" t="n">
        <f aca="false">SUM(J1566:N1566)</f>
        <v>1.26261637553576</v>
      </c>
    </row>
    <row r="1567" customFormat="false" ht="15" hidden="false" customHeight="false" outlineLevel="0" collapsed="false">
      <c r="A1567" s="2" t="n">
        <v>1559</v>
      </c>
      <c r="B1567" s="53" t="n">
        <f aca="true">NORMINV(RAND(),0,B$7)</f>
        <v>3.29057257469124</v>
      </c>
      <c r="C1567" s="53" t="n">
        <f aca="true">NORMINV(RAND(),0,C$7)</f>
        <v>1.11389083111165</v>
      </c>
      <c r="D1567" s="53" t="n">
        <f aca="true">NORMINV(RAND(),0,D$7)</f>
        <v>2.4747846307161</v>
      </c>
      <c r="E1567" s="53" t="n">
        <f aca="true">NORMINV(RAND(),0,E$7)</f>
        <v>-0.143582952267992</v>
      </c>
      <c r="F1567" s="53" t="n">
        <f aca="true">NORMINV(RAND(),0,F$7)</f>
        <v>0.115525659214557</v>
      </c>
      <c r="G1567" s="53" t="n">
        <f aca="true">NORMINV(RAND(),0,G$7)</f>
        <v>0.264494648747935</v>
      </c>
      <c r="H1567" s="53" t="n">
        <f aca="true">NORMINV(RAND(),0,H$7)</f>
        <v>0.261130222030748</v>
      </c>
      <c r="I1567" s="53" t="n">
        <f aca="false">SUM(B1567:H1567)</f>
        <v>7.37681561424423</v>
      </c>
      <c r="J1567" s="53" t="n">
        <f aca="true">NORMINV(RAND(),0,J$7)</f>
        <v>-1.74323393248333</v>
      </c>
      <c r="K1567" s="53" t="n">
        <f aca="true">NORMINV(RAND(),0,K$7)</f>
        <v>0.0937467540765599</v>
      </c>
      <c r="L1567" s="53" t="n">
        <f aca="true">NORMINV(RAND(),0,L$7)</f>
        <v>0.333721198138457</v>
      </c>
      <c r="M1567" s="53" t="n">
        <f aca="true">NORMINV(RAND(),0,M$7)</f>
        <v>-0.308891718656493</v>
      </c>
      <c r="N1567" s="53" t="n">
        <f aca="true">NORMINV(RAND(),0,N$7)</f>
        <v>0.373588921849247</v>
      </c>
      <c r="O1567" s="53" t="n">
        <f aca="false">SUM(J1567:N1567)</f>
        <v>-1.25106877707555</v>
      </c>
    </row>
    <row r="1568" customFormat="false" ht="15" hidden="false" customHeight="false" outlineLevel="0" collapsed="false">
      <c r="A1568" s="2" t="n">
        <v>1560</v>
      </c>
      <c r="B1568" s="53" t="n">
        <f aca="true">NORMINV(RAND(),0,B$7)</f>
        <v>-1.98678452015695</v>
      </c>
      <c r="C1568" s="53" t="n">
        <f aca="true">NORMINV(RAND(),0,C$7)</f>
        <v>1.81911752158727</v>
      </c>
      <c r="D1568" s="53" t="n">
        <f aca="true">NORMINV(RAND(),0,D$7)</f>
        <v>2.33514530266585</v>
      </c>
      <c r="E1568" s="53" t="n">
        <f aca="true">NORMINV(RAND(),0,E$7)</f>
        <v>-0.0797389283932665</v>
      </c>
      <c r="F1568" s="53" t="n">
        <f aca="true">NORMINV(RAND(),0,F$7)</f>
        <v>0.179981909144158</v>
      </c>
      <c r="G1568" s="53" t="n">
        <f aca="true">NORMINV(RAND(),0,G$7)</f>
        <v>-1.60867615207531</v>
      </c>
      <c r="H1568" s="53" t="n">
        <f aca="true">NORMINV(RAND(),0,H$7)</f>
        <v>-0.0609633452089307</v>
      </c>
      <c r="I1568" s="53" t="n">
        <f aca="false">SUM(B1568:H1568)</f>
        <v>0.598081787562825</v>
      </c>
      <c r="J1568" s="53" t="n">
        <f aca="true">NORMINV(RAND(),0,J$7)</f>
        <v>4.30796742183315</v>
      </c>
      <c r="K1568" s="53" t="n">
        <f aca="true">NORMINV(RAND(),0,K$7)</f>
        <v>-0.0780104974597965</v>
      </c>
      <c r="L1568" s="53" t="n">
        <f aca="true">NORMINV(RAND(),0,L$7)</f>
        <v>-0.0806511412969842</v>
      </c>
      <c r="M1568" s="53" t="n">
        <f aca="true">NORMINV(RAND(),0,M$7)</f>
        <v>-0.00787153886365132</v>
      </c>
      <c r="N1568" s="53" t="n">
        <f aca="true">NORMINV(RAND(),0,N$7)</f>
        <v>0.552441108456928</v>
      </c>
      <c r="O1568" s="53" t="n">
        <f aca="false">SUM(J1568:N1568)</f>
        <v>4.69387535266965</v>
      </c>
    </row>
    <row r="1569" customFormat="false" ht="15" hidden="false" customHeight="false" outlineLevel="0" collapsed="false">
      <c r="A1569" s="2" t="n">
        <v>1561</v>
      </c>
      <c r="B1569" s="53" t="n">
        <f aca="true">NORMINV(RAND(),0,B$7)</f>
        <v>-1.4830277130166</v>
      </c>
      <c r="C1569" s="53" t="n">
        <f aca="true">NORMINV(RAND(),0,C$7)</f>
        <v>-0.675300253700451</v>
      </c>
      <c r="D1569" s="53" t="n">
        <f aca="true">NORMINV(RAND(),0,D$7)</f>
        <v>1.53028439536004</v>
      </c>
      <c r="E1569" s="53" t="n">
        <f aca="true">NORMINV(RAND(),0,E$7)</f>
        <v>0.17944734878976</v>
      </c>
      <c r="F1569" s="53" t="n">
        <f aca="true">NORMINV(RAND(),0,F$7)</f>
        <v>-0.155259161840952</v>
      </c>
      <c r="G1569" s="53" t="n">
        <f aca="true">NORMINV(RAND(),0,G$7)</f>
        <v>0.658230157519929</v>
      </c>
      <c r="H1569" s="53" t="n">
        <f aca="true">NORMINV(RAND(),0,H$7)</f>
        <v>-0.123475692538416</v>
      </c>
      <c r="I1569" s="53" t="n">
        <f aca="false">SUM(B1569:H1569)</f>
        <v>-0.069100919426697</v>
      </c>
      <c r="J1569" s="53" t="n">
        <f aca="true">NORMINV(RAND(),0,J$7)</f>
        <v>1.82574576449941</v>
      </c>
      <c r="K1569" s="53" t="n">
        <f aca="true">NORMINV(RAND(),0,K$7)</f>
        <v>0.127680410267421</v>
      </c>
      <c r="L1569" s="53" t="n">
        <f aca="true">NORMINV(RAND(),0,L$7)</f>
        <v>-0.178183862149311</v>
      </c>
      <c r="M1569" s="53" t="n">
        <f aca="true">NORMINV(RAND(),0,M$7)</f>
        <v>-0.261439878538581</v>
      </c>
      <c r="N1569" s="53" t="n">
        <f aca="true">NORMINV(RAND(),0,N$7)</f>
        <v>0.294505552220291</v>
      </c>
      <c r="O1569" s="53" t="n">
        <f aca="false">SUM(J1569:N1569)</f>
        <v>1.80830798629923</v>
      </c>
    </row>
    <row r="1570" customFormat="false" ht="15" hidden="false" customHeight="false" outlineLevel="0" collapsed="false">
      <c r="A1570" s="2" t="n">
        <v>1562</v>
      </c>
      <c r="B1570" s="53" t="n">
        <f aca="true">NORMINV(RAND(),0,B$7)</f>
        <v>-0.210478734360091</v>
      </c>
      <c r="C1570" s="53" t="n">
        <f aca="true">NORMINV(RAND(),0,C$7)</f>
        <v>0.864878089005449</v>
      </c>
      <c r="D1570" s="53" t="n">
        <f aca="true">NORMINV(RAND(),0,D$7)</f>
        <v>0.436589118029646</v>
      </c>
      <c r="E1570" s="53" t="n">
        <f aca="true">NORMINV(RAND(),0,E$7)</f>
        <v>-0.0860868294813679</v>
      </c>
      <c r="F1570" s="53" t="n">
        <f aca="true">NORMINV(RAND(),0,F$7)</f>
        <v>-0.144782350456877</v>
      </c>
      <c r="G1570" s="53" t="n">
        <f aca="true">NORMINV(RAND(),0,G$7)</f>
        <v>0.255214520335947</v>
      </c>
      <c r="H1570" s="53" t="n">
        <f aca="true">NORMINV(RAND(),0,H$7)</f>
        <v>-0.00981685093991375</v>
      </c>
      <c r="I1570" s="53" t="n">
        <f aca="false">SUM(B1570:H1570)</f>
        <v>1.10551696213279</v>
      </c>
      <c r="J1570" s="53" t="n">
        <f aca="true">NORMINV(RAND(),0,J$7)</f>
        <v>0.0450208493520158</v>
      </c>
      <c r="K1570" s="53" t="n">
        <f aca="true">NORMINV(RAND(),0,K$7)</f>
        <v>0.936569225917261</v>
      </c>
      <c r="L1570" s="53" t="n">
        <f aca="true">NORMINV(RAND(),0,L$7)</f>
        <v>0.0521262834742605</v>
      </c>
      <c r="M1570" s="53" t="n">
        <f aca="true">NORMINV(RAND(),0,M$7)</f>
        <v>0.0695672512772658</v>
      </c>
      <c r="N1570" s="53" t="n">
        <f aca="true">NORMINV(RAND(),0,N$7)</f>
        <v>0.192292748319956</v>
      </c>
      <c r="O1570" s="53" t="n">
        <f aca="false">SUM(J1570:N1570)</f>
        <v>1.29557635834076</v>
      </c>
    </row>
    <row r="1571" customFormat="false" ht="15" hidden="false" customHeight="false" outlineLevel="0" collapsed="false">
      <c r="A1571" s="2" t="n">
        <v>1563</v>
      </c>
      <c r="B1571" s="53" t="n">
        <f aca="true">NORMINV(RAND(),0,B$7)</f>
        <v>-1.32048861876872</v>
      </c>
      <c r="C1571" s="53" t="n">
        <f aca="true">NORMINV(RAND(),0,C$7)</f>
        <v>0.778964433685553</v>
      </c>
      <c r="D1571" s="53" t="n">
        <f aca="true">NORMINV(RAND(),0,D$7)</f>
        <v>-0.66560132617792</v>
      </c>
      <c r="E1571" s="53" t="n">
        <f aca="true">NORMINV(RAND(),0,E$7)</f>
        <v>-0.152206340246045</v>
      </c>
      <c r="F1571" s="53" t="n">
        <f aca="true">NORMINV(RAND(),0,F$7)</f>
        <v>0.0455404203916795</v>
      </c>
      <c r="G1571" s="53" t="n">
        <f aca="true">NORMINV(RAND(),0,G$7)</f>
        <v>-2.22673699533022</v>
      </c>
      <c r="H1571" s="53" t="n">
        <f aca="true">NORMINV(RAND(),0,H$7)</f>
        <v>0.219482006522374</v>
      </c>
      <c r="I1571" s="53" t="n">
        <f aca="false">SUM(B1571:H1571)</f>
        <v>-3.32104641992329</v>
      </c>
      <c r="J1571" s="53" t="n">
        <f aca="true">NORMINV(RAND(),0,J$7)</f>
        <v>2.90095747415117</v>
      </c>
      <c r="K1571" s="53" t="n">
        <f aca="true">NORMINV(RAND(),0,K$7)</f>
        <v>0.0847959021041981</v>
      </c>
      <c r="L1571" s="53" t="n">
        <f aca="true">NORMINV(RAND(),0,L$7)</f>
        <v>0.604197227958737</v>
      </c>
      <c r="M1571" s="53" t="n">
        <f aca="true">NORMINV(RAND(),0,M$7)</f>
        <v>0.352112814078603</v>
      </c>
      <c r="N1571" s="53" t="n">
        <f aca="true">NORMINV(RAND(),0,N$7)</f>
        <v>-0.210821139542336</v>
      </c>
      <c r="O1571" s="53" t="n">
        <f aca="false">SUM(J1571:N1571)</f>
        <v>3.73124227875037</v>
      </c>
    </row>
    <row r="1572" customFormat="false" ht="15" hidden="false" customHeight="false" outlineLevel="0" collapsed="false">
      <c r="A1572" s="2" t="n">
        <v>1564</v>
      </c>
      <c r="B1572" s="53" t="n">
        <f aca="true">NORMINV(RAND(),0,B$7)</f>
        <v>1.55539725936977</v>
      </c>
      <c r="C1572" s="53" t="n">
        <f aca="true">NORMINV(RAND(),0,C$7)</f>
        <v>2.92707494344209</v>
      </c>
      <c r="D1572" s="53" t="n">
        <f aca="true">NORMINV(RAND(),0,D$7)</f>
        <v>0.576909051916612</v>
      </c>
      <c r="E1572" s="53" t="n">
        <f aca="true">NORMINV(RAND(),0,E$7)</f>
        <v>0.0388840491091225</v>
      </c>
      <c r="F1572" s="53" t="n">
        <f aca="true">NORMINV(RAND(),0,F$7)</f>
        <v>0.392142744726334</v>
      </c>
      <c r="G1572" s="53" t="n">
        <f aca="true">NORMINV(RAND(),0,G$7)</f>
        <v>-1.75702005245621</v>
      </c>
      <c r="H1572" s="53" t="n">
        <f aca="true">NORMINV(RAND(),0,H$7)</f>
        <v>0.526783297009059</v>
      </c>
      <c r="I1572" s="53" t="n">
        <f aca="false">SUM(B1572:H1572)</f>
        <v>4.26017129311678</v>
      </c>
      <c r="J1572" s="53" t="n">
        <f aca="true">NORMINV(RAND(),0,J$7)</f>
        <v>2.94230383665405</v>
      </c>
      <c r="K1572" s="53" t="n">
        <f aca="true">NORMINV(RAND(),0,K$7)</f>
        <v>0.43675071944884</v>
      </c>
      <c r="L1572" s="53" t="n">
        <f aca="true">NORMINV(RAND(),0,L$7)</f>
        <v>-0.215237463257845</v>
      </c>
      <c r="M1572" s="53" t="n">
        <f aca="true">NORMINV(RAND(),0,M$7)</f>
        <v>0.250914442030239</v>
      </c>
      <c r="N1572" s="53" t="n">
        <f aca="true">NORMINV(RAND(),0,N$7)</f>
        <v>-0.216802257247179</v>
      </c>
      <c r="O1572" s="53" t="n">
        <f aca="false">SUM(J1572:N1572)</f>
        <v>3.19792927762811</v>
      </c>
    </row>
    <row r="1573" customFormat="false" ht="15" hidden="false" customHeight="false" outlineLevel="0" collapsed="false">
      <c r="A1573" s="2" t="n">
        <v>1565</v>
      </c>
      <c r="B1573" s="53" t="n">
        <f aca="true">NORMINV(RAND(),0,B$7)</f>
        <v>-0.664262047397433</v>
      </c>
      <c r="C1573" s="53" t="n">
        <f aca="true">NORMINV(RAND(),0,C$7)</f>
        <v>3.97223036005587</v>
      </c>
      <c r="D1573" s="53" t="n">
        <f aca="true">NORMINV(RAND(),0,D$7)</f>
        <v>2.85814572363996</v>
      </c>
      <c r="E1573" s="53" t="n">
        <f aca="true">NORMINV(RAND(),0,E$7)</f>
        <v>-0.00413052811498747</v>
      </c>
      <c r="F1573" s="53" t="n">
        <f aca="true">NORMINV(RAND(),0,F$7)</f>
        <v>-0.0891139192995052</v>
      </c>
      <c r="G1573" s="53" t="n">
        <f aca="true">NORMINV(RAND(),0,G$7)</f>
        <v>0.349975690816135</v>
      </c>
      <c r="H1573" s="53" t="n">
        <f aca="true">NORMINV(RAND(),0,H$7)</f>
        <v>0.298058647423926</v>
      </c>
      <c r="I1573" s="53" t="n">
        <f aca="false">SUM(B1573:H1573)</f>
        <v>6.72090392712396</v>
      </c>
      <c r="J1573" s="53" t="n">
        <f aca="true">NORMINV(RAND(),0,J$7)</f>
        <v>2.73789038006726</v>
      </c>
      <c r="K1573" s="53" t="n">
        <f aca="true">NORMINV(RAND(),0,K$7)</f>
        <v>0.413684689421973</v>
      </c>
      <c r="L1573" s="53" t="n">
        <f aca="true">NORMINV(RAND(),0,L$7)</f>
        <v>-0.287839347925101</v>
      </c>
      <c r="M1573" s="53" t="n">
        <f aca="true">NORMINV(RAND(),0,M$7)</f>
        <v>0.149025477012246</v>
      </c>
      <c r="N1573" s="53" t="n">
        <f aca="true">NORMINV(RAND(),0,N$7)</f>
        <v>-0.146873482776471</v>
      </c>
      <c r="O1573" s="53" t="n">
        <f aca="false">SUM(J1573:N1573)</f>
        <v>2.8658877157999</v>
      </c>
    </row>
    <row r="1574" customFormat="false" ht="15" hidden="false" customHeight="false" outlineLevel="0" collapsed="false">
      <c r="A1574" s="2" t="n">
        <v>1566</v>
      </c>
      <c r="B1574" s="53" t="n">
        <f aca="true">NORMINV(RAND(),0,B$7)</f>
        <v>1.31906113920888</v>
      </c>
      <c r="C1574" s="53" t="n">
        <f aca="true">NORMINV(RAND(),0,C$7)</f>
        <v>-1.62677140112646</v>
      </c>
      <c r="D1574" s="53" t="n">
        <f aca="true">NORMINV(RAND(),0,D$7)</f>
        <v>-1.42711704655978</v>
      </c>
      <c r="E1574" s="53" t="n">
        <f aca="true">NORMINV(RAND(),0,E$7)</f>
        <v>-0.421928918535844</v>
      </c>
      <c r="F1574" s="53" t="n">
        <f aca="true">NORMINV(RAND(),0,F$7)</f>
        <v>0.202590084040998</v>
      </c>
      <c r="G1574" s="53" t="n">
        <f aca="true">NORMINV(RAND(),0,G$7)</f>
        <v>2.59681088226177</v>
      </c>
      <c r="H1574" s="53" t="n">
        <f aca="true">NORMINV(RAND(),0,H$7)</f>
        <v>0.0939127684404252</v>
      </c>
      <c r="I1574" s="53" t="n">
        <f aca="false">SUM(B1574:H1574)</f>
        <v>0.736557507729987</v>
      </c>
      <c r="J1574" s="53" t="n">
        <f aca="true">NORMINV(RAND(),0,J$7)</f>
        <v>-2.10446067498223</v>
      </c>
      <c r="K1574" s="53" t="n">
        <f aca="true">NORMINV(RAND(),0,K$7)</f>
        <v>1.39807945123241</v>
      </c>
      <c r="L1574" s="53" t="n">
        <f aca="true">NORMINV(RAND(),0,L$7)</f>
        <v>-0.00575435760377841</v>
      </c>
      <c r="M1574" s="53" t="n">
        <f aca="true">NORMINV(RAND(),0,M$7)</f>
        <v>0.218390646862663</v>
      </c>
      <c r="N1574" s="53" t="n">
        <f aca="true">NORMINV(RAND(),0,N$7)</f>
        <v>-0.217030282558927</v>
      </c>
      <c r="O1574" s="53" t="n">
        <f aca="false">SUM(J1574:N1574)</f>
        <v>-0.710775217049861</v>
      </c>
    </row>
    <row r="1575" customFormat="false" ht="15" hidden="false" customHeight="false" outlineLevel="0" collapsed="false">
      <c r="A1575" s="2" t="n">
        <v>1567</v>
      </c>
      <c r="B1575" s="53" t="n">
        <f aca="true">NORMINV(RAND(),0,B$7)</f>
        <v>-0.726098408226719</v>
      </c>
      <c r="C1575" s="53" t="n">
        <f aca="true">NORMINV(RAND(),0,C$7)</f>
        <v>-2.51902208951314</v>
      </c>
      <c r="D1575" s="53" t="n">
        <f aca="true">NORMINV(RAND(),0,D$7)</f>
        <v>2.09529955786977</v>
      </c>
      <c r="E1575" s="53" t="n">
        <f aca="true">NORMINV(RAND(),0,E$7)</f>
        <v>0.0151019363740599</v>
      </c>
      <c r="F1575" s="53" t="n">
        <f aca="true">NORMINV(RAND(),0,F$7)</f>
        <v>0.08146766043688</v>
      </c>
      <c r="G1575" s="53" t="n">
        <f aca="true">NORMINV(RAND(),0,G$7)</f>
        <v>-3.22169682214757</v>
      </c>
      <c r="H1575" s="53" t="n">
        <f aca="true">NORMINV(RAND(),0,H$7)</f>
        <v>-0.315237464858979</v>
      </c>
      <c r="I1575" s="53" t="n">
        <f aca="false">SUM(B1575:H1575)</f>
        <v>-4.5901856300657</v>
      </c>
      <c r="J1575" s="53" t="n">
        <f aca="true">NORMINV(RAND(),0,J$7)</f>
        <v>5.21467143457135</v>
      </c>
      <c r="K1575" s="53" t="n">
        <f aca="true">NORMINV(RAND(),0,K$7)</f>
        <v>0.222920558001636</v>
      </c>
      <c r="L1575" s="53" t="n">
        <f aca="true">NORMINV(RAND(),0,L$7)</f>
        <v>0.020887840294817</v>
      </c>
      <c r="M1575" s="53" t="n">
        <f aca="true">NORMINV(RAND(),0,M$7)</f>
        <v>0.0440021172997676</v>
      </c>
      <c r="N1575" s="53" t="n">
        <f aca="true">NORMINV(RAND(),0,N$7)</f>
        <v>-0.805850648491154</v>
      </c>
      <c r="O1575" s="53" t="n">
        <f aca="false">SUM(J1575:N1575)</f>
        <v>4.69663130167642</v>
      </c>
    </row>
    <row r="1576" customFormat="false" ht="15" hidden="false" customHeight="false" outlineLevel="0" collapsed="false">
      <c r="A1576" s="2" t="n">
        <v>1568</v>
      </c>
      <c r="B1576" s="53" t="n">
        <f aca="true">NORMINV(RAND(),0,B$7)</f>
        <v>-0.74152402172515</v>
      </c>
      <c r="C1576" s="53" t="n">
        <f aca="true">NORMINV(RAND(),0,C$7)</f>
        <v>1.46489783761692</v>
      </c>
      <c r="D1576" s="53" t="n">
        <f aca="true">NORMINV(RAND(),0,D$7)</f>
        <v>0.341574481675355</v>
      </c>
      <c r="E1576" s="53" t="n">
        <f aca="true">NORMINV(RAND(),0,E$7)</f>
        <v>0.529266116071673</v>
      </c>
      <c r="F1576" s="53" t="n">
        <f aca="true">NORMINV(RAND(),0,F$7)</f>
        <v>0.0945833655610761</v>
      </c>
      <c r="G1576" s="53" t="n">
        <f aca="true">NORMINV(RAND(),0,G$7)</f>
        <v>-0.859476742003714</v>
      </c>
      <c r="H1576" s="53" t="n">
        <f aca="true">NORMINV(RAND(),0,H$7)</f>
        <v>0.443538969945649</v>
      </c>
      <c r="I1576" s="53" t="n">
        <f aca="false">SUM(B1576:H1576)</f>
        <v>1.27286000714181</v>
      </c>
      <c r="J1576" s="53" t="n">
        <f aca="true">NORMINV(RAND(),0,J$7)</f>
        <v>-0.718976925384837</v>
      </c>
      <c r="K1576" s="53" t="n">
        <f aca="true">NORMINV(RAND(),0,K$7)</f>
        <v>-0.7277881537492</v>
      </c>
      <c r="L1576" s="53" t="n">
        <f aca="true">NORMINV(RAND(),0,L$7)</f>
        <v>-0.511092282529789</v>
      </c>
      <c r="M1576" s="53" t="n">
        <f aca="true">NORMINV(RAND(),0,M$7)</f>
        <v>0.0289548289194065</v>
      </c>
      <c r="N1576" s="53" t="n">
        <f aca="true">NORMINV(RAND(),0,N$7)</f>
        <v>0.0913210758025831</v>
      </c>
      <c r="O1576" s="53" t="n">
        <f aca="false">SUM(J1576:N1576)</f>
        <v>-1.83758145694184</v>
      </c>
    </row>
    <row r="1577" customFormat="false" ht="15" hidden="false" customHeight="false" outlineLevel="0" collapsed="false">
      <c r="A1577" s="2" t="n">
        <v>1569</v>
      </c>
      <c r="B1577" s="53" t="n">
        <f aca="true">NORMINV(RAND(),0,B$7)</f>
        <v>0.561787467784366</v>
      </c>
      <c r="C1577" s="53" t="n">
        <f aca="true">NORMINV(RAND(),0,C$7)</f>
        <v>0.689190073517131</v>
      </c>
      <c r="D1577" s="53" t="n">
        <f aca="true">NORMINV(RAND(),0,D$7)</f>
        <v>0.687173268283544</v>
      </c>
      <c r="E1577" s="53" t="n">
        <f aca="true">NORMINV(RAND(),0,E$7)</f>
        <v>0.17885905814782</v>
      </c>
      <c r="F1577" s="53" t="n">
        <f aca="true">NORMINV(RAND(),0,F$7)</f>
        <v>-0.047233782882658</v>
      </c>
      <c r="G1577" s="53" t="n">
        <f aca="true">NORMINV(RAND(),0,G$7)</f>
        <v>-0.625723404680287</v>
      </c>
      <c r="H1577" s="53" t="n">
        <f aca="true">NORMINV(RAND(),0,H$7)</f>
        <v>-0.305574503747904</v>
      </c>
      <c r="I1577" s="53" t="n">
        <f aca="false">SUM(B1577:H1577)</f>
        <v>1.13847817642201</v>
      </c>
      <c r="J1577" s="53" t="n">
        <f aca="true">NORMINV(RAND(),0,J$7)</f>
        <v>1.70299280597667</v>
      </c>
      <c r="K1577" s="53" t="n">
        <f aca="true">NORMINV(RAND(),0,K$7)</f>
        <v>-0.375928575607752</v>
      </c>
      <c r="L1577" s="53" t="n">
        <f aca="true">NORMINV(RAND(),0,L$7)</f>
        <v>0.510249113753961</v>
      </c>
      <c r="M1577" s="53" t="n">
        <f aca="true">NORMINV(RAND(),0,M$7)</f>
        <v>0.189995674090809</v>
      </c>
      <c r="N1577" s="53" t="n">
        <f aca="true">NORMINV(RAND(),0,N$7)</f>
        <v>-0.288266340427018</v>
      </c>
      <c r="O1577" s="53" t="n">
        <f aca="false">SUM(J1577:N1577)</f>
        <v>1.73904267778667</v>
      </c>
    </row>
    <row r="1578" customFormat="false" ht="15" hidden="false" customHeight="false" outlineLevel="0" collapsed="false">
      <c r="A1578" s="2" t="n">
        <v>1570</v>
      </c>
      <c r="B1578" s="53" t="n">
        <f aca="true">NORMINV(RAND(),0,B$7)</f>
        <v>0.521137841844834</v>
      </c>
      <c r="C1578" s="53" t="n">
        <f aca="true">NORMINV(RAND(),0,C$7)</f>
        <v>-0.276169444451394</v>
      </c>
      <c r="D1578" s="53" t="n">
        <f aca="true">NORMINV(RAND(),0,D$7)</f>
        <v>2.40487284552285</v>
      </c>
      <c r="E1578" s="53" t="n">
        <f aca="true">NORMINV(RAND(),0,E$7)</f>
        <v>0.326915890225657</v>
      </c>
      <c r="F1578" s="53" t="n">
        <f aca="true">NORMINV(RAND(),0,F$7)</f>
        <v>0.135301954315484</v>
      </c>
      <c r="G1578" s="53" t="n">
        <f aca="true">NORMINV(RAND(),0,G$7)</f>
        <v>0.589497969968582</v>
      </c>
      <c r="H1578" s="53" t="n">
        <f aca="true">NORMINV(RAND(),0,H$7)</f>
        <v>0.117387572061684</v>
      </c>
      <c r="I1578" s="53" t="n">
        <f aca="false">SUM(B1578:H1578)</f>
        <v>3.8189446294877</v>
      </c>
      <c r="J1578" s="53" t="n">
        <f aca="true">NORMINV(RAND(),0,J$7)</f>
        <v>0.615187834048134</v>
      </c>
      <c r="K1578" s="53" t="n">
        <f aca="true">NORMINV(RAND(),0,K$7)</f>
        <v>0.917101789382977</v>
      </c>
      <c r="L1578" s="53" t="n">
        <f aca="true">NORMINV(RAND(),0,L$7)</f>
        <v>-0.250447934004713</v>
      </c>
      <c r="M1578" s="53" t="n">
        <f aca="true">NORMINV(RAND(),0,M$7)</f>
        <v>0.241392154696126</v>
      </c>
      <c r="N1578" s="53" t="n">
        <f aca="true">NORMINV(RAND(),0,N$7)</f>
        <v>-0.42765035922343</v>
      </c>
      <c r="O1578" s="53" t="n">
        <f aca="false">SUM(J1578:N1578)</f>
        <v>1.09558348489909</v>
      </c>
    </row>
    <row r="1579" customFormat="false" ht="15" hidden="false" customHeight="false" outlineLevel="0" collapsed="false">
      <c r="A1579" s="2" t="n">
        <v>1571</v>
      </c>
      <c r="B1579" s="53" t="n">
        <f aca="true">NORMINV(RAND(),0,B$7)</f>
        <v>0.0361920758156877</v>
      </c>
      <c r="C1579" s="53" t="n">
        <f aca="true">NORMINV(RAND(),0,C$7)</f>
        <v>-0.964085718404122</v>
      </c>
      <c r="D1579" s="53" t="n">
        <f aca="true">NORMINV(RAND(),0,D$7)</f>
        <v>-0.271031560354435</v>
      </c>
      <c r="E1579" s="53" t="n">
        <f aca="true">NORMINV(RAND(),0,E$7)</f>
        <v>-0.774378473622129</v>
      </c>
      <c r="F1579" s="53" t="n">
        <f aca="true">NORMINV(RAND(),0,F$7)</f>
        <v>0.00559132176989683</v>
      </c>
      <c r="G1579" s="53" t="n">
        <f aca="true">NORMINV(RAND(),0,G$7)</f>
        <v>0.515930081569825</v>
      </c>
      <c r="H1579" s="53" t="n">
        <f aca="true">NORMINV(RAND(),0,H$7)</f>
        <v>0.1645865536529</v>
      </c>
      <c r="I1579" s="53" t="n">
        <f aca="false">SUM(B1579:H1579)</f>
        <v>-1.28719571957238</v>
      </c>
      <c r="J1579" s="53" t="n">
        <f aca="true">NORMINV(RAND(),0,J$7)</f>
        <v>0.114853104447774</v>
      </c>
      <c r="K1579" s="53" t="n">
        <f aca="true">NORMINV(RAND(),0,K$7)</f>
        <v>-0.20516233826526</v>
      </c>
      <c r="L1579" s="53" t="n">
        <f aca="true">NORMINV(RAND(),0,L$7)</f>
        <v>-0.895619121316538</v>
      </c>
      <c r="M1579" s="53" t="n">
        <f aca="true">NORMINV(RAND(),0,M$7)</f>
        <v>-0.092232256117983</v>
      </c>
      <c r="N1579" s="53" t="n">
        <f aca="true">NORMINV(RAND(),0,N$7)</f>
        <v>-0.199418795743495</v>
      </c>
      <c r="O1579" s="53" t="n">
        <f aca="false">SUM(J1579:N1579)</f>
        <v>-1.2775794069955</v>
      </c>
    </row>
    <row r="1580" customFormat="false" ht="15" hidden="false" customHeight="false" outlineLevel="0" collapsed="false">
      <c r="A1580" s="2" t="n">
        <v>1572</v>
      </c>
      <c r="B1580" s="53" t="n">
        <f aca="true">NORMINV(RAND(),0,B$7)</f>
        <v>-0.575997470906813</v>
      </c>
      <c r="C1580" s="53" t="n">
        <f aca="true">NORMINV(RAND(),0,C$7)</f>
        <v>-1.09454252301923</v>
      </c>
      <c r="D1580" s="53" t="n">
        <f aca="true">NORMINV(RAND(),0,D$7)</f>
        <v>-2.46014192903342</v>
      </c>
      <c r="E1580" s="53" t="n">
        <f aca="true">NORMINV(RAND(),0,E$7)</f>
        <v>0.00605525062118408</v>
      </c>
      <c r="F1580" s="53" t="n">
        <f aca="true">NORMINV(RAND(),0,F$7)</f>
        <v>-0.0699146244289399</v>
      </c>
      <c r="G1580" s="53" t="n">
        <f aca="true">NORMINV(RAND(),0,G$7)</f>
        <v>0.150966503840275</v>
      </c>
      <c r="H1580" s="53" t="n">
        <f aca="true">NORMINV(RAND(),0,H$7)</f>
        <v>0.0756023730767379</v>
      </c>
      <c r="I1580" s="53" t="n">
        <f aca="false">SUM(B1580:H1580)</f>
        <v>-3.96797241985021</v>
      </c>
      <c r="J1580" s="53" t="n">
        <f aca="true">NORMINV(RAND(),0,J$7)</f>
        <v>4.71524878776863</v>
      </c>
      <c r="K1580" s="53" t="n">
        <f aca="true">NORMINV(RAND(),0,K$7)</f>
        <v>-2.06800430332559</v>
      </c>
      <c r="L1580" s="53" t="n">
        <f aca="true">NORMINV(RAND(),0,L$7)</f>
        <v>0.656269953636683</v>
      </c>
      <c r="M1580" s="53" t="n">
        <f aca="true">NORMINV(RAND(),0,M$7)</f>
        <v>0.151948531885816</v>
      </c>
      <c r="N1580" s="53" t="n">
        <f aca="true">NORMINV(RAND(),0,N$7)</f>
        <v>-0.262053297590521</v>
      </c>
      <c r="O1580" s="53" t="n">
        <f aca="false">SUM(J1580:N1580)</f>
        <v>3.19340967237502</v>
      </c>
    </row>
    <row r="1581" customFormat="false" ht="15" hidden="false" customHeight="false" outlineLevel="0" collapsed="false">
      <c r="A1581" s="2" t="n">
        <v>1573</v>
      </c>
      <c r="B1581" s="53" t="n">
        <f aca="true">NORMINV(RAND(),0,B$7)</f>
        <v>0.50588149841044</v>
      </c>
      <c r="C1581" s="53" t="n">
        <f aca="true">NORMINV(RAND(),0,C$7)</f>
        <v>0.993302174382083</v>
      </c>
      <c r="D1581" s="53" t="n">
        <f aca="true">NORMINV(RAND(),0,D$7)</f>
        <v>-0.00909673576802124</v>
      </c>
      <c r="E1581" s="53" t="n">
        <f aca="true">NORMINV(RAND(),0,E$7)</f>
        <v>-0.00777625739000692</v>
      </c>
      <c r="F1581" s="53" t="n">
        <f aca="true">NORMINV(RAND(),0,F$7)</f>
        <v>-0.0416858800057419</v>
      </c>
      <c r="G1581" s="53" t="n">
        <f aca="true">NORMINV(RAND(),0,G$7)</f>
        <v>0.299654210543392</v>
      </c>
      <c r="H1581" s="53" t="n">
        <f aca="true">NORMINV(RAND(),0,H$7)</f>
        <v>-0.347751387642615</v>
      </c>
      <c r="I1581" s="53" t="n">
        <f aca="false">SUM(B1581:H1581)</f>
        <v>1.39252762252953</v>
      </c>
      <c r="J1581" s="53" t="n">
        <f aca="true">NORMINV(RAND(),0,J$7)</f>
        <v>-1.47575398409233</v>
      </c>
      <c r="K1581" s="53" t="n">
        <f aca="true">NORMINV(RAND(),0,K$7)</f>
        <v>-0.257093358259781</v>
      </c>
      <c r="L1581" s="53" t="n">
        <f aca="true">NORMINV(RAND(),0,L$7)</f>
        <v>0.0658563017494947</v>
      </c>
      <c r="M1581" s="53" t="n">
        <f aca="true">NORMINV(RAND(),0,M$7)</f>
        <v>0.36978445921703</v>
      </c>
      <c r="N1581" s="53" t="n">
        <f aca="true">NORMINV(RAND(),0,N$7)</f>
        <v>0.255863286684524</v>
      </c>
      <c r="O1581" s="53" t="n">
        <f aca="false">SUM(J1581:N1581)</f>
        <v>-1.04134329470106</v>
      </c>
    </row>
    <row r="1582" customFormat="false" ht="15" hidden="false" customHeight="false" outlineLevel="0" collapsed="false">
      <c r="A1582" s="2" t="n">
        <v>1574</v>
      </c>
      <c r="B1582" s="53" t="n">
        <f aca="true">NORMINV(RAND(),0,B$7)</f>
        <v>-0.84943623209186</v>
      </c>
      <c r="C1582" s="53" t="n">
        <f aca="true">NORMINV(RAND(),0,C$7)</f>
        <v>-0.304677481879054</v>
      </c>
      <c r="D1582" s="53" t="n">
        <f aca="true">NORMINV(RAND(),0,D$7)</f>
        <v>-1.17255619127281</v>
      </c>
      <c r="E1582" s="53" t="n">
        <f aca="true">NORMINV(RAND(),0,E$7)</f>
        <v>-0.0534004101310571</v>
      </c>
      <c r="F1582" s="53" t="n">
        <f aca="true">NORMINV(RAND(),0,F$7)</f>
        <v>0.47223143304002</v>
      </c>
      <c r="G1582" s="53" t="n">
        <f aca="true">NORMINV(RAND(),0,G$7)</f>
        <v>-1.29678538531432</v>
      </c>
      <c r="H1582" s="53" t="n">
        <f aca="true">NORMINV(RAND(),0,H$7)</f>
        <v>-0.0908766047355239</v>
      </c>
      <c r="I1582" s="53" t="n">
        <f aca="false">SUM(B1582:H1582)</f>
        <v>-3.29550087238461</v>
      </c>
      <c r="J1582" s="53" t="n">
        <f aca="true">NORMINV(RAND(),0,J$7)</f>
        <v>-3.1612459708104</v>
      </c>
      <c r="K1582" s="53" t="n">
        <f aca="true">NORMINV(RAND(),0,K$7)</f>
        <v>-0.0496536542873289</v>
      </c>
      <c r="L1582" s="53" t="n">
        <f aca="true">NORMINV(RAND(),0,L$7)</f>
        <v>0.379217188850667</v>
      </c>
      <c r="M1582" s="53" t="n">
        <f aca="true">NORMINV(RAND(),0,M$7)</f>
        <v>-0.0836686464050155</v>
      </c>
      <c r="N1582" s="53" t="n">
        <f aca="true">NORMINV(RAND(),0,N$7)</f>
        <v>0.133301449016021</v>
      </c>
      <c r="O1582" s="53" t="n">
        <f aca="false">SUM(J1582:N1582)</f>
        <v>-2.78204963363605</v>
      </c>
    </row>
    <row r="1583" customFormat="false" ht="15" hidden="false" customHeight="false" outlineLevel="0" collapsed="false">
      <c r="A1583" s="2" t="n">
        <v>1575</v>
      </c>
      <c r="B1583" s="53" t="n">
        <f aca="true">NORMINV(RAND(),0,B$7)</f>
        <v>0.410392561145399</v>
      </c>
      <c r="C1583" s="53" t="n">
        <f aca="true">NORMINV(RAND(),0,C$7)</f>
        <v>2.1113090746903</v>
      </c>
      <c r="D1583" s="53" t="n">
        <f aca="true">NORMINV(RAND(),0,D$7)</f>
        <v>0.937895864319125</v>
      </c>
      <c r="E1583" s="53" t="n">
        <f aca="true">NORMINV(RAND(),0,E$7)</f>
        <v>0.155045674711973</v>
      </c>
      <c r="F1583" s="53" t="n">
        <f aca="true">NORMINV(RAND(),0,F$7)</f>
        <v>-0.186511995591082</v>
      </c>
      <c r="G1583" s="53" t="n">
        <f aca="true">NORMINV(RAND(),0,G$7)</f>
        <v>0.41044499236024</v>
      </c>
      <c r="H1583" s="53" t="n">
        <f aca="true">NORMINV(RAND(),0,H$7)</f>
        <v>-0.346115806588294</v>
      </c>
      <c r="I1583" s="53" t="n">
        <f aca="false">SUM(B1583:H1583)</f>
        <v>3.49246036504766</v>
      </c>
      <c r="J1583" s="53" t="n">
        <f aca="true">NORMINV(RAND(),0,J$7)</f>
        <v>0.224592761241486</v>
      </c>
      <c r="K1583" s="53" t="n">
        <f aca="true">NORMINV(RAND(),0,K$7)</f>
        <v>-0.986190915236774</v>
      </c>
      <c r="L1583" s="53" t="n">
        <f aca="true">NORMINV(RAND(),0,L$7)</f>
        <v>0.352618339190343</v>
      </c>
      <c r="M1583" s="53" t="n">
        <f aca="true">NORMINV(RAND(),0,M$7)</f>
        <v>0.300448912124959</v>
      </c>
      <c r="N1583" s="53" t="n">
        <f aca="true">NORMINV(RAND(),0,N$7)</f>
        <v>0.342171615031512</v>
      </c>
      <c r="O1583" s="53" t="n">
        <f aca="false">SUM(J1583:N1583)</f>
        <v>0.233640712351526</v>
      </c>
    </row>
    <row r="1584" customFormat="false" ht="15" hidden="false" customHeight="false" outlineLevel="0" collapsed="false">
      <c r="A1584" s="2" t="n">
        <v>1576</v>
      </c>
      <c r="B1584" s="53" t="n">
        <f aca="true">NORMINV(RAND(),0,B$7)</f>
        <v>-1.47986463659309</v>
      </c>
      <c r="C1584" s="53" t="n">
        <f aca="true">NORMINV(RAND(),0,C$7)</f>
        <v>0.53905692052777</v>
      </c>
      <c r="D1584" s="53" t="n">
        <f aca="true">NORMINV(RAND(),0,D$7)</f>
        <v>0.248430246914004</v>
      </c>
      <c r="E1584" s="53" t="n">
        <f aca="true">NORMINV(RAND(),0,E$7)</f>
        <v>-0.321060025993519</v>
      </c>
      <c r="F1584" s="53" t="n">
        <f aca="true">NORMINV(RAND(),0,F$7)</f>
        <v>-0.282432509797377</v>
      </c>
      <c r="G1584" s="53" t="n">
        <f aca="true">NORMINV(RAND(),0,G$7)</f>
        <v>1.6523131979818</v>
      </c>
      <c r="H1584" s="53" t="n">
        <f aca="true">NORMINV(RAND(),0,H$7)</f>
        <v>0.307532266115562</v>
      </c>
      <c r="I1584" s="53" t="n">
        <f aca="false">SUM(B1584:H1584)</f>
        <v>0.663975459155151</v>
      </c>
      <c r="J1584" s="53" t="n">
        <f aca="true">NORMINV(RAND(),0,J$7)</f>
        <v>1.81078433617723</v>
      </c>
      <c r="K1584" s="53" t="n">
        <f aca="true">NORMINV(RAND(),0,K$7)</f>
        <v>0.219365399213498</v>
      </c>
      <c r="L1584" s="53" t="n">
        <f aca="true">NORMINV(RAND(),0,L$7)</f>
        <v>0.0781647562837816</v>
      </c>
      <c r="M1584" s="53" t="n">
        <f aca="true">NORMINV(RAND(),0,M$7)</f>
        <v>0.237905009433116</v>
      </c>
      <c r="N1584" s="53" t="n">
        <f aca="true">NORMINV(RAND(),0,N$7)</f>
        <v>0.570162974269018</v>
      </c>
      <c r="O1584" s="53" t="n">
        <f aca="false">SUM(J1584:N1584)</f>
        <v>2.91638247537664</v>
      </c>
    </row>
    <row r="1585" customFormat="false" ht="15" hidden="false" customHeight="false" outlineLevel="0" collapsed="false">
      <c r="A1585" s="2" t="n">
        <v>1577</v>
      </c>
      <c r="B1585" s="53" t="n">
        <f aca="true">NORMINV(RAND(),0,B$7)</f>
        <v>-0.77638116863066</v>
      </c>
      <c r="C1585" s="53" t="n">
        <f aca="true">NORMINV(RAND(),0,C$7)</f>
        <v>-0.372844657658857</v>
      </c>
      <c r="D1585" s="53" t="n">
        <f aca="true">NORMINV(RAND(),0,D$7)</f>
        <v>-0.0247902786337673</v>
      </c>
      <c r="E1585" s="53" t="n">
        <f aca="true">NORMINV(RAND(),0,E$7)</f>
        <v>0.291398172991438</v>
      </c>
      <c r="F1585" s="53" t="n">
        <f aca="true">NORMINV(RAND(),0,F$7)</f>
        <v>-0.34232704057986</v>
      </c>
      <c r="G1585" s="53" t="n">
        <f aca="true">NORMINV(RAND(),0,G$7)</f>
        <v>0.0856319275439303</v>
      </c>
      <c r="H1585" s="53" t="n">
        <f aca="true">NORMINV(RAND(),0,H$7)</f>
        <v>0.314611010127</v>
      </c>
      <c r="I1585" s="53" t="n">
        <f aca="false">SUM(B1585:H1585)</f>
        <v>-0.824702034840776</v>
      </c>
      <c r="J1585" s="53" t="n">
        <f aca="true">NORMINV(RAND(),0,J$7)</f>
        <v>-4.25973589117777</v>
      </c>
      <c r="K1585" s="53" t="n">
        <f aca="true">NORMINV(RAND(),0,K$7)</f>
        <v>0.563630710086478</v>
      </c>
      <c r="L1585" s="53" t="n">
        <f aca="true">NORMINV(RAND(),0,L$7)</f>
        <v>-0.235182894098255</v>
      </c>
      <c r="M1585" s="53" t="n">
        <f aca="true">NORMINV(RAND(),0,M$7)</f>
        <v>-0.268561162211635</v>
      </c>
      <c r="N1585" s="53" t="n">
        <f aca="true">NORMINV(RAND(),0,N$7)</f>
        <v>0.236473799841907</v>
      </c>
      <c r="O1585" s="53" t="n">
        <f aca="false">SUM(J1585:N1585)</f>
        <v>-3.96337543755927</v>
      </c>
    </row>
    <row r="1586" customFormat="false" ht="15" hidden="false" customHeight="false" outlineLevel="0" collapsed="false">
      <c r="A1586" s="2" t="n">
        <v>1578</v>
      </c>
      <c r="B1586" s="53" t="n">
        <f aca="true">NORMINV(RAND(),0,B$7)</f>
        <v>1.39396180946878</v>
      </c>
      <c r="C1586" s="53" t="n">
        <f aca="true">NORMINV(RAND(),0,C$7)</f>
        <v>-0.0972196510455084</v>
      </c>
      <c r="D1586" s="53" t="n">
        <f aca="true">NORMINV(RAND(),0,D$7)</f>
        <v>0.503174947110225</v>
      </c>
      <c r="E1586" s="53" t="n">
        <f aca="true">NORMINV(RAND(),0,E$7)</f>
        <v>0.0795686837905111</v>
      </c>
      <c r="F1586" s="53" t="n">
        <f aca="true">NORMINV(RAND(),0,F$7)</f>
        <v>0.208836649339445</v>
      </c>
      <c r="G1586" s="53" t="n">
        <f aca="true">NORMINV(RAND(),0,G$7)</f>
        <v>3.44626229325593</v>
      </c>
      <c r="H1586" s="53" t="n">
        <f aca="true">NORMINV(RAND(),0,H$7)</f>
        <v>-0.0734423562309374</v>
      </c>
      <c r="I1586" s="53" t="n">
        <f aca="false">SUM(B1586:H1586)</f>
        <v>5.46114237568845</v>
      </c>
      <c r="J1586" s="53" t="n">
        <f aca="true">NORMINV(RAND(),0,J$7)</f>
        <v>-0.902979134200501</v>
      </c>
      <c r="K1586" s="53" t="n">
        <f aca="true">NORMINV(RAND(),0,K$7)</f>
        <v>0.576289768488457</v>
      </c>
      <c r="L1586" s="53" t="n">
        <f aca="true">NORMINV(RAND(),0,L$7)</f>
        <v>-0.268022906970717</v>
      </c>
      <c r="M1586" s="53" t="n">
        <f aca="true">NORMINV(RAND(),0,M$7)</f>
        <v>-0.0585530606118248</v>
      </c>
      <c r="N1586" s="53" t="n">
        <f aca="true">NORMINV(RAND(),0,N$7)</f>
        <v>-0.169304339526639</v>
      </c>
      <c r="O1586" s="53" t="n">
        <f aca="false">SUM(J1586:N1586)</f>
        <v>-0.822569672821225</v>
      </c>
    </row>
    <row r="1587" customFormat="false" ht="15" hidden="false" customHeight="false" outlineLevel="0" collapsed="false">
      <c r="A1587" s="2" t="n">
        <v>1579</v>
      </c>
      <c r="B1587" s="53" t="n">
        <f aca="true">NORMINV(RAND(),0,B$7)</f>
        <v>0.79129726932347</v>
      </c>
      <c r="C1587" s="53" t="n">
        <f aca="true">NORMINV(RAND(),0,C$7)</f>
        <v>0.438833993214006</v>
      </c>
      <c r="D1587" s="53" t="n">
        <f aca="true">NORMINV(RAND(),0,D$7)</f>
        <v>1.44194935402823</v>
      </c>
      <c r="E1587" s="53" t="n">
        <f aca="true">NORMINV(RAND(),0,E$7)</f>
        <v>0.151085004542248</v>
      </c>
      <c r="F1587" s="53" t="n">
        <f aca="true">NORMINV(RAND(),0,F$7)</f>
        <v>0.0577314075839844</v>
      </c>
      <c r="G1587" s="53" t="n">
        <f aca="true">NORMINV(RAND(),0,G$7)</f>
        <v>-0.74599699567555</v>
      </c>
      <c r="H1587" s="53" t="n">
        <f aca="true">NORMINV(RAND(),0,H$7)</f>
        <v>-0.314404608151142</v>
      </c>
      <c r="I1587" s="53" t="n">
        <f aca="false">SUM(B1587:H1587)</f>
        <v>1.82049542486525</v>
      </c>
      <c r="J1587" s="53" t="n">
        <f aca="true">NORMINV(RAND(),0,J$7)</f>
        <v>3.20389325539049</v>
      </c>
      <c r="K1587" s="53" t="n">
        <f aca="true">NORMINV(RAND(),0,K$7)</f>
        <v>-1.20971574398762</v>
      </c>
      <c r="L1587" s="53" t="n">
        <f aca="true">NORMINV(RAND(),0,L$7)</f>
        <v>0.17270307246118</v>
      </c>
      <c r="M1587" s="53" t="n">
        <f aca="true">NORMINV(RAND(),0,M$7)</f>
        <v>-0.0985918649889593</v>
      </c>
      <c r="N1587" s="53" t="n">
        <f aca="true">NORMINV(RAND(),0,N$7)</f>
        <v>0.0158400003536331</v>
      </c>
      <c r="O1587" s="53" t="n">
        <f aca="false">SUM(J1587:N1587)</f>
        <v>2.08412871922873</v>
      </c>
    </row>
    <row r="1588" customFormat="false" ht="15" hidden="false" customHeight="false" outlineLevel="0" collapsed="false">
      <c r="A1588" s="2" t="n">
        <v>1580</v>
      </c>
      <c r="B1588" s="53" t="n">
        <f aca="true">NORMINV(RAND(),0,B$7)</f>
        <v>2.50475787550554</v>
      </c>
      <c r="C1588" s="53" t="n">
        <f aca="true">NORMINV(RAND(),0,C$7)</f>
        <v>0.269328492595216</v>
      </c>
      <c r="D1588" s="53" t="n">
        <f aca="true">NORMINV(RAND(),0,D$7)</f>
        <v>-0.271732515162756</v>
      </c>
      <c r="E1588" s="53" t="n">
        <f aca="true">NORMINV(RAND(),0,E$7)</f>
        <v>0.0783140129218832</v>
      </c>
      <c r="F1588" s="53" t="n">
        <f aca="true">NORMINV(RAND(),0,F$7)</f>
        <v>-0.299075120347183</v>
      </c>
      <c r="G1588" s="53" t="n">
        <f aca="true">NORMINV(RAND(),0,G$7)</f>
        <v>0.429220486993639</v>
      </c>
      <c r="H1588" s="53" t="n">
        <f aca="true">NORMINV(RAND(),0,H$7)</f>
        <v>0.0162682312907391</v>
      </c>
      <c r="I1588" s="53" t="n">
        <f aca="false">SUM(B1588:H1588)</f>
        <v>2.72708146379708</v>
      </c>
      <c r="J1588" s="53" t="n">
        <f aca="true">NORMINV(RAND(),0,J$7)</f>
        <v>-0.759553832767718</v>
      </c>
      <c r="K1588" s="53" t="n">
        <f aca="true">NORMINV(RAND(),0,K$7)</f>
        <v>0.404269109915085</v>
      </c>
      <c r="L1588" s="53" t="n">
        <f aca="true">NORMINV(RAND(),0,L$7)</f>
        <v>0.351735472940116</v>
      </c>
      <c r="M1588" s="53" t="n">
        <f aca="true">NORMINV(RAND(),0,M$7)</f>
        <v>-0.286534073610383</v>
      </c>
      <c r="N1588" s="53" t="n">
        <f aca="true">NORMINV(RAND(),0,N$7)</f>
        <v>0.537171876111148</v>
      </c>
      <c r="O1588" s="53" t="n">
        <f aca="false">SUM(J1588:N1588)</f>
        <v>0.247088552588248</v>
      </c>
    </row>
    <row r="1589" customFormat="false" ht="15" hidden="false" customHeight="false" outlineLevel="0" collapsed="false">
      <c r="A1589" s="2" t="n">
        <v>1581</v>
      </c>
      <c r="B1589" s="53" t="n">
        <f aca="true">NORMINV(RAND(),0,B$7)</f>
        <v>-1.35466776639783</v>
      </c>
      <c r="C1589" s="53" t="n">
        <f aca="true">NORMINV(RAND(),0,C$7)</f>
        <v>1.1879093196603</v>
      </c>
      <c r="D1589" s="53" t="n">
        <f aca="true">NORMINV(RAND(),0,D$7)</f>
        <v>-1.70256634954608</v>
      </c>
      <c r="E1589" s="53" t="n">
        <f aca="true">NORMINV(RAND(),0,E$7)</f>
        <v>-0.253871344983642</v>
      </c>
      <c r="F1589" s="53" t="n">
        <f aca="true">NORMINV(RAND(),0,F$7)</f>
        <v>0.0156898150528082</v>
      </c>
      <c r="G1589" s="53" t="n">
        <f aca="true">NORMINV(RAND(),0,G$7)</f>
        <v>-1.2594249442448</v>
      </c>
      <c r="H1589" s="53" t="n">
        <f aca="true">NORMINV(RAND(),0,H$7)</f>
        <v>-0.560819622838198</v>
      </c>
      <c r="I1589" s="53" t="n">
        <f aca="false">SUM(B1589:H1589)</f>
        <v>-3.92775089329745</v>
      </c>
      <c r="J1589" s="53" t="n">
        <f aca="true">NORMINV(RAND(),0,J$7)</f>
        <v>-1.1013357586266</v>
      </c>
      <c r="K1589" s="53" t="n">
        <f aca="true">NORMINV(RAND(),0,K$7)</f>
        <v>-0.114773990847468</v>
      </c>
      <c r="L1589" s="53" t="n">
        <f aca="true">NORMINV(RAND(),0,L$7)</f>
        <v>0.62201998496832</v>
      </c>
      <c r="M1589" s="53" t="n">
        <f aca="true">NORMINV(RAND(),0,M$7)</f>
        <v>0.200053101448417</v>
      </c>
      <c r="N1589" s="53" t="n">
        <f aca="true">NORMINV(RAND(),0,N$7)</f>
        <v>0.149264041646008</v>
      </c>
      <c r="O1589" s="53" t="n">
        <f aca="false">SUM(J1589:N1589)</f>
        <v>-0.244772621411319</v>
      </c>
    </row>
    <row r="1590" customFormat="false" ht="15" hidden="false" customHeight="false" outlineLevel="0" collapsed="false">
      <c r="A1590" s="2" t="n">
        <v>1582</v>
      </c>
      <c r="B1590" s="53" t="n">
        <f aca="true">NORMINV(RAND(),0,B$7)</f>
        <v>0.803519399802436</v>
      </c>
      <c r="C1590" s="53" t="n">
        <f aca="true">NORMINV(RAND(),0,C$7)</f>
        <v>2.39466167706155</v>
      </c>
      <c r="D1590" s="53" t="n">
        <f aca="true">NORMINV(RAND(),0,D$7)</f>
        <v>1.59427133999224</v>
      </c>
      <c r="E1590" s="53" t="n">
        <f aca="true">NORMINV(RAND(),0,E$7)</f>
        <v>0.352851762751339</v>
      </c>
      <c r="F1590" s="53" t="n">
        <f aca="true">NORMINV(RAND(),0,F$7)</f>
        <v>0.119666756243319</v>
      </c>
      <c r="G1590" s="53" t="n">
        <f aca="true">NORMINV(RAND(),0,G$7)</f>
        <v>0.751109126734948</v>
      </c>
      <c r="H1590" s="53" t="n">
        <f aca="true">NORMINV(RAND(),0,H$7)</f>
        <v>-0.0527320588207598</v>
      </c>
      <c r="I1590" s="53" t="n">
        <f aca="false">SUM(B1590:H1590)</f>
        <v>5.96334800376507</v>
      </c>
      <c r="J1590" s="53" t="n">
        <f aca="true">NORMINV(RAND(),0,J$7)</f>
        <v>1.76572603477222</v>
      </c>
      <c r="K1590" s="53" t="n">
        <f aca="true">NORMINV(RAND(),0,K$7)</f>
        <v>0.115747069988829</v>
      </c>
      <c r="L1590" s="53" t="n">
        <f aca="true">NORMINV(RAND(),0,L$7)</f>
        <v>-0.0607768877190208</v>
      </c>
      <c r="M1590" s="53" t="n">
        <f aca="true">NORMINV(RAND(),0,M$7)</f>
        <v>-0.274407781947883</v>
      </c>
      <c r="N1590" s="53" t="n">
        <f aca="true">NORMINV(RAND(),0,N$7)</f>
        <v>-0.0570579743106095</v>
      </c>
      <c r="O1590" s="53" t="n">
        <f aca="false">SUM(J1590:N1590)</f>
        <v>1.48923046078353</v>
      </c>
    </row>
    <row r="1591" customFormat="false" ht="15" hidden="false" customHeight="false" outlineLevel="0" collapsed="false">
      <c r="A1591" s="2" t="n">
        <v>1583</v>
      </c>
      <c r="B1591" s="53" t="n">
        <f aca="true">NORMINV(RAND(),0,B$7)</f>
        <v>-0.0305856307829628</v>
      </c>
      <c r="C1591" s="53" t="n">
        <f aca="true">NORMINV(RAND(),0,C$7)</f>
        <v>-2.84409818035728</v>
      </c>
      <c r="D1591" s="53" t="n">
        <f aca="true">NORMINV(RAND(),0,D$7)</f>
        <v>-5.30395517623705</v>
      </c>
      <c r="E1591" s="53" t="n">
        <f aca="true">NORMINV(RAND(),0,E$7)</f>
        <v>0.232024461824957</v>
      </c>
      <c r="F1591" s="53" t="n">
        <f aca="true">NORMINV(RAND(),0,F$7)</f>
        <v>0.205475766336811</v>
      </c>
      <c r="G1591" s="53" t="n">
        <f aca="true">NORMINV(RAND(),0,G$7)</f>
        <v>3.38908120031957</v>
      </c>
      <c r="H1591" s="53" t="n">
        <f aca="true">NORMINV(RAND(),0,H$7)</f>
        <v>0.0606527660901108</v>
      </c>
      <c r="I1591" s="53" t="n">
        <f aca="false">SUM(B1591:H1591)</f>
        <v>-4.29140479280584</v>
      </c>
      <c r="J1591" s="53" t="n">
        <f aca="true">NORMINV(RAND(),0,J$7)</f>
        <v>-0.224483053663344</v>
      </c>
      <c r="K1591" s="53" t="n">
        <f aca="true">NORMINV(RAND(),0,K$7)</f>
        <v>0.321600250922643</v>
      </c>
      <c r="L1591" s="53" t="n">
        <f aca="true">NORMINV(RAND(),0,L$7)</f>
        <v>-0.10122468662826</v>
      </c>
      <c r="M1591" s="53" t="n">
        <f aca="true">NORMINV(RAND(),0,M$7)</f>
        <v>-0.393216294831533</v>
      </c>
      <c r="N1591" s="53" t="n">
        <f aca="true">NORMINV(RAND(),0,N$7)</f>
        <v>0.432412961732092</v>
      </c>
      <c r="O1591" s="53" t="n">
        <f aca="false">SUM(J1591:N1591)</f>
        <v>0.0350891775315968</v>
      </c>
    </row>
    <row r="1592" customFormat="false" ht="15" hidden="false" customHeight="false" outlineLevel="0" collapsed="false">
      <c r="A1592" s="2" t="n">
        <v>1584</v>
      </c>
      <c r="B1592" s="53" t="n">
        <f aca="true">NORMINV(RAND(),0,B$7)</f>
        <v>0.0386402132116197</v>
      </c>
      <c r="C1592" s="53" t="n">
        <f aca="true">NORMINV(RAND(),0,C$7)</f>
        <v>1.06878362321663</v>
      </c>
      <c r="D1592" s="53" t="n">
        <f aca="true">NORMINV(RAND(),0,D$7)</f>
        <v>1.62560827474961</v>
      </c>
      <c r="E1592" s="53" t="n">
        <f aca="true">NORMINV(RAND(),0,E$7)</f>
        <v>0.00272497169538431</v>
      </c>
      <c r="F1592" s="53" t="n">
        <f aca="true">NORMINV(RAND(),0,F$7)</f>
        <v>0.134739281377807</v>
      </c>
      <c r="G1592" s="53" t="n">
        <f aca="true">NORMINV(RAND(),0,G$7)</f>
        <v>0.837364634683666</v>
      </c>
      <c r="H1592" s="53" t="n">
        <f aca="true">NORMINV(RAND(),0,H$7)</f>
        <v>0.234341169959667</v>
      </c>
      <c r="I1592" s="53" t="n">
        <f aca="false">SUM(B1592:H1592)</f>
        <v>3.94220216889438</v>
      </c>
      <c r="J1592" s="53" t="n">
        <f aca="true">NORMINV(RAND(),0,J$7)</f>
        <v>-1.85579827366854</v>
      </c>
      <c r="K1592" s="53" t="n">
        <f aca="true">NORMINV(RAND(),0,K$7)</f>
        <v>-0.571934348199275</v>
      </c>
      <c r="L1592" s="53" t="n">
        <f aca="true">NORMINV(RAND(),0,L$7)</f>
        <v>0.180673384324596</v>
      </c>
      <c r="M1592" s="53" t="n">
        <f aca="true">NORMINV(RAND(),0,M$7)</f>
        <v>0.103741090114593</v>
      </c>
      <c r="N1592" s="53" t="n">
        <f aca="true">NORMINV(RAND(),0,N$7)</f>
        <v>-0.160208019982841</v>
      </c>
      <c r="O1592" s="53" t="n">
        <f aca="false">SUM(J1592:N1592)</f>
        <v>-2.30352616741147</v>
      </c>
    </row>
    <row r="1593" customFormat="false" ht="15" hidden="false" customHeight="false" outlineLevel="0" collapsed="false">
      <c r="A1593" s="2" t="n">
        <v>1585</v>
      </c>
      <c r="B1593" s="53" t="n">
        <f aca="true">NORMINV(RAND(),0,B$7)</f>
        <v>-2.2040903626102</v>
      </c>
      <c r="C1593" s="53" t="n">
        <f aca="true">NORMINV(RAND(),0,C$7)</f>
        <v>0.329969629564213</v>
      </c>
      <c r="D1593" s="53" t="n">
        <f aca="true">NORMINV(RAND(),0,D$7)</f>
        <v>-1.57136245773723</v>
      </c>
      <c r="E1593" s="53" t="n">
        <f aca="true">NORMINV(RAND(),0,E$7)</f>
        <v>-0.171028179680586</v>
      </c>
      <c r="F1593" s="53" t="n">
        <f aca="true">NORMINV(RAND(),0,F$7)</f>
        <v>-0.225535087499435</v>
      </c>
      <c r="G1593" s="53" t="n">
        <f aca="true">NORMINV(RAND(),0,G$7)</f>
        <v>0.0280712959434065</v>
      </c>
      <c r="H1593" s="53" t="n">
        <f aca="true">NORMINV(RAND(),0,H$7)</f>
        <v>-0.360076819880852</v>
      </c>
      <c r="I1593" s="53" t="n">
        <f aca="false">SUM(B1593:H1593)</f>
        <v>-4.17405198190069</v>
      </c>
      <c r="J1593" s="53" t="n">
        <f aca="true">NORMINV(RAND(),0,J$7)</f>
        <v>-1.23367358953885</v>
      </c>
      <c r="K1593" s="53" t="n">
        <f aca="true">NORMINV(RAND(),0,K$7)</f>
        <v>0.859978127685995</v>
      </c>
      <c r="L1593" s="53" t="n">
        <f aca="true">NORMINV(RAND(),0,L$7)</f>
        <v>0.524138070069624</v>
      </c>
      <c r="M1593" s="53" t="n">
        <f aca="true">NORMINV(RAND(),0,M$7)</f>
        <v>-0.00695170185383249</v>
      </c>
      <c r="N1593" s="53" t="n">
        <f aca="true">NORMINV(RAND(),0,N$7)</f>
        <v>-0.263036310117778</v>
      </c>
      <c r="O1593" s="53" t="n">
        <f aca="false">SUM(J1593:N1593)</f>
        <v>-0.119545403754841</v>
      </c>
    </row>
    <row r="1594" customFormat="false" ht="15" hidden="false" customHeight="false" outlineLevel="0" collapsed="false">
      <c r="A1594" s="2" t="n">
        <v>1586</v>
      </c>
      <c r="B1594" s="53" t="n">
        <f aca="true">NORMINV(RAND(),0,B$7)</f>
        <v>-0.907931921382584</v>
      </c>
      <c r="C1594" s="53" t="n">
        <f aca="true">NORMINV(RAND(),0,C$7)</f>
        <v>0.640046715849866</v>
      </c>
      <c r="D1594" s="53" t="n">
        <f aca="true">NORMINV(RAND(),0,D$7)</f>
        <v>-2.16912450253854</v>
      </c>
      <c r="E1594" s="53" t="n">
        <f aca="true">NORMINV(RAND(),0,E$7)</f>
        <v>0.252449941744555</v>
      </c>
      <c r="F1594" s="53" t="n">
        <f aca="true">NORMINV(RAND(),0,F$7)</f>
        <v>-0.171681115028857</v>
      </c>
      <c r="G1594" s="53" t="n">
        <f aca="true">NORMINV(RAND(),0,G$7)</f>
        <v>-0.911743759203218</v>
      </c>
      <c r="H1594" s="53" t="n">
        <f aca="true">NORMINV(RAND(),0,H$7)</f>
        <v>-0.15702807194348</v>
      </c>
      <c r="I1594" s="53" t="n">
        <f aca="false">SUM(B1594:H1594)</f>
        <v>-3.42501271250226</v>
      </c>
      <c r="J1594" s="53" t="n">
        <f aca="true">NORMINV(RAND(),0,J$7)</f>
        <v>3.28120771911809</v>
      </c>
      <c r="K1594" s="53" t="n">
        <f aca="true">NORMINV(RAND(),0,K$7)</f>
        <v>-0.224697586958072</v>
      </c>
      <c r="L1594" s="53" t="n">
        <f aca="true">NORMINV(RAND(),0,L$7)</f>
        <v>0.140101869181393</v>
      </c>
      <c r="M1594" s="53" t="n">
        <f aca="true">NORMINV(RAND(),0,M$7)</f>
        <v>-0.186972855718707</v>
      </c>
      <c r="N1594" s="53" t="n">
        <f aca="true">NORMINV(RAND(),0,N$7)</f>
        <v>0.505338494091994</v>
      </c>
      <c r="O1594" s="53" t="n">
        <f aca="false">SUM(J1594:N1594)</f>
        <v>3.5149776397147</v>
      </c>
    </row>
    <row r="1595" customFormat="false" ht="15" hidden="false" customHeight="false" outlineLevel="0" collapsed="false">
      <c r="A1595" s="2" t="n">
        <v>1587</v>
      </c>
      <c r="B1595" s="53" t="n">
        <f aca="true">NORMINV(RAND(),0,B$7)</f>
        <v>2.05827741384099</v>
      </c>
      <c r="C1595" s="53" t="n">
        <f aca="true">NORMINV(RAND(),0,C$7)</f>
        <v>-0.0142813279005297</v>
      </c>
      <c r="D1595" s="53" t="n">
        <f aca="true">NORMINV(RAND(),0,D$7)</f>
        <v>2.31733179984036</v>
      </c>
      <c r="E1595" s="53" t="n">
        <f aca="true">NORMINV(RAND(),0,E$7)</f>
        <v>0.111243261763598</v>
      </c>
      <c r="F1595" s="53" t="n">
        <f aca="true">NORMINV(RAND(),0,F$7)</f>
        <v>-0.259458452519384</v>
      </c>
      <c r="G1595" s="53" t="n">
        <f aca="true">NORMINV(RAND(),0,G$7)</f>
        <v>-0.495885003296745</v>
      </c>
      <c r="H1595" s="53" t="n">
        <f aca="true">NORMINV(RAND(),0,H$7)</f>
        <v>0.691725463657441</v>
      </c>
      <c r="I1595" s="53" t="n">
        <f aca="false">SUM(B1595:H1595)</f>
        <v>4.40895315538574</v>
      </c>
      <c r="J1595" s="53" t="n">
        <f aca="true">NORMINV(RAND(),0,J$7)</f>
        <v>-2.17071105178601</v>
      </c>
      <c r="K1595" s="53" t="n">
        <f aca="true">NORMINV(RAND(),0,K$7)</f>
        <v>-1.32114127802786</v>
      </c>
      <c r="L1595" s="53" t="n">
        <f aca="true">NORMINV(RAND(),0,L$7)</f>
        <v>-0.207138171865786</v>
      </c>
      <c r="M1595" s="53" t="n">
        <f aca="true">NORMINV(RAND(),0,M$7)</f>
        <v>0.11723778321618</v>
      </c>
      <c r="N1595" s="53" t="n">
        <f aca="true">NORMINV(RAND(),0,N$7)</f>
        <v>0.233630597982772</v>
      </c>
      <c r="O1595" s="53" t="n">
        <f aca="false">SUM(J1595:N1595)</f>
        <v>-3.3481221204807</v>
      </c>
    </row>
    <row r="1596" customFormat="false" ht="15" hidden="false" customHeight="false" outlineLevel="0" collapsed="false">
      <c r="A1596" s="2" t="n">
        <v>1588</v>
      </c>
      <c r="B1596" s="53" t="n">
        <f aca="true">NORMINV(RAND(),0,B$7)</f>
        <v>-3.21884417715603</v>
      </c>
      <c r="C1596" s="53" t="n">
        <f aca="true">NORMINV(RAND(),0,C$7)</f>
        <v>0.987560399594518</v>
      </c>
      <c r="D1596" s="53" t="n">
        <f aca="true">NORMINV(RAND(),0,D$7)</f>
        <v>-2.07178604014592</v>
      </c>
      <c r="E1596" s="53" t="n">
        <f aca="true">NORMINV(RAND(),0,E$7)</f>
        <v>-0.588669500138957</v>
      </c>
      <c r="F1596" s="53" t="n">
        <f aca="true">NORMINV(RAND(),0,F$7)</f>
        <v>0.425366628549679</v>
      </c>
      <c r="G1596" s="53" t="n">
        <f aca="true">NORMINV(RAND(),0,G$7)</f>
        <v>2.18250914730857</v>
      </c>
      <c r="H1596" s="53" t="n">
        <f aca="true">NORMINV(RAND(),0,H$7)</f>
        <v>0.578582669929619</v>
      </c>
      <c r="I1596" s="53" t="n">
        <f aca="false">SUM(B1596:H1596)</f>
        <v>-1.70528087205852</v>
      </c>
      <c r="J1596" s="53" t="n">
        <f aca="true">NORMINV(RAND(),0,J$7)</f>
        <v>-1.61486113007883</v>
      </c>
      <c r="K1596" s="53" t="n">
        <f aca="true">NORMINV(RAND(),0,K$7)</f>
        <v>0.0663319861254844</v>
      </c>
      <c r="L1596" s="53" t="n">
        <f aca="true">NORMINV(RAND(),0,L$7)</f>
        <v>0.42423976458955</v>
      </c>
      <c r="M1596" s="53" t="n">
        <f aca="true">NORMINV(RAND(),0,M$7)</f>
        <v>0.163799795403424</v>
      </c>
      <c r="N1596" s="53" t="n">
        <f aca="true">NORMINV(RAND(),0,N$7)</f>
        <v>0.614897520371757</v>
      </c>
      <c r="O1596" s="53" t="n">
        <f aca="false">SUM(J1596:N1596)</f>
        <v>-0.34559206358861</v>
      </c>
    </row>
    <row r="1597" customFormat="false" ht="15" hidden="false" customHeight="false" outlineLevel="0" collapsed="false">
      <c r="A1597" s="2" t="n">
        <v>1589</v>
      </c>
      <c r="B1597" s="53" t="n">
        <f aca="true">NORMINV(RAND(),0,B$7)</f>
        <v>-0.537532663162783</v>
      </c>
      <c r="C1597" s="53" t="n">
        <f aca="true">NORMINV(RAND(),0,C$7)</f>
        <v>-2.27868156945573</v>
      </c>
      <c r="D1597" s="53" t="n">
        <f aca="true">NORMINV(RAND(),0,D$7)</f>
        <v>0.225105072430096</v>
      </c>
      <c r="E1597" s="53" t="n">
        <f aca="true">NORMINV(RAND(),0,E$7)</f>
        <v>-0.408016228850156</v>
      </c>
      <c r="F1597" s="53" t="n">
        <f aca="true">NORMINV(RAND(),0,F$7)</f>
        <v>0.26963620384</v>
      </c>
      <c r="G1597" s="53" t="n">
        <f aca="true">NORMINV(RAND(),0,G$7)</f>
        <v>1.80123399567821</v>
      </c>
      <c r="H1597" s="53" t="n">
        <f aca="true">NORMINV(RAND(),0,H$7)</f>
        <v>0.0350257921759583</v>
      </c>
      <c r="I1597" s="53" t="n">
        <f aca="false">SUM(B1597:H1597)</f>
        <v>-0.893229397344411</v>
      </c>
      <c r="J1597" s="53" t="n">
        <f aca="true">NORMINV(RAND(),0,J$7)</f>
        <v>0.83354727437306</v>
      </c>
      <c r="K1597" s="53" t="n">
        <f aca="true">NORMINV(RAND(),0,K$7)</f>
        <v>0.435931694533748</v>
      </c>
      <c r="L1597" s="53" t="n">
        <f aca="true">NORMINV(RAND(),0,L$7)</f>
        <v>-0.196278581967665</v>
      </c>
      <c r="M1597" s="53" t="n">
        <f aca="true">NORMINV(RAND(),0,M$7)</f>
        <v>0.475027739737364</v>
      </c>
      <c r="N1597" s="53" t="n">
        <f aca="true">NORMINV(RAND(),0,N$7)</f>
        <v>0.0319881840764455</v>
      </c>
      <c r="O1597" s="53" t="n">
        <f aca="false">SUM(J1597:N1597)</f>
        <v>1.58021631075295</v>
      </c>
    </row>
    <row r="1598" customFormat="false" ht="15" hidden="false" customHeight="false" outlineLevel="0" collapsed="false">
      <c r="A1598" s="2" t="n">
        <v>1590</v>
      </c>
      <c r="B1598" s="53" t="n">
        <f aca="true">NORMINV(RAND(),0,B$7)</f>
        <v>3.45132484613248</v>
      </c>
      <c r="C1598" s="53" t="n">
        <f aca="true">NORMINV(RAND(),0,C$7)</f>
        <v>0.406219551106097</v>
      </c>
      <c r="D1598" s="53" t="n">
        <f aca="true">NORMINV(RAND(),0,D$7)</f>
        <v>3.05256206578022</v>
      </c>
      <c r="E1598" s="53" t="n">
        <f aca="true">NORMINV(RAND(),0,E$7)</f>
        <v>-0.0507123548499684</v>
      </c>
      <c r="F1598" s="53" t="n">
        <f aca="true">NORMINV(RAND(),0,F$7)</f>
        <v>0.299461507665085</v>
      </c>
      <c r="G1598" s="53" t="n">
        <f aca="true">NORMINV(RAND(),0,G$7)</f>
        <v>-0.529477719267777</v>
      </c>
      <c r="H1598" s="53" t="n">
        <f aca="true">NORMINV(RAND(),0,H$7)</f>
        <v>-0.140489313949941</v>
      </c>
      <c r="I1598" s="53" t="n">
        <f aca="false">SUM(B1598:H1598)</f>
        <v>6.48888858261619</v>
      </c>
      <c r="J1598" s="53" t="n">
        <f aca="true">NORMINV(RAND(),0,J$7)</f>
        <v>-2.39027975063244</v>
      </c>
      <c r="K1598" s="53" t="n">
        <f aca="true">NORMINV(RAND(),0,K$7)</f>
        <v>-0.293295926636674</v>
      </c>
      <c r="L1598" s="53" t="n">
        <f aca="true">NORMINV(RAND(),0,L$7)</f>
        <v>0.184134700748478</v>
      </c>
      <c r="M1598" s="53" t="n">
        <f aca="true">NORMINV(RAND(),0,M$7)</f>
        <v>0.118989117017701</v>
      </c>
      <c r="N1598" s="53" t="n">
        <f aca="true">NORMINV(RAND(),0,N$7)</f>
        <v>0.260599070420346</v>
      </c>
      <c r="O1598" s="53" t="n">
        <f aca="false">SUM(J1598:N1598)</f>
        <v>-2.11985278908259</v>
      </c>
    </row>
    <row r="1599" customFormat="false" ht="15" hidden="false" customHeight="false" outlineLevel="0" collapsed="false">
      <c r="A1599" s="2" t="n">
        <v>1591</v>
      </c>
      <c r="B1599" s="53" t="n">
        <f aca="true">NORMINV(RAND(),0,B$7)</f>
        <v>-1.5727116895488</v>
      </c>
      <c r="C1599" s="53" t="n">
        <f aca="true">NORMINV(RAND(),0,C$7)</f>
        <v>0.0640890720509847</v>
      </c>
      <c r="D1599" s="53" t="n">
        <f aca="true">NORMINV(RAND(),0,D$7)</f>
        <v>-1.54390471550076</v>
      </c>
      <c r="E1599" s="53" t="n">
        <f aca="true">NORMINV(RAND(),0,E$7)</f>
        <v>-0.153300997233068</v>
      </c>
      <c r="F1599" s="53" t="n">
        <f aca="true">NORMINV(RAND(),0,F$7)</f>
        <v>-0.199423367969033</v>
      </c>
      <c r="G1599" s="53" t="n">
        <f aca="true">NORMINV(RAND(),0,G$7)</f>
        <v>-2.48681894981669</v>
      </c>
      <c r="H1599" s="53" t="n">
        <f aca="true">NORMINV(RAND(),0,H$7)</f>
        <v>0.610287548996294</v>
      </c>
      <c r="I1599" s="53" t="n">
        <f aca="false">SUM(B1599:H1599)</f>
        <v>-5.28178309902107</v>
      </c>
      <c r="J1599" s="53" t="n">
        <f aca="true">NORMINV(RAND(),0,J$7)</f>
        <v>-2.40322133596451</v>
      </c>
      <c r="K1599" s="53" t="n">
        <f aca="true">NORMINV(RAND(),0,K$7)</f>
        <v>-0.382039785344318</v>
      </c>
      <c r="L1599" s="53" t="n">
        <f aca="true">NORMINV(RAND(),0,L$7)</f>
        <v>0.625762035576426</v>
      </c>
      <c r="M1599" s="53" t="n">
        <f aca="true">NORMINV(RAND(),0,M$7)</f>
        <v>0.110698903107891</v>
      </c>
      <c r="N1599" s="53" t="n">
        <f aca="true">NORMINV(RAND(),0,N$7)</f>
        <v>-0.118165586106446</v>
      </c>
      <c r="O1599" s="53" t="n">
        <f aca="false">SUM(J1599:N1599)</f>
        <v>-2.16696576873096</v>
      </c>
    </row>
    <row r="1600" customFormat="false" ht="15" hidden="false" customHeight="false" outlineLevel="0" collapsed="false">
      <c r="A1600" s="2" t="n">
        <v>1592</v>
      </c>
      <c r="B1600" s="53" t="n">
        <f aca="true">NORMINV(RAND(),0,B$7)</f>
        <v>0.571148108231185</v>
      </c>
      <c r="C1600" s="53" t="n">
        <f aca="true">NORMINV(RAND(),0,C$7)</f>
        <v>3.58813127572988</v>
      </c>
      <c r="D1600" s="53" t="n">
        <f aca="true">NORMINV(RAND(),0,D$7)</f>
        <v>1.52558559666657</v>
      </c>
      <c r="E1600" s="53" t="n">
        <f aca="true">NORMINV(RAND(),0,E$7)</f>
        <v>0.642839569855171</v>
      </c>
      <c r="F1600" s="53" t="n">
        <f aca="true">NORMINV(RAND(),0,F$7)</f>
        <v>0.318398292072804</v>
      </c>
      <c r="G1600" s="53" t="n">
        <f aca="true">NORMINV(RAND(),0,G$7)</f>
        <v>0.870421083673416</v>
      </c>
      <c r="H1600" s="53" t="n">
        <f aca="true">NORMINV(RAND(),0,H$7)</f>
        <v>-0.284100039145484</v>
      </c>
      <c r="I1600" s="53" t="n">
        <f aca="false">SUM(B1600:H1600)</f>
        <v>7.23242388708354</v>
      </c>
      <c r="J1600" s="53" t="n">
        <f aca="true">NORMINV(RAND(),0,J$7)</f>
        <v>-0.376111416311611</v>
      </c>
      <c r="K1600" s="53" t="n">
        <f aca="true">NORMINV(RAND(),0,K$7)</f>
        <v>-0.134561126553099</v>
      </c>
      <c r="L1600" s="53" t="n">
        <f aca="true">NORMINV(RAND(),0,L$7)</f>
        <v>-0.328553376457151</v>
      </c>
      <c r="M1600" s="53" t="n">
        <f aca="true">NORMINV(RAND(),0,M$7)</f>
        <v>-0.197229929998292</v>
      </c>
      <c r="N1600" s="53" t="n">
        <f aca="true">NORMINV(RAND(),0,N$7)</f>
        <v>0.0961342210614161</v>
      </c>
      <c r="O1600" s="53" t="n">
        <f aca="false">SUM(J1600:N1600)</f>
        <v>-0.940321628258738</v>
      </c>
    </row>
    <row r="1601" customFormat="false" ht="15" hidden="false" customHeight="false" outlineLevel="0" collapsed="false">
      <c r="A1601" s="2" t="n">
        <v>1593</v>
      </c>
      <c r="B1601" s="53" t="n">
        <f aca="true">NORMINV(RAND(),0,B$7)</f>
        <v>2.28511842895696</v>
      </c>
      <c r="C1601" s="53" t="n">
        <f aca="true">NORMINV(RAND(),0,C$7)</f>
        <v>-0.455017516782605</v>
      </c>
      <c r="D1601" s="53" t="n">
        <f aca="true">NORMINV(RAND(),0,D$7)</f>
        <v>-1.4805798989454</v>
      </c>
      <c r="E1601" s="53" t="n">
        <f aca="true">NORMINV(RAND(),0,E$7)</f>
        <v>-0.774199133685319</v>
      </c>
      <c r="F1601" s="53" t="n">
        <f aca="true">NORMINV(RAND(),0,F$7)</f>
        <v>0.124975057907418</v>
      </c>
      <c r="G1601" s="53" t="n">
        <f aca="true">NORMINV(RAND(),0,G$7)</f>
        <v>1.28987640147838</v>
      </c>
      <c r="H1601" s="53" t="n">
        <f aca="true">NORMINV(RAND(),0,H$7)</f>
        <v>0.265303800928281</v>
      </c>
      <c r="I1601" s="53" t="n">
        <f aca="false">SUM(B1601:H1601)</f>
        <v>1.25547713985772</v>
      </c>
      <c r="J1601" s="53" t="n">
        <f aca="true">NORMINV(RAND(),0,J$7)</f>
        <v>-3.09762726530626</v>
      </c>
      <c r="K1601" s="53" t="n">
        <f aca="true">NORMINV(RAND(),0,K$7)</f>
        <v>0.117691360398914</v>
      </c>
      <c r="L1601" s="53" t="n">
        <f aca="true">NORMINV(RAND(),0,L$7)</f>
        <v>-0.187811634667157</v>
      </c>
      <c r="M1601" s="53" t="n">
        <f aca="true">NORMINV(RAND(),0,M$7)</f>
        <v>-0.0269062185964501</v>
      </c>
      <c r="N1601" s="53" t="n">
        <f aca="true">NORMINV(RAND(),0,N$7)</f>
        <v>-0.247172689397895</v>
      </c>
      <c r="O1601" s="53" t="n">
        <f aca="false">SUM(J1601:N1601)</f>
        <v>-3.44182644756885</v>
      </c>
    </row>
    <row r="1602" customFormat="false" ht="15" hidden="false" customHeight="false" outlineLevel="0" collapsed="false">
      <c r="A1602" s="2" t="n">
        <v>1594</v>
      </c>
      <c r="B1602" s="53" t="n">
        <f aca="true">NORMINV(RAND(),0,B$7)</f>
        <v>-1.69411289077188</v>
      </c>
      <c r="C1602" s="53" t="n">
        <f aca="true">NORMINV(RAND(),0,C$7)</f>
        <v>-1.70683473461377</v>
      </c>
      <c r="D1602" s="53" t="n">
        <f aca="true">NORMINV(RAND(),0,D$7)</f>
        <v>-0.824560759166484</v>
      </c>
      <c r="E1602" s="53" t="n">
        <f aca="true">NORMINV(RAND(),0,E$7)</f>
        <v>0.10371170272192</v>
      </c>
      <c r="F1602" s="53" t="n">
        <f aca="true">NORMINV(RAND(),0,F$7)</f>
        <v>-0.414795206539231</v>
      </c>
      <c r="G1602" s="53" t="n">
        <f aca="true">NORMINV(RAND(),0,G$7)</f>
        <v>1.17984315617066</v>
      </c>
      <c r="H1602" s="53" t="n">
        <f aca="true">NORMINV(RAND(),0,H$7)</f>
        <v>0.556055390352457</v>
      </c>
      <c r="I1602" s="53" t="n">
        <f aca="false">SUM(B1602:H1602)</f>
        <v>-2.80069334184633</v>
      </c>
      <c r="J1602" s="53" t="n">
        <f aca="true">NORMINV(RAND(),0,J$7)</f>
        <v>2.58199333975641</v>
      </c>
      <c r="K1602" s="53" t="n">
        <f aca="true">NORMINV(RAND(),0,K$7)</f>
        <v>0.0285253926721693</v>
      </c>
      <c r="L1602" s="53" t="n">
        <f aca="true">NORMINV(RAND(),0,L$7)</f>
        <v>-0.43383828429708</v>
      </c>
      <c r="M1602" s="53" t="n">
        <f aca="true">NORMINV(RAND(),0,M$7)</f>
        <v>-0.0409296142893</v>
      </c>
      <c r="N1602" s="53" t="n">
        <f aca="true">NORMINV(RAND(),0,N$7)</f>
        <v>0.0590580289690907</v>
      </c>
      <c r="O1602" s="53" t="n">
        <f aca="false">SUM(J1602:N1602)</f>
        <v>2.19480886281129</v>
      </c>
    </row>
    <row r="1603" customFormat="false" ht="15" hidden="false" customHeight="false" outlineLevel="0" collapsed="false">
      <c r="A1603" s="2" t="n">
        <v>1595</v>
      </c>
      <c r="B1603" s="53" t="n">
        <f aca="true">NORMINV(RAND(),0,B$7)</f>
        <v>-0.3575828064117</v>
      </c>
      <c r="C1603" s="53" t="n">
        <f aca="true">NORMINV(RAND(),0,C$7)</f>
        <v>0.258637215254691</v>
      </c>
      <c r="D1603" s="53" t="n">
        <f aca="true">NORMINV(RAND(),0,D$7)</f>
        <v>-1.32830602235183</v>
      </c>
      <c r="E1603" s="53" t="n">
        <f aca="true">NORMINV(RAND(),0,E$7)</f>
        <v>-0.520829116068063</v>
      </c>
      <c r="F1603" s="53" t="n">
        <f aca="true">NORMINV(RAND(),0,F$7)</f>
        <v>-0.0684552812375293</v>
      </c>
      <c r="G1603" s="53" t="n">
        <f aca="true">NORMINV(RAND(),0,G$7)</f>
        <v>0.657811002213908</v>
      </c>
      <c r="H1603" s="53" t="n">
        <f aca="true">NORMINV(RAND(),0,H$7)</f>
        <v>0.0308699293609729</v>
      </c>
      <c r="I1603" s="53" t="n">
        <f aca="false">SUM(B1603:H1603)</f>
        <v>-1.32785507923955</v>
      </c>
      <c r="J1603" s="53" t="n">
        <f aca="true">NORMINV(RAND(),0,J$7)</f>
        <v>-0.467500182642706</v>
      </c>
      <c r="K1603" s="53" t="n">
        <f aca="true">NORMINV(RAND(),0,K$7)</f>
        <v>0.886467310223435</v>
      </c>
      <c r="L1603" s="53" t="n">
        <f aca="true">NORMINV(RAND(),0,L$7)</f>
        <v>0.297477563396288</v>
      </c>
      <c r="M1603" s="53" t="n">
        <f aca="true">NORMINV(RAND(),0,M$7)</f>
        <v>0.0396858590819319</v>
      </c>
      <c r="N1603" s="53" t="n">
        <f aca="true">NORMINV(RAND(),0,N$7)</f>
        <v>-0.0230827805988326</v>
      </c>
      <c r="O1603" s="53" t="n">
        <f aca="false">SUM(J1603:N1603)</f>
        <v>0.733047769460117</v>
      </c>
    </row>
    <row r="1604" customFormat="false" ht="15" hidden="false" customHeight="false" outlineLevel="0" collapsed="false">
      <c r="A1604" s="2" t="n">
        <v>1596</v>
      </c>
      <c r="B1604" s="53" t="n">
        <f aca="true">NORMINV(RAND(),0,B$7)</f>
        <v>-1.90186587115521</v>
      </c>
      <c r="C1604" s="53" t="n">
        <f aca="true">NORMINV(RAND(),0,C$7)</f>
        <v>0.652054997444618</v>
      </c>
      <c r="D1604" s="53" t="n">
        <f aca="true">NORMINV(RAND(),0,D$7)</f>
        <v>0.34544114094457</v>
      </c>
      <c r="E1604" s="53" t="n">
        <f aca="true">NORMINV(RAND(),0,E$7)</f>
        <v>0.0900524273519138</v>
      </c>
      <c r="F1604" s="53" t="n">
        <f aca="true">NORMINV(RAND(),0,F$7)</f>
        <v>0.293260132241184</v>
      </c>
      <c r="G1604" s="53" t="n">
        <f aca="true">NORMINV(RAND(),0,G$7)</f>
        <v>-0.712614797180425</v>
      </c>
      <c r="H1604" s="53" t="n">
        <f aca="true">NORMINV(RAND(),0,H$7)</f>
        <v>0.185554530031709</v>
      </c>
      <c r="I1604" s="53" t="n">
        <f aca="false">SUM(B1604:H1604)</f>
        <v>-1.04811744032164</v>
      </c>
      <c r="J1604" s="53" t="n">
        <f aca="true">NORMINV(RAND(),0,J$7)</f>
        <v>1.03936135960481</v>
      </c>
      <c r="K1604" s="53" t="n">
        <f aca="true">NORMINV(RAND(),0,K$7)</f>
        <v>-0.814687770497432</v>
      </c>
      <c r="L1604" s="53" t="n">
        <f aca="true">NORMINV(RAND(),0,L$7)</f>
        <v>0.310889044622717</v>
      </c>
      <c r="M1604" s="53" t="n">
        <f aca="true">NORMINV(RAND(),0,M$7)</f>
        <v>0.0578242634923471</v>
      </c>
      <c r="N1604" s="53" t="n">
        <f aca="true">NORMINV(RAND(),0,N$7)</f>
        <v>0.0545652447824912</v>
      </c>
      <c r="O1604" s="53" t="n">
        <f aca="false">SUM(J1604:N1604)</f>
        <v>0.647952142004935</v>
      </c>
    </row>
    <row r="1605" customFormat="false" ht="15" hidden="false" customHeight="false" outlineLevel="0" collapsed="false">
      <c r="A1605" s="2" t="n">
        <v>1597</v>
      </c>
      <c r="B1605" s="53" t="n">
        <f aca="true">NORMINV(RAND(),0,B$7)</f>
        <v>-0.94519207186167</v>
      </c>
      <c r="C1605" s="53" t="n">
        <f aca="true">NORMINV(RAND(),0,C$7)</f>
        <v>-2.93781937723776</v>
      </c>
      <c r="D1605" s="53" t="n">
        <f aca="true">NORMINV(RAND(),0,D$7)</f>
        <v>-2.21016865261456</v>
      </c>
      <c r="E1605" s="53" t="n">
        <f aca="true">NORMINV(RAND(),0,E$7)</f>
        <v>0.612831091841386</v>
      </c>
      <c r="F1605" s="53" t="n">
        <f aca="true">NORMINV(RAND(),0,F$7)</f>
        <v>-0.514604022811017</v>
      </c>
      <c r="G1605" s="53" t="n">
        <f aca="true">NORMINV(RAND(),0,G$7)</f>
        <v>1.64771706542634</v>
      </c>
      <c r="H1605" s="53" t="n">
        <f aca="true">NORMINV(RAND(),0,H$7)</f>
        <v>0.694874773517814</v>
      </c>
      <c r="I1605" s="53" t="n">
        <f aca="false">SUM(B1605:H1605)</f>
        <v>-3.65236119373947</v>
      </c>
      <c r="J1605" s="53" t="n">
        <f aca="true">NORMINV(RAND(),0,J$7)</f>
        <v>-1.00335304330051</v>
      </c>
      <c r="K1605" s="53" t="n">
        <f aca="true">NORMINV(RAND(),0,K$7)</f>
        <v>-0.305391643699582</v>
      </c>
      <c r="L1605" s="53" t="n">
        <f aca="true">NORMINV(RAND(),0,L$7)</f>
        <v>0.148303312861598</v>
      </c>
      <c r="M1605" s="53" t="n">
        <f aca="true">NORMINV(RAND(),0,M$7)</f>
        <v>-0.132988438163303</v>
      </c>
      <c r="N1605" s="53" t="n">
        <f aca="true">NORMINV(RAND(),0,N$7)</f>
        <v>0.37733153538284</v>
      </c>
      <c r="O1605" s="53" t="n">
        <f aca="false">SUM(J1605:N1605)</f>
        <v>-0.916098276918959</v>
      </c>
    </row>
    <row r="1606" customFormat="false" ht="15" hidden="false" customHeight="false" outlineLevel="0" collapsed="false">
      <c r="A1606" s="2" t="n">
        <v>1598</v>
      </c>
      <c r="B1606" s="53" t="n">
        <f aca="true">NORMINV(RAND(),0,B$7)</f>
        <v>1.1060215204499</v>
      </c>
      <c r="C1606" s="53" t="n">
        <f aca="true">NORMINV(RAND(),0,C$7)</f>
        <v>-0.562521221075716</v>
      </c>
      <c r="D1606" s="53" t="n">
        <f aca="true">NORMINV(RAND(),0,D$7)</f>
        <v>-1.71805616005304</v>
      </c>
      <c r="E1606" s="53" t="n">
        <f aca="true">NORMINV(RAND(),0,E$7)</f>
        <v>0.0316326189249409</v>
      </c>
      <c r="F1606" s="53" t="n">
        <f aca="true">NORMINV(RAND(),0,F$7)</f>
        <v>0.0433813563647068</v>
      </c>
      <c r="G1606" s="53" t="n">
        <f aca="true">NORMINV(RAND(),0,G$7)</f>
        <v>-2.40167879429842</v>
      </c>
      <c r="H1606" s="53" t="n">
        <f aca="true">NORMINV(RAND(),0,H$7)</f>
        <v>-0.113074167443536</v>
      </c>
      <c r="I1606" s="53" t="n">
        <f aca="false">SUM(B1606:H1606)</f>
        <v>-3.61429484713116</v>
      </c>
      <c r="J1606" s="53" t="n">
        <f aca="true">NORMINV(RAND(),0,J$7)</f>
        <v>-0.170961987529418</v>
      </c>
      <c r="K1606" s="53" t="n">
        <f aca="true">NORMINV(RAND(),0,K$7)</f>
        <v>0.181783114313575</v>
      </c>
      <c r="L1606" s="53" t="n">
        <f aca="true">NORMINV(RAND(),0,L$7)</f>
        <v>-0.145435011848991</v>
      </c>
      <c r="M1606" s="53" t="n">
        <f aca="true">NORMINV(RAND(),0,M$7)</f>
        <v>0.267844082920319</v>
      </c>
      <c r="N1606" s="53" t="n">
        <f aca="true">NORMINV(RAND(),0,N$7)</f>
        <v>-0.281198708849764</v>
      </c>
      <c r="O1606" s="53" t="n">
        <f aca="false">SUM(J1606:N1606)</f>
        <v>-0.147968510994279</v>
      </c>
    </row>
    <row r="1607" customFormat="false" ht="15" hidden="false" customHeight="false" outlineLevel="0" collapsed="false">
      <c r="A1607" s="2" t="n">
        <v>1599</v>
      </c>
      <c r="B1607" s="53" t="n">
        <f aca="true">NORMINV(RAND(),0,B$7)</f>
        <v>0.260369867340973</v>
      </c>
      <c r="C1607" s="53" t="n">
        <f aca="true">NORMINV(RAND(),0,C$7)</f>
        <v>0.558688468530111</v>
      </c>
      <c r="D1607" s="53" t="n">
        <f aca="true">NORMINV(RAND(),0,D$7)</f>
        <v>-3.31170682541847</v>
      </c>
      <c r="E1607" s="53" t="n">
        <f aca="true">NORMINV(RAND(),0,E$7)</f>
        <v>0.4705831468363</v>
      </c>
      <c r="F1607" s="53" t="n">
        <f aca="true">NORMINV(RAND(),0,F$7)</f>
        <v>0.531050250246456</v>
      </c>
      <c r="G1607" s="53" t="n">
        <f aca="true">NORMINV(RAND(),0,G$7)</f>
        <v>-0.81735211474388</v>
      </c>
      <c r="H1607" s="53" t="n">
        <f aca="true">NORMINV(RAND(),0,H$7)</f>
        <v>0.140035272947074</v>
      </c>
      <c r="I1607" s="53" t="n">
        <f aca="false">SUM(B1607:H1607)</f>
        <v>-2.16833193426144</v>
      </c>
      <c r="J1607" s="53" t="n">
        <f aca="true">NORMINV(RAND(),0,J$7)</f>
        <v>-0.962843305931067</v>
      </c>
      <c r="K1607" s="53" t="n">
        <f aca="true">NORMINV(RAND(),0,K$7)</f>
        <v>-0.0127185479751619</v>
      </c>
      <c r="L1607" s="53" t="n">
        <f aca="true">NORMINV(RAND(),0,L$7)</f>
        <v>0.0911506648138344</v>
      </c>
      <c r="M1607" s="53" t="n">
        <f aca="true">NORMINV(RAND(),0,M$7)</f>
        <v>-0.0311024933640481</v>
      </c>
      <c r="N1607" s="53" t="n">
        <f aca="true">NORMINV(RAND(),0,N$7)</f>
        <v>0.294168471461853</v>
      </c>
      <c r="O1607" s="53" t="n">
        <f aca="false">SUM(J1607:N1607)</f>
        <v>-0.621345210994589</v>
      </c>
    </row>
    <row r="1608" customFormat="false" ht="15" hidden="false" customHeight="false" outlineLevel="0" collapsed="false">
      <c r="A1608" s="2" t="n">
        <v>1600</v>
      </c>
      <c r="B1608" s="53" t="n">
        <f aca="true">NORMINV(RAND(),0,B$7)</f>
        <v>1.02211914379883</v>
      </c>
      <c r="C1608" s="53" t="n">
        <f aca="true">NORMINV(RAND(),0,C$7)</f>
        <v>-0.661137020691079</v>
      </c>
      <c r="D1608" s="53" t="n">
        <f aca="true">NORMINV(RAND(),0,D$7)</f>
        <v>2.68095879369823</v>
      </c>
      <c r="E1608" s="53" t="n">
        <f aca="true">NORMINV(RAND(),0,E$7)</f>
        <v>-0.265845395647891</v>
      </c>
      <c r="F1608" s="53" t="n">
        <f aca="true">NORMINV(RAND(),0,F$7)</f>
        <v>-0.239041194125971</v>
      </c>
      <c r="G1608" s="53" t="n">
        <f aca="true">NORMINV(RAND(),0,G$7)</f>
        <v>-3.54783759395803</v>
      </c>
      <c r="H1608" s="53" t="n">
        <f aca="true">NORMINV(RAND(),0,H$7)</f>
        <v>-0.411466384243962</v>
      </c>
      <c r="I1608" s="53" t="n">
        <f aca="false">SUM(B1608:H1608)</f>
        <v>-1.42224965116987</v>
      </c>
      <c r="J1608" s="53" t="n">
        <f aca="true">NORMINV(RAND(),0,J$7)</f>
        <v>-0.824364517280693</v>
      </c>
      <c r="K1608" s="53" t="n">
        <f aca="true">NORMINV(RAND(),0,K$7)</f>
        <v>0.151052565880416</v>
      </c>
      <c r="L1608" s="53" t="n">
        <f aca="true">NORMINV(RAND(),0,L$7)</f>
        <v>-0.181648271686194</v>
      </c>
      <c r="M1608" s="53" t="n">
        <f aca="true">NORMINV(RAND(),0,M$7)</f>
        <v>-0.116099452125783</v>
      </c>
      <c r="N1608" s="53" t="n">
        <f aca="true">NORMINV(RAND(),0,N$7)</f>
        <v>0.353102337494535</v>
      </c>
      <c r="O1608" s="53" t="n">
        <f aca="false">SUM(J1608:N1608)</f>
        <v>-0.617957337717719</v>
      </c>
    </row>
    <row r="1609" customFormat="false" ht="15" hidden="false" customHeight="false" outlineLevel="0" collapsed="false">
      <c r="A1609" s="2" t="n">
        <v>1601</v>
      </c>
      <c r="B1609" s="53" t="n">
        <f aca="true">NORMINV(RAND(),0,B$7)</f>
        <v>-0.222329803159589</v>
      </c>
      <c r="C1609" s="53" t="n">
        <f aca="true">NORMINV(RAND(),0,C$7)</f>
        <v>-0.130076463203065</v>
      </c>
      <c r="D1609" s="53" t="n">
        <f aca="true">NORMINV(RAND(),0,D$7)</f>
        <v>-0.666390925572763</v>
      </c>
      <c r="E1609" s="53" t="n">
        <f aca="true">NORMINV(RAND(),0,E$7)</f>
        <v>-0.503294158105517</v>
      </c>
      <c r="F1609" s="53" t="n">
        <f aca="true">NORMINV(RAND(),0,F$7)</f>
        <v>0.318922184302188</v>
      </c>
      <c r="G1609" s="53" t="n">
        <f aca="true">NORMINV(RAND(),0,G$7)</f>
        <v>-1.02878766308335</v>
      </c>
      <c r="H1609" s="53" t="n">
        <f aca="true">NORMINV(RAND(),0,H$7)</f>
        <v>-0.317466477829956</v>
      </c>
      <c r="I1609" s="53" t="n">
        <f aca="false">SUM(B1609:H1609)</f>
        <v>-2.54942330665205</v>
      </c>
      <c r="J1609" s="53" t="n">
        <f aca="true">NORMINV(RAND(),0,J$7)</f>
        <v>3.91303025364149</v>
      </c>
      <c r="K1609" s="53" t="n">
        <f aca="true">NORMINV(RAND(),0,K$7)</f>
        <v>0.763481608879688</v>
      </c>
      <c r="L1609" s="53" t="n">
        <f aca="true">NORMINV(RAND(),0,L$7)</f>
        <v>-0.530173218470226</v>
      </c>
      <c r="M1609" s="53" t="n">
        <f aca="true">NORMINV(RAND(),0,M$7)</f>
        <v>-0.0773903212530956</v>
      </c>
      <c r="N1609" s="53" t="n">
        <f aca="true">NORMINV(RAND(),0,N$7)</f>
        <v>0.109472783413298</v>
      </c>
      <c r="O1609" s="53" t="n">
        <f aca="false">SUM(J1609:N1609)</f>
        <v>4.17842110621116</v>
      </c>
    </row>
    <row r="1610" customFormat="false" ht="15" hidden="false" customHeight="false" outlineLevel="0" collapsed="false">
      <c r="A1610" s="2" t="n">
        <v>1602</v>
      </c>
      <c r="B1610" s="53" t="n">
        <f aca="true">NORMINV(RAND(),0,B$7)</f>
        <v>1.92928739647252</v>
      </c>
      <c r="C1610" s="53" t="n">
        <f aca="true">NORMINV(RAND(),0,C$7)</f>
        <v>2.38668712670563</v>
      </c>
      <c r="D1610" s="53" t="n">
        <f aca="true">NORMINV(RAND(),0,D$7)</f>
        <v>1.27253402100095</v>
      </c>
      <c r="E1610" s="53" t="n">
        <f aca="true">NORMINV(RAND(),0,E$7)</f>
        <v>0.343285495258496</v>
      </c>
      <c r="F1610" s="53" t="n">
        <f aca="true">NORMINV(RAND(),0,F$7)</f>
        <v>-0.272924795899104</v>
      </c>
      <c r="G1610" s="53" t="n">
        <f aca="true">NORMINV(RAND(),0,G$7)</f>
        <v>-1.20713814996427</v>
      </c>
      <c r="H1610" s="53" t="n">
        <f aca="true">NORMINV(RAND(),0,H$7)</f>
        <v>-0.134283943472909</v>
      </c>
      <c r="I1610" s="53" t="n">
        <f aca="false">SUM(B1610:H1610)</f>
        <v>4.31744715010131</v>
      </c>
      <c r="J1610" s="53" t="n">
        <f aca="true">NORMINV(RAND(),0,J$7)</f>
        <v>-1.5611936686892</v>
      </c>
      <c r="K1610" s="53" t="n">
        <f aca="true">NORMINV(RAND(),0,K$7)</f>
        <v>-0.426253081520271</v>
      </c>
      <c r="L1610" s="53" t="n">
        <f aca="true">NORMINV(RAND(),0,L$7)</f>
        <v>-0.594287274862869</v>
      </c>
      <c r="M1610" s="53" t="n">
        <f aca="true">NORMINV(RAND(),0,M$7)</f>
        <v>0.224572433689035</v>
      </c>
      <c r="N1610" s="53" t="n">
        <f aca="true">NORMINV(RAND(),0,N$7)</f>
        <v>-0.167938862427054</v>
      </c>
      <c r="O1610" s="53" t="n">
        <f aca="false">SUM(J1610:N1610)</f>
        <v>-2.52510045381036</v>
      </c>
    </row>
    <row r="1611" customFormat="false" ht="15" hidden="false" customHeight="false" outlineLevel="0" collapsed="false">
      <c r="A1611" s="2" t="n">
        <v>1603</v>
      </c>
      <c r="B1611" s="53" t="n">
        <f aca="true">NORMINV(RAND(),0,B$7)</f>
        <v>2.08510589924204</v>
      </c>
      <c r="C1611" s="53" t="n">
        <f aca="true">NORMINV(RAND(),0,C$7)</f>
        <v>0.454133703106427</v>
      </c>
      <c r="D1611" s="53" t="n">
        <f aca="true">NORMINV(RAND(),0,D$7)</f>
        <v>-1.21397237120789</v>
      </c>
      <c r="E1611" s="53" t="n">
        <f aca="true">NORMINV(RAND(),0,E$7)</f>
        <v>-0.084528480144914</v>
      </c>
      <c r="F1611" s="53" t="n">
        <f aca="true">NORMINV(RAND(),0,F$7)</f>
        <v>-0.0164655082432941</v>
      </c>
      <c r="G1611" s="53" t="n">
        <f aca="true">NORMINV(RAND(),0,G$7)</f>
        <v>-1.91280782204493</v>
      </c>
      <c r="H1611" s="53" t="n">
        <f aca="true">NORMINV(RAND(),0,H$7)</f>
        <v>-0.310679078852157</v>
      </c>
      <c r="I1611" s="53" t="n">
        <f aca="false">SUM(B1611:H1611)</f>
        <v>-0.999213658144712</v>
      </c>
      <c r="J1611" s="53" t="n">
        <f aca="true">NORMINV(RAND(),0,J$7)</f>
        <v>-0.184812137546796</v>
      </c>
      <c r="K1611" s="53" t="n">
        <f aca="true">NORMINV(RAND(),0,K$7)</f>
        <v>0.81147023629466</v>
      </c>
      <c r="L1611" s="53" t="n">
        <f aca="true">NORMINV(RAND(),0,L$7)</f>
        <v>0.121761161642536</v>
      </c>
      <c r="M1611" s="53" t="n">
        <f aca="true">NORMINV(RAND(),0,M$7)</f>
        <v>0.298151065855215</v>
      </c>
      <c r="N1611" s="53" t="n">
        <f aca="true">NORMINV(RAND(),0,N$7)</f>
        <v>-0.0423016347229388</v>
      </c>
      <c r="O1611" s="53" t="n">
        <f aca="false">SUM(J1611:N1611)</f>
        <v>1.00426869152268</v>
      </c>
    </row>
    <row r="1612" customFormat="false" ht="15" hidden="false" customHeight="false" outlineLevel="0" collapsed="false">
      <c r="A1612" s="2" t="n">
        <v>1604</v>
      </c>
      <c r="B1612" s="53" t="n">
        <f aca="true">NORMINV(RAND(),0,B$7)</f>
        <v>1.35214239478965</v>
      </c>
      <c r="C1612" s="53" t="n">
        <f aca="true">NORMINV(RAND(),0,C$7)</f>
        <v>0.779510878301201</v>
      </c>
      <c r="D1612" s="53" t="n">
        <f aca="true">NORMINV(RAND(),0,D$7)</f>
        <v>0.0923198051366095</v>
      </c>
      <c r="E1612" s="53" t="n">
        <f aca="true">NORMINV(RAND(),0,E$7)</f>
        <v>-0.599535904033301</v>
      </c>
      <c r="F1612" s="53" t="n">
        <f aca="true">NORMINV(RAND(),0,F$7)</f>
        <v>0.218827684366367</v>
      </c>
      <c r="G1612" s="53" t="n">
        <f aca="true">NORMINV(RAND(),0,G$7)</f>
        <v>0.128599496610059</v>
      </c>
      <c r="H1612" s="53" t="n">
        <f aca="true">NORMINV(RAND(),0,H$7)</f>
        <v>-0.297690948272299</v>
      </c>
      <c r="I1612" s="53" t="n">
        <f aca="false">SUM(B1612:H1612)</f>
        <v>1.67417340689828</v>
      </c>
      <c r="J1612" s="53" t="n">
        <f aca="true">NORMINV(RAND(),0,J$7)</f>
        <v>1.21015167394451</v>
      </c>
      <c r="K1612" s="53" t="n">
        <f aca="true">NORMINV(RAND(),0,K$7)</f>
        <v>0.653614736994967</v>
      </c>
      <c r="L1612" s="53" t="n">
        <f aca="true">NORMINV(RAND(),0,L$7)</f>
        <v>0.45523762019758</v>
      </c>
      <c r="M1612" s="53" t="n">
        <f aca="true">NORMINV(RAND(),0,M$7)</f>
        <v>-0.129144526033188</v>
      </c>
      <c r="N1612" s="53" t="n">
        <f aca="true">NORMINV(RAND(),0,N$7)</f>
        <v>-0.0589042990272235</v>
      </c>
      <c r="O1612" s="53" t="n">
        <f aca="false">SUM(J1612:N1612)</f>
        <v>2.13095520607665</v>
      </c>
    </row>
    <row r="1613" customFormat="false" ht="15" hidden="false" customHeight="false" outlineLevel="0" collapsed="false">
      <c r="A1613" s="2" t="n">
        <v>1605</v>
      </c>
      <c r="B1613" s="53" t="n">
        <f aca="true">NORMINV(RAND(),0,B$7)</f>
        <v>1.52104436895007</v>
      </c>
      <c r="C1613" s="53" t="n">
        <f aca="true">NORMINV(RAND(),0,C$7)</f>
        <v>-0.197262533226958</v>
      </c>
      <c r="D1613" s="53" t="n">
        <f aca="true">NORMINV(RAND(),0,D$7)</f>
        <v>-0.416676778490566</v>
      </c>
      <c r="E1613" s="53" t="n">
        <f aca="true">NORMINV(RAND(),0,E$7)</f>
        <v>0.0143207220784654</v>
      </c>
      <c r="F1613" s="53" t="n">
        <f aca="true">NORMINV(RAND(),0,F$7)</f>
        <v>0.386846960661088</v>
      </c>
      <c r="G1613" s="53" t="n">
        <f aca="true">NORMINV(RAND(),0,G$7)</f>
        <v>0.808949168685719</v>
      </c>
      <c r="H1613" s="53" t="n">
        <f aca="true">NORMINV(RAND(),0,H$7)</f>
        <v>0.0480210786664875</v>
      </c>
      <c r="I1613" s="53" t="n">
        <f aca="false">SUM(B1613:H1613)</f>
        <v>2.16524298732431</v>
      </c>
      <c r="J1613" s="53" t="n">
        <f aca="true">NORMINV(RAND(),0,J$7)</f>
        <v>-0.617781029075117</v>
      </c>
      <c r="K1613" s="53" t="n">
        <f aca="true">NORMINV(RAND(),0,K$7)</f>
        <v>0.240828975468728</v>
      </c>
      <c r="L1613" s="53" t="n">
        <f aca="true">NORMINV(RAND(),0,L$7)</f>
        <v>0.337014388773305</v>
      </c>
      <c r="M1613" s="53" t="n">
        <f aca="true">NORMINV(RAND(),0,M$7)</f>
        <v>0.0204699234863469</v>
      </c>
      <c r="N1613" s="53" t="n">
        <f aca="true">NORMINV(RAND(),0,N$7)</f>
        <v>-0.0378095751037045</v>
      </c>
      <c r="O1613" s="53" t="n">
        <f aca="false">SUM(J1613:N1613)</f>
        <v>-0.0572773164504417</v>
      </c>
    </row>
    <row r="1614" customFormat="false" ht="15" hidden="false" customHeight="false" outlineLevel="0" collapsed="false">
      <c r="A1614" s="2" t="n">
        <v>1606</v>
      </c>
      <c r="B1614" s="53" t="n">
        <f aca="true">NORMINV(RAND(),0,B$7)</f>
        <v>0.995870257967207</v>
      </c>
      <c r="C1614" s="53" t="n">
        <f aca="true">NORMINV(RAND(),0,C$7)</f>
        <v>-1.56148879803797</v>
      </c>
      <c r="D1614" s="53" t="n">
        <f aca="true">NORMINV(RAND(),0,D$7)</f>
        <v>0.10278043364171</v>
      </c>
      <c r="E1614" s="53" t="n">
        <f aca="true">NORMINV(RAND(),0,E$7)</f>
        <v>0.693194078839981</v>
      </c>
      <c r="F1614" s="53" t="n">
        <f aca="true">NORMINV(RAND(),0,F$7)</f>
        <v>-0.119555058942809</v>
      </c>
      <c r="G1614" s="53" t="n">
        <f aca="true">NORMINV(RAND(),0,G$7)</f>
        <v>0.261329745779079</v>
      </c>
      <c r="H1614" s="53" t="n">
        <f aca="true">NORMINV(RAND(),0,H$7)</f>
        <v>0.465325239145741</v>
      </c>
      <c r="I1614" s="53" t="n">
        <f aca="false">SUM(B1614:H1614)</f>
        <v>0.837455898392939</v>
      </c>
      <c r="J1614" s="53" t="n">
        <f aca="true">NORMINV(RAND(),0,J$7)</f>
        <v>-0.702080294514701</v>
      </c>
      <c r="K1614" s="53" t="n">
        <f aca="true">NORMINV(RAND(),0,K$7)</f>
        <v>-0.164402925952566</v>
      </c>
      <c r="L1614" s="53" t="n">
        <f aca="true">NORMINV(RAND(),0,L$7)</f>
        <v>-0.057180891080704</v>
      </c>
      <c r="M1614" s="53" t="n">
        <f aca="true">NORMINV(RAND(),0,M$7)</f>
        <v>0.203949149123617</v>
      </c>
      <c r="N1614" s="53" t="n">
        <f aca="true">NORMINV(RAND(),0,N$7)</f>
        <v>0.362333664311233</v>
      </c>
      <c r="O1614" s="53" t="n">
        <f aca="false">SUM(J1614:N1614)</f>
        <v>-0.357381298113121</v>
      </c>
    </row>
    <row r="1615" customFormat="false" ht="15" hidden="false" customHeight="false" outlineLevel="0" collapsed="false">
      <c r="A1615" s="2" t="n">
        <v>1607</v>
      </c>
      <c r="B1615" s="53" t="n">
        <f aca="true">NORMINV(RAND(),0,B$7)</f>
        <v>0.147480421058643</v>
      </c>
      <c r="C1615" s="53" t="n">
        <f aca="true">NORMINV(RAND(),0,C$7)</f>
        <v>1.10036807114097</v>
      </c>
      <c r="D1615" s="53" t="n">
        <f aca="true">NORMINV(RAND(),0,D$7)</f>
        <v>1.97420704256748</v>
      </c>
      <c r="E1615" s="53" t="n">
        <f aca="true">NORMINV(RAND(),0,E$7)</f>
        <v>0.0463254544860239</v>
      </c>
      <c r="F1615" s="53" t="n">
        <f aca="true">NORMINV(RAND(),0,F$7)</f>
        <v>-0.406954660591648</v>
      </c>
      <c r="G1615" s="53" t="n">
        <f aca="true">NORMINV(RAND(),0,G$7)</f>
        <v>1.75313685943984</v>
      </c>
      <c r="H1615" s="53" t="n">
        <f aca="true">NORMINV(RAND(),0,H$7)</f>
        <v>-0.231189273103919</v>
      </c>
      <c r="I1615" s="53" t="n">
        <f aca="false">SUM(B1615:H1615)</f>
        <v>4.38337391499739</v>
      </c>
      <c r="J1615" s="53" t="n">
        <f aca="true">NORMINV(RAND(),0,J$7)</f>
        <v>0.0783444783334125</v>
      </c>
      <c r="K1615" s="53" t="n">
        <f aca="true">NORMINV(RAND(),0,K$7)</f>
        <v>0.516019862197899</v>
      </c>
      <c r="L1615" s="53" t="n">
        <f aca="true">NORMINV(RAND(),0,L$7)</f>
        <v>0.406149385435263</v>
      </c>
      <c r="M1615" s="53" t="n">
        <f aca="true">NORMINV(RAND(),0,M$7)</f>
        <v>0.172781054134008</v>
      </c>
      <c r="N1615" s="53" t="n">
        <f aca="true">NORMINV(RAND(),0,N$7)</f>
        <v>0.0252927731561711</v>
      </c>
      <c r="O1615" s="53" t="n">
        <f aca="false">SUM(J1615:N1615)</f>
        <v>1.19858755325675</v>
      </c>
    </row>
    <row r="1616" customFormat="false" ht="15" hidden="false" customHeight="false" outlineLevel="0" collapsed="false">
      <c r="A1616" s="2" t="n">
        <v>1608</v>
      </c>
      <c r="B1616" s="53" t="n">
        <f aca="true">NORMINV(RAND(),0,B$7)</f>
        <v>0.643809874569051</v>
      </c>
      <c r="C1616" s="53" t="n">
        <f aca="true">NORMINV(RAND(),0,C$7)</f>
        <v>-1.68483501762737</v>
      </c>
      <c r="D1616" s="53" t="n">
        <f aca="true">NORMINV(RAND(),0,D$7)</f>
        <v>2.18054489707462</v>
      </c>
      <c r="E1616" s="53" t="n">
        <f aca="true">NORMINV(RAND(),0,E$7)</f>
        <v>-0.346043320573289</v>
      </c>
      <c r="F1616" s="53" t="n">
        <f aca="true">NORMINV(RAND(),0,F$7)</f>
        <v>-0.181732530035059</v>
      </c>
      <c r="G1616" s="53" t="n">
        <f aca="true">NORMINV(RAND(),0,G$7)</f>
        <v>0.09666477161165</v>
      </c>
      <c r="H1616" s="53" t="n">
        <f aca="true">NORMINV(RAND(),0,H$7)</f>
        <v>0.290184326426281</v>
      </c>
      <c r="I1616" s="53" t="n">
        <f aca="false">SUM(B1616:H1616)</f>
        <v>0.998593001445886</v>
      </c>
      <c r="J1616" s="53" t="n">
        <f aca="true">NORMINV(RAND(),0,J$7)</f>
        <v>0.999918702523034</v>
      </c>
      <c r="K1616" s="53" t="n">
        <f aca="true">NORMINV(RAND(),0,K$7)</f>
        <v>0.230282313148384</v>
      </c>
      <c r="L1616" s="53" t="n">
        <f aca="true">NORMINV(RAND(),0,L$7)</f>
        <v>-0.484192526935601</v>
      </c>
      <c r="M1616" s="53" t="n">
        <f aca="true">NORMINV(RAND(),0,M$7)</f>
        <v>0.0835810077343291</v>
      </c>
      <c r="N1616" s="53" t="n">
        <f aca="true">NORMINV(RAND(),0,N$7)</f>
        <v>0.22288748385011</v>
      </c>
      <c r="O1616" s="53" t="n">
        <f aca="false">SUM(J1616:N1616)</f>
        <v>1.05247698032026</v>
      </c>
    </row>
    <row r="1617" customFormat="false" ht="15" hidden="false" customHeight="false" outlineLevel="0" collapsed="false">
      <c r="A1617" s="2" t="n">
        <v>1609</v>
      </c>
      <c r="B1617" s="53" t="n">
        <f aca="true">NORMINV(RAND(),0,B$7)</f>
        <v>2.7496062525925</v>
      </c>
      <c r="C1617" s="53" t="n">
        <f aca="true">NORMINV(RAND(),0,C$7)</f>
        <v>-0.0532272060390083</v>
      </c>
      <c r="D1617" s="53" t="n">
        <f aca="true">NORMINV(RAND(),0,D$7)</f>
        <v>0.112697280747749</v>
      </c>
      <c r="E1617" s="53" t="n">
        <f aca="true">NORMINV(RAND(),0,E$7)</f>
        <v>0.411642974684755</v>
      </c>
      <c r="F1617" s="53" t="n">
        <f aca="true">NORMINV(RAND(),0,F$7)</f>
        <v>-0.240735397024509</v>
      </c>
      <c r="G1617" s="53" t="n">
        <f aca="true">NORMINV(RAND(),0,G$7)</f>
        <v>-1.67137437118193</v>
      </c>
      <c r="H1617" s="53" t="n">
        <f aca="true">NORMINV(RAND(),0,H$7)</f>
        <v>-0.223709461624522</v>
      </c>
      <c r="I1617" s="53" t="n">
        <f aca="false">SUM(B1617:H1617)</f>
        <v>1.08490007215503</v>
      </c>
      <c r="J1617" s="53" t="n">
        <f aca="true">NORMINV(RAND(),0,J$7)</f>
        <v>-1.23591093743898</v>
      </c>
      <c r="K1617" s="53" t="n">
        <f aca="true">NORMINV(RAND(),0,K$7)</f>
        <v>1.62411671185374</v>
      </c>
      <c r="L1617" s="53" t="n">
        <f aca="true">NORMINV(RAND(),0,L$7)</f>
        <v>-0.159934623335141</v>
      </c>
      <c r="M1617" s="53" t="n">
        <f aca="true">NORMINV(RAND(),0,M$7)</f>
        <v>0.184211264371137</v>
      </c>
      <c r="N1617" s="53" t="n">
        <f aca="true">NORMINV(RAND(),0,N$7)</f>
        <v>0.328243135815846</v>
      </c>
      <c r="O1617" s="53" t="n">
        <f aca="false">SUM(J1617:N1617)</f>
        <v>0.740725551266598</v>
      </c>
    </row>
    <row r="1618" customFormat="false" ht="15" hidden="false" customHeight="false" outlineLevel="0" collapsed="false">
      <c r="A1618" s="2" t="n">
        <v>1610</v>
      </c>
      <c r="B1618" s="53" t="n">
        <f aca="true">NORMINV(RAND(),0,B$7)</f>
        <v>0.359488803479818</v>
      </c>
      <c r="C1618" s="53" t="n">
        <f aca="true">NORMINV(RAND(),0,C$7)</f>
        <v>-3.25784697135706</v>
      </c>
      <c r="D1618" s="53" t="n">
        <f aca="true">NORMINV(RAND(),0,D$7)</f>
        <v>0.685951672749499</v>
      </c>
      <c r="E1618" s="53" t="n">
        <f aca="true">NORMINV(RAND(),0,E$7)</f>
        <v>0.313324185126958</v>
      </c>
      <c r="F1618" s="53" t="n">
        <f aca="true">NORMINV(RAND(),0,F$7)</f>
        <v>-0.101282663153357</v>
      </c>
      <c r="G1618" s="53" t="n">
        <f aca="true">NORMINV(RAND(),0,G$7)</f>
        <v>0.526708851028171</v>
      </c>
      <c r="H1618" s="53" t="n">
        <f aca="true">NORMINV(RAND(),0,H$7)</f>
        <v>-0.277289259020925</v>
      </c>
      <c r="I1618" s="53" t="n">
        <f aca="false">SUM(B1618:H1618)</f>
        <v>-1.75094538114689</v>
      </c>
      <c r="J1618" s="53" t="n">
        <f aca="true">NORMINV(RAND(),0,J$7)</f>
        <v>-0.579495780825247</v>
      </c>
      <c r="K1618" s="53" t="n">
        <f aca="true">NORMINV(RAND(),0,K$7)</f>
        <v>0.856228565103909</v>
      </c>
      <c r="L1618" s="53" t="n">
        <f aca="true">NORMINV(RAND(),0,L$7)</f>
        <v>-0.316631891338609</v>
      </c>
      <c r="M1618" s="53" t="n">
        <f aca="true">NORMINV(RAND(),0,M$7)</f>
        <v>-0.130726670124851</v>
      </c>
      <c r="N1618" s="53" t="n">
        <f aca="true">NORMINV(RAND(),0,N$7)</f>
        <v>0.0741284541507587</v>
      </c>
      <c r="O1618" s="53" t="n">
        <f aca="false">SUM(J1618:N1618)</f>
        <v>-0.0964973230340397</v>
      </c>
    </row>
    <row r="1619" customFormat="false" ht="15" hidden="false" customHeight="false" outlineLevel="0" collapsed="false">
      <c r="A1619" s="2" t="n">
        <v>1611</v>
      </c>
      <c r="B1619" s="53" t="n">
        <f aca="true">NORMINV(RAND(),0,B$7)</f>
        <v>1.20795657878109</v>
      </c>
      <c r="C1619" s="53" t="n">
        <f aca="true">NORMINV(RAND(),0,C$7)</f>
        <v>-2.85044491680693</v>
      </c>
      <c r="D1619" s="53" t="n">
        <f aca="true">NORMINV(RAND(),0,D$7)</f>
        <v>-0.114159247091133</v>
      </c>
      <c r="E1619" s="53" t="n">
        <f aca="true">NORMINV(RAND(),0,E$7)</f>
        <v>0.58795764695271</v>
      </c>
      <c r="F1619" s="53" t="n">
        <f aca="true">NORMINV(RAND(),0,F$7)</f>
        <v>0.582690534246393</v>
      </c>
      <c r="G1619" s="53" t="n">
        <f aca="true">NORMINV(RAND(),0,G$7)</f>
        <v>0.0725623869098079</v>
      </c>
      <c r="H1619" s="53" t="n">
        <f aca="true">NORMINV(RAND(),0,H$7)</f>
        <v>0.466983720485517</v>
      </c>
      <c r="I1619" s="53" t="n">
        <f aca="false">SUM(B1619:H1619)</f>
        <v>-0.0464532965225449</v>
      </c>
      <c r="J1619" s="53" t="n">
        <f aca="true">NORMINV(RAND(),0,J$7)</f>
        <v>1.08207448188549</v>
      </c>
      <c r="K1619" s="53" t="n">
        <f aca="true">NORMINV(RAND(),0,K$7)</f>
        <v>1.3498980970477</v>
      </c>
      <c r="L1619" s="53" t="n">
        <f aca="true">NORMINV(RAND(),0,L$7)</f>
        <v>0.00815369554537106</v>
      </c>
      <c r="M1619" s="53" t="n">
        <f aca="true">NORMINV(RAND(),0,M$7)</f>
        <v>0.266796279354718</v>
      </c>
      <c r="N1619" s="53" t="n">
        <f aca="true">NORMINV(RAND(),0,N$7)</f>
        <v>-0.165811972656706</v>
      </c>
      <c r="O1619" s="53" t="n">
        <f aca="false">SUM(J1619:N1619)</f>
        <v>2.54111058117657</v>
      </c>
    </row>
    <row r="1620" customFormat="false" ht="15" hidden="false" customHeight="false" outlineLevel="0" collapsed="false">
      <c r="A1620" s="2" t="n">
        <v>1612</v>
      </c>
      <c r="B1620" s="53" t="n">
        <f aca="true">NORMINV(RAND(),0,B$7)</f>
        <v>0.680607093305894</v>
      </c>
      <c r="C1620" s="53" t="n">
        <f aca="true">NORMINV(RAND(),0,C$7)</f>
        <v>-1.1404941419724</v>
      </c>
      <c r="D1620" s="53" t="n">
        <f aca="true">NORMINV(RAND(),0,D$7)</f>
        <v>-1.5873219648532</v>
      </c>
      <c r="E1620" s="53" t="n">
        <f aca="true">NORMINV(RAND(),0,E$7)</f>
        <v>-0.284018711212788</v>
      </c>
      <c r="F1620" s="53" t="n">
        <f aca="true">NORMINV(RAND(),0,F$7)</f>
        <v>-0.478764671001588</v>
      </c>
      <c r="G1620" s="53" t="n">
        <f aca="true">NORMINV(RAND(),0,G$7)</f>
        <v>0.454809914129156</v>
      </c>
      <c r="H1620" s="53" t="n">
        <f aca="true">NORMINV(RAND(),0,H$7)</f>
        <v>0.0307875665274561</v>
      </c>
      <c r="I1620" s="53" t="n">
        <f aca="false">SUM(B1620:H1620)</f>
        <v>-2.32439491507747</v>
      </c>
      <c r="J1620" s="53" t="n">
        <f aca="true">NORMINV(RAND(),0,J$7)</f>
        <v>-4.75858478231509</v>
      </c>
      <c r="K1620" s="53" t="n">
        <f aca="true">NORMINV(RAND(),0,K$7)</f>
        <v>0.238829789546417</v>
      </c>
      <c r="L1620" s="53" t="n">
        <f aca="true">NORMINV(RAND(),0,L$7)</f>
        <v>-0.182140507948723</v>
      </c>
      <c r="M1620" s="53" t="n">
        <f aca="true">NORMINV(RAND(),0,M$7)</f>
        <v>0.0342930169079618</v>
      </c>
      <c r="N1620" s="53" t="n">
        <f aca="true">NORMINV(RAND(),0,N$7)</f>
        <v>0.376349902825366</v>
      </c>
      <c r="O1620" s="53" t="n">
        <f aca="false">SUM(J1620:N1620)</f>
        <v>-4.29125258098407</v>
      </c>
    </row>
    <row r="1621" customFormat="false" ht="15" hidden="false" customHeight="false" outlineLevel="0" collapsed="false">
      <c r="A1621" s="2" t="n">
        <v>1613</v>
      </c>
      <c r="B1621" s="53" t="n">
        <f aca="true">NORMINV(RAND(),0,B$7)</f>
        <v>0.334426667585207</v>
      </c>
      <c r="C1621" s="53" t="n">
        <f aca="true">NORMINV(RAND(),0,C$7)</f>
        <v>-1.25797635932198</v>
      </c>
      <c r="D1621" s="53" t="n">
        <f aca="true">NORMINV(RAND(),0,D$7)</f>
        <v>1.37017176117249</v>
      </c>
      <c r="E1621" s="53" t="n">
        <f aca="true">NORMINV(RAND(),0,E$7)</f>
        <v>-0.0185942951298493</v>
      </c>
      <c r="F1621" s="53" t="n">
        <f aca="true">NORMINV(RAND(),0,F$7)</f>
        <v>-0.0322803994248208</v>
      </c>
      <c r="G1621" s="53" t="n">
        <f aca="true">NORMINV(RAND(),0,G$7)</f>
        <v>1.63119929361725</v>
      </c>
      <c r="H1621" s="53" t="n">
        <f aca="true">NORMINV(RAND(),0,H$7)</f>
        <v>0.126934904374534</v>
      </c>
      <c r="I1621" s="53" t="n">
        <f aca="false">SUM(B1621:H1621)</f>
        <v>2.15388157287283</v>
      </c>
      <c r="J1621" s="53" t="n">
        <f aca="true">NORMINV(RAND(),0,J$7)</f>
        <v>0.171125906056188</v>
      </c>
      <c r="K1621" s="53" t="n">
        <f aca="true">NORMINV(RAND(),0,K$7)</f>
        <v>0.937495702769963</v>
      </c>
      <c r="L1621" s="53" t="n">
        <f aca="true">NORMINV(RAND(),0,L$7)</f>
        <v>0.538685255001605</v>
      </c>
      <c r="M1621" s="53" t="n">
        <f aca="true">NORMINV(RAND(),0,M$7)</f>
        <v>-0.0753291824910506</v>
      </c>
      <c r="N1621" s="53" t="n">
        <f aca="true">NORMINV(RAND(),0,N$7)</f>
        <v>0.0920842222442874</v>
      </c>
      <c r="O1621" s="53" t="n">
        <f aca="false">SUM(J1621:N1621)</f>
        <v>1.66406190358099</v>
      </c>
    </row>
    <row r="1622" customFormat="false" ht="15" hidden="false" customHeight="false" outlineLevel="0" collapsed="false">
      <c r="A1622" s="2" t="n">
        <v>1614</v>
      </c>
      <c r="B1622" s="53" t="n">
        <f aca="true">NORMINV(RAND(),0,B$7)</f>
        <v>-0.387770621685544</v>
      </c>
      <c r="C1622" s="53" t="n">
        <f aca="true">NORMINV(RAND(),0,C$7)</f>
        <v>2.63344535463731</v>
      </c>
      <c r="D1622" s="53" t="n">
        <f aca="true">NORMINV(RAND(),0,D$7)</f>
        <v>-1.36347203565196</v>
      </c>
      <c r="E1622" s="53" t="n">
        <f aca="true">NORMINV(RAND(),0,E$7)</f>
        <v>0.136436084825616</v>
      </c>
      <c r="F1622" s="53" t="n">
        <f aca="true">NORMINV(RAND(),0,F$7)</f>
        <v>-0.459850661634741</v>
      </c>
      <c r="G1622" s="53" t="n">
        <f aca="true">NORMINV(RAND(),0,G$7)</f>
        <v>0.131115373099241</v>
      </c>
      <c r="H1622" s="53" t="n">
        <f aca="true">NORMINV(RAND(),0,H$7)</f>
        <v>-0.0378904260483183</v>
      </c>
      <c r="I1622" s="53" t="n">
        <f aca="false">SUM(B1622:H1622)</f>
        <v>0.652013067541594</v>
      </c>
      <c r="J1622" s="53" t="n">
        <f aca="true">NORMINV(RAND(),0,J$7)</f>
        <v>0.435886507603381</v>
      </c>
      <c r="K1622" s="53" t="n">
        <f aca="true">NORMINV(RAND(),0,K$7)</f>
        <v>0.945244518037203</v>
      </c>
      <c r="L1622" s="53" t="n">
        <f aca="true">NORMINV(RAND(),0,L$7)</f>
        <v>0.225928710587466</v>
      </c>
      <c r="M1622" s="53" t="n">
        <f aca="true">NORMINV(RAND(),0,M$7)</f>
        <v>-0.035387254314343</v>
      </c>
      <c r="N1622" s="53" t="n">
        <f aca="true">NORMINV(RAND(),0,N$7)</f>
        <v>0.0705040598056434</v>
      </c>
      <c r="O1622" s="53" t="n">
        <f aca="false">SUM(J1622:N1622)</f>
        <v>1.64217654171935</v>
      </c>
    </row>
    <row r="1623" customFormat="false" ht="15" hidden="false" customHeight="false" outlineLevel="0" collapsed="false">
      <c r="A1623" s="2" t="n">
        <v>1615</v>
      </c>
      <c r="B1623" s="53" t="n">
        <f aca="true">NORMINV(RAND(),0,B$7)</f>
        <v>-3.85649631647455</v>
      </c>
      <c r="C1623" s="53" t="n">
        <f aca="true">NORMINV(RAND(),0,C$7)</f>
        <v>-1.2891556112915</v>
      </c>
      <c r="D1623" s="53" t="n">
        <f aca="true">NORMINV(RAND(),0,D$7)</f>
        <v>-2.37560684448184</v>
      </c>
      <c r="E1623" s="53" t="n">
        <f aca="true">NORMINV(RAND(),0,E$7)</f>
        <v>-0.821613265925698</v>
      </c>
      <c r="F1623" s="53" t="n">
        <f aca="true">NORMINV(RAND(),0,F$7)</f>
        <v>-0.33868776612226</v>
      </c>
      <c r="G1623" s="53" t="n">
        <f aca="true">NORMINV(RAND(),0,G$7)</f>
        <v>-1.85980680553282</v>
      </c>
      <c r="H1623" s="53" t="n">
        <f aca="true">NORMINV(RAND(),0,H$7)</f>
        <v>-0.400676088246064</v>
      </c>
      <c r="I1623" s="53" t="n">
        <f aca="false">SUM(B1623:H1623)</f>
        <v>-10.9420426980747</v>
      </c>
      <c r="J1623" s="53" t="n">
        <f aca="true">NORMINV(RAND(),0,J$7)</f>
        <v>-0.431857020083948</v>
      </c>
      <c r="K1623" s="53" t="n">
        <f aca="true">NORMINV(RAND(),0,K$7)</f>
        <v>0.893676278100052</v>
      </c>
      <c r="L1623" s="53" t="n">
        <f aca="true">NORMINV(RAND(),0,L$7)</f>
        <v>-0.0668274370114727</v>
      </c>
      <c r="M1623" s="53" t="n">
        <f aca="true">NORMINV(RAND(),0,M$7)</f>
        <v>0.0413076076197818</v>
      </c>
      <c r="N1623" s="53" t="n">
        <f aca="true">NORMINV(RAND(),0,N$7)</f>
        <v>0.386238409553573</v>
      </c>
      <c r="O1623" s="53" t="n">
        <f aca="false">SUM(J1623:N1623)</f>
        <v>0.822537838177985</v>
      </c>
    </row>
    <row r="1624" customFormat="false" ht="15" hidden="false" customHeight="false" outlineLevel="0" collapsed="false">
      <c r="A1624" s="2" t="n">
        <v>1616</v>
      </c>
      <c r="B1624" s="53" t="n">
        <f aca="true">NORMINV(RAND(),0,B$7)</f>
        <v>0.174739016136909</v>
      </c>
      <c r="C1624" s="53" t="n">
        <f aca="true">NORMINV(RAND(),0,C$7)</f>
        <v>-1.45716805189021</v>
      </c>
      <c r="D1624" s="53" t="n">
        <f aca="true">NORMINV(RAND(),0,D$7)</f>
        <v>-1.97448280121007</v>
      </c>
      <c r="E1624" s="53" t="n">
        <f aca="true">NORMINV(RAND(),0,E$7)</f>
        <v>0.420535371743442</v>
      </c>
      <c r="F1624" s="53" t="n">
        <f aca="true">NORMINV(RAND(),0,F$7)</f>
        <v>-0.0538756406146493</v>
      </c>
      <c r="G1624" s="53" t="n">
        <f aca="true">NORMINV(RAND(),0,G$7)</f>
        <v>-1.19302329277568</v>
      </c>
      <c r="H1624" s="53" t="n">
        <f aca="true">NORMINV(RAND(),0,H$7)</f>
        <v>0.185053826344249</v>
      </c>
      <c r="I1624" s="53" t="n">
        <f aca="false">SUM(B1624:H1624)</f>
        <v>-3.89822157226601</v>
      </c>
      <c r="J1624" s="53" t="n">
        <f aca="true">NORMINV(RAND(),0,J$7)</f>
        <v>-0.417475139383686</v>
      </c>
      <c r="K1624" s="53" t="n">
        <f aca="true">NORMINV(RAND(),0,K$7)</f>
        <v>-0.199771871974611</v>
      </c>
      <c r="L1624" s="53" t="n">
        <f aca="true">NORMINV(RAND(),0,L$7)</f>
        <v>0.230535467392063</v>
      </c>
      <c r="M1624" s="53" t="n">
        <f aca="true">NORMINV(RAND(),0,M$7)</f>
        <v>-0.130719697689124</v>
      </c>
      <c r="N1624" s="53" t="n">
        <f aca="true">NORMINV(RAND(),0,N$7)</f>
        <v>0.165222560301294</v>
      </c>
      <c r="O1624" s="53" t="n">
        <f aca="false">SUM(J1624:N1624)</f>
        <v>-0.352208681354064</v>
      </c>
    </row>
    <row r="1625" customFormat="false" ht="15" hidden="false" customHeight="false" outlineLevel="0" collapsed="false">
      <c r="A1625" s="2" t="n">
        <v>1617</v>
      </c>
      <c r="B1625" s="53" t="n">
        <f aca="true">NORMINV(RAND(),0,B$7)</f>
        <v>1.64913169996004</v>
      </c>
      <c r="C1625" s="53" t="n">
        <f aca="true">NORMINV(RAND(),0,C$7)</f>
        <v>-1.93333300657772</v>
      </c>
      <c r="D1625" s="53" t="n">
        <f aca="true">NORMINV(RAND(),0,D$7)</f>
        <v>-0.259895662000529</v>
      </c>
      <c r="E1625" s="53" t="n">
        <f aca="true">NORMINV(RAND(),0,E$7)</f>
        <v>-0.0695790590417746</v>
      </c>
      <c r="F1625" s="53" t="n">
        <f aca="true">NORMINV(RAND(),0,F$7)</f>
        <v>0.54896606188833</v>
      </c>
      <c r="G1625" s="53" t="n">
        <f aca="true">NORMINV(RAND(),0,G$7)</f>
        <v>0.0232931095586285</v>
      </c>
      <c r="H1625" s="53" t="n">
        <f aca="true">NORMINV(RAND(),0,H$7)</f>
        <v>0.260586651278847</v>
      </c>
      <c r="I1625" s="53" t="n">
        <f aca="false">SUM(B1625:H1625)</f>
        <v>0.219169795065822</v>
      </c>
      <c r="J1625" s="53" t="n">
        <f aca="true">NORMINV(RAND(),0,J$7)</f>
        <v>-1.82134896522409</v>
      </c>
      <c r="K1625" s="53" t="n">
        <f aca="true">NORMINV(RAND(),0,K$7)</f>
        <v>-0.643896325542885</v>
      </c>
      <c r="L1625" s="53" t="n">
        <f aca="true">NORMINV(RAND(),0,L$7)</f>
        <v>1.21263323354348</v>
      </c>
      <c r="M1625" s="53" t="n">
        <f aca="true">NORMINV(RAND(),0,M$7)</f>
        <v>0.457594213336098</v>
      </c>
      <c r="N1625" s="53" t="n">
        <f aca="true">NORMINV(RAND(),0,N$7)</f>
        <v>0.0811401618400323</v>
      </c>
      <c r="O1625" s="53" t="n">
        <f aca="false">SUM(J1625:N1625)</f>
        <v>-0.713877682047362</v>
      </c>
    </row>
    <row r="1626" customFormat="false" ht="15" hidden="false" customHeight="false" outlineLevel="0" collapsed="false">
      <c r="A1626" s="2" t="n">
        <v>1618</v>
      </c>
      <c r="B1626" s="53" t="n">
        <f aca="true">NORMINV(RAND(),0,B$7)</f>
        <v>-0.287769674660107</v>
      </c>
      <c r="C1626" s="53" t="n">
        <f aca="true">NORMINV(RAND(),0,C$7)</f>
        <v>1.31680072320233</v>
      </c>
      <c r="D1626" s="53" t="n">
        <f aca="true">NORMINV(RAND(),0,D$7)</f>
        <v>-2.13578339240296</v>
      </c>
      <c r="E1626" s="53" t="n">
        <f aca="true">NORMINV(RAND(),0,E$7)</f>
        <v>-0.744338842474164</v>
      </c>
      <c r="F1626" s="53" t="n">
        <f aca="true">NORMINV(RAND(),0,F$7)</f>
        <v>0.411267102390851</v>
      </c>
      <c r="G1626" s="53" t="n">
        <f aca="true">NORMINV(RAND(),0,G$7)</f>
        <v>-0.519104877446323</v>
      </c>
      <c r="H1626" s="53" t="n">
        <f aca="true">NORMINV(RAND(),0,H$7)</f>
        <v>0.463081276340762</v>
      </c>
      <c r="I1626" s="53" t="n">
        <f aca="false">SUM(B1626:H1626)</f>
        <v>-1.49584768504961</v>
      </c>
      <c r="J1626" s="53" t="n">
        <f aca="true">NORMINV(RAND(),0,J$7)</f>
        <v>0.950221299327426</v>
      </c>
      <c r="K1626" s="53" t="n">
        <f aca="true">NORMINV(RAND(),0,K$7)</f>
        <v>0.682749302984351</v>
      </c>
      <c r="L1626" s="53" t="n">
        <f aca="true">NORMINV(RAND(),0,L$7)</f>
        <v>0.0995088501495948</v>
      </c>
      <c r="M1626" s="53" t="n">
        <f aca="true">NORMINV(RAND(),0,M$7)</f>
        <v>0.0261639229709907</v>
      </c>
      <c r="N1626" s="53" t="n">
        <f aca="true">NORMINV(RAND(),0,N$7)</f>
        <v>-0.554984673934016</v>
      </c>
      <c r="O1626" s="53" t="n">
        <f aca="false">SUM(J1626:N1626)</f>
        <v>1.20365870149835</v>
      </c>
    </row>
    <row r="1627" customFormat="false" ht="15" hidden="false" customHeight="false" outlineLevel="0" collapsed="false">
      <c r="A1627" s="2" t="n">
        <v>1619</v>
      </c>
      <c r="B1627" s="53" t="n">
        <f aca="true">NORMINV(RAND(),0,B$7)</f>
        <v>0.57566018326247</v>
      </c>
      <c r="C1627" s="53" t="n">
        <f aca="true">NORMINV(RAND(),0,C$7)</f>
        <v>1.67745076760027</v>
      </c>
      <c r="D1627" s="53" t="n">
        <f aca="true">NORMINV(RAND(),0,D$7)</f>
        <v>0.782349389934174</v>
      </c>
      <c r="E1627" s="53" t="n">
        <f aca="true">NORMINV(RAND(),0,E$7)</f>
        <v>0.48706204193159</v>
      </c>
      <c r="F1627" s="53" t="n">
        <f aca="true">NORMINV(RAND(),0,F$7)</f>
        <v>-0.694628598412625</v>
      </c>
      <c r="G1627" s="53" t="n">
        <f aca="true">NORMINV(RAND(),0,G$7)</f>
        <v>1.55236675440589</v>
      </c>
      <c r="H1627" s="53" t="n">
        <f aca="true">NORMINV(RAND(),0,H$7)</f>
        <v>-0.124969436459755</v>
      </c>
      <c r="I1627" s="53" t="n">
        <f aca="false">SUM(B1627:H1627)</f>
        <v>4.25529110226201</v>
      </c>
      <c r="J1627" s="53" t="n">
        <f aca="true">NORMINV(RAND(),0,J$7)</f>
        <v>-4.36067285272442</v>
      </c>
      <c r="K1627" s="53" t="n">
        <f aca="true">NORMINV(RAND(),0,K$7)</f>
        <v>0.733888849969816</v>
      </c>
      <c r="L1627" s="53" t="n">
        <f aca="true">NORMINV(RAND(),0,L$7)</f>
        <v>-0.311887812613453</v>
      </c>
      <c r="M1627" s="53" t="n">
        <f aca="true">NORMINV(RAND(),0,M$7)</f>
        <v>0.201001856396008</v>
      </c>
      <c r="N1627" s="53" t="n">
        <f aca="true">NORMINV(RAND(),0,N$7)</f>
        <v>0.23577943402344</v>
      </c>
      <c r="O1627" s="53" t="n">
        <f aca="false">SUM(J1627:N1627)</f>
        <v>-3.50189052494861</v>
      </c>
    </row>
    <row r="1628" customFormat="false" ht="15" hidden="false" customHeight="false" outlineLevel="0" collapsed="false">
      <c r="A1628" s="2" t="n">
        <v>1620</v>
      </c>
      <c r="B1628" s="53" t="n">
        <f aca="true">NORMINV(RAND(),0,B$7)</f>
        <v>-1.49106687651878</v>
      </c>
      <c r="C1628" s="53" t="n">
        <f aca="true">NORMINV(RAND(),0,C$7)</f>
        <v>1.22213721745454</v>
      </c>
      <c r="D1628" s="53" t="n">
        <f aca="true">NORMINV(RAND(),0,D$7)</f>
        <v>-0.749683473451256</v>
      </c>
      <c r="E1628" s="53" t="n">
        <f aca="true">NORMINV(RAND(),0,E$7)</f>
        <v>-0.129044684280519</v>
      </c>
      <c r="F1628" s="53" t="n">
        <f aca="true">NORMINV(RAND(),0,F$7)</f>
        <v>0.0164078620573031</v>
      </c>
      <c r="G1628" s="53" t="n">
        <f aca="true">NORMINV(RAND(),0,G$7)</f>
        <v>0.761550444698412</v>
      </c>
      <c r="H1628" s="53" t="n">
        <f aca="true">NORMINV(RAND(),0,H$7)</f>
        <v>-0.335597758822515</v>
      </c>
      <c r="I1628" s="53" t="n">
        <f aca="false">SUM(B1628:H1628)</f>
        <v>-0.70529726886282</v>
      </c>
      <c r="J1628" s="53" t="n">
        <f aca="true">NORMINV(RAND(),0,J$7)</f>
        <v>1.81814415078958</v>
      </c>
      <c r="K1628" s="53" t="n">
        <f aca="true">NORMINV(RAND(),0,K$7)</f>
        <v>-0.465887945174024</v>
      </c>
      <c r="L1628" s="53" t="n">
        <f aca="true">NORMINV(RAND(),0,L$7)</f>
        <v>-0.0615293216465658</v>
      </c>
      <c r="M1628" s="53" t="n">
        <f aca="true">NORMINV(RAND(),0,M$7)</f>
        <v>0.14442307827145</v>
      </c>
      <c r="N1628" s="53" t="n">
        <f aca="true">NORMINV(RAND(),0,N$7)</f>
        <v>-0.27180820657921</v>
      </c>
      <c r="O1628" s="53" t="n">
        <f aca="false">SUM(J1628:N1628)</f>
        <v>1.16334175566123</v>
      </c>
    </row>
    <row r="1629" customFormat="false" ht="15" hidden="false" customHeight="false" outlineLevel="0" collapsed="false">
      <c r="A1629" s="2" t="n">
        <v>1621</v>
      </c>
      <c r="B1629" s="53" t="n">
        <f aca="true">NORMINV(RAND(),0,B$7)</f>
        <v>-0.817637006678839</v>
      </c>
      <c r="C1629" s="53" t="n">
        <f aca="true">NORMINV(RAND(),0,C$7)</f>
        <v>0.0564365206428939</v>
      </c>
      <c r="D1629" s="53" t="n">
        <f aca="true">NORMINV(RAND(),0,D$7)</f>
        <v>1.79336623219601</v>
      </c>
      <c r="E1629" s="53" t="n">
        <f aca="true">NORMINV(RAND(),0,E$7)</f>
        <v>-0.444756846940101</v>
      </c>
      <c r="F1629" s="53" t="n">
        <f aca="true">NORMINV(RAND(),0,F$7)</f>
        <v>0.188776322460014</v>
      </c>
      <c r="G1629" s="53" t="n">
        <f aca="true">NORMINV(RAND(),0,G$7)</f>
        <v>-0.655887269838904</v>
      </c>
      <c r="H1629" s="53" t="n">
        <f aca="true">NORMINV(RAND(),0,H$7)</f>
        <v>0.0813324343123327</v>
      </c>
      <c r="I1629" s="53" t="n">
        <f aca="false">SUM(B1629:H1629)</f>
        <v>0.201630386153409</v>
      </c>
      <c r="J1629" s="53" t="n">
        <f aca="true">NORMINV(RAND(),0,J$7)</f>
        <v>1.00623790088664</v>
      </c>
      <c r="K1629" s="53" t="n">
        <f aca="true">NORMINV(RAND(),0,K$7)</f>
        <v>0.388547184390193</v>
      </c>
      <c r="L1629" s="53" t="n">
        <f aca="true">NORMINV(RAND(),0,L$7)</f>
        <v>0.0498589000233608</v>
      </c>
      <c r="M1629" s="53" t="n">
        <f aca="true">NORMINV(RAND(),0,M$7)</f>
        <v>-0.066388704371218</v>
      </c>
      <c r="N1629" s="53" t="n">
        <f aca="true">NORMINV(RAND(),0,N$7)</f>
        <v>-0.0249353732086169</v>
      </c>
      <c r="O1629" s="53" t="n">
        <f aca="false">SUM(J1629:N1629)</f>
        <v>1.35331990772035</v>
      </c>
    </row>
    <row r="1630" customFormat="false" ht="15" hidden="false" customHeight="false" outlineLevel="0" collapsed="false">
      <c r="A1630" s="2" t="n">
        <v>1622</v>
      </c>
      <c r="B1630" s="53" t="n">
        <f aca="true">NORMINV(RAND(),0,B$7)</f>
        <v>-1.04032233565579</v>
      </c>
      <c r="C1630" s="53" t="n">
        <f aca="true">NORMINV(RAND(),0,C$7)</f>
        <v>-0.637408576827612</v>
      </c>
      <c r="D1630" s="53" t="n">
        <f aca="true">NORMINV(RAND(),0,D$7)</f>
        <v>-0.405692870476278</v>
      </c>
      <c r="E1630" s="53" t="n">
        <f aca="true">NORMINV(RAND(),0,E$7)</f>
        <v>0.335439642909353</v>
      </c>
      <c r="F1630" s="53" t="n">
        <f aca="true">NORMINV(RAND(),0,F$7)</f>
        <v>0.321152671827163</v>
      </c>
      <c r="G1630" s="53" t="n">
        <f aca="true">NORMINV(RAND(),0,G$7)</f>
        <v>-0.17082643910612</v>
      </c>
      <c r="H1630" s="53" t="n">
        <f aca="true">NORMINV(RAND(),0,H$7)</f>
        <v>0.542788272074672</v>
      </c>
      <c r="I1630" s="53" t="n">
        <f aca="false">SUM(B1630:H1630)</f>
        <v>-1.05486963525461</v>
      </c>
      <c r="J1630" s="53" t="n">
        <f aca="true">NORMINV(RAND(),0,J$7)</f>
        <v>0.497595755437391</v>
      </c>
      <c r="K1630" s="53" t="n">
        <f aca="true">NORMINV(RAND(),0,K$7)</f>
        <v>0.799358531887842</v>
      </c>
      <c r="L1630" s="53" t="n">
        <f aca="true">NORMINV(RAND(),0,L$7)</f>
        <v>-0.246848272753775</v>
      </c>
      <c r="M1630" s="53" t="n">
        <f aca="true">NORMINV(RAND(),0,M$7)</f>
        <v>0.0873739197502718</v>
      </c>
      <c r="N1630" s="53" t="n">
        <f aca="true">NORMINV(RAND(),0,N$7)</f>
        <v>0.178109464345878</v>
      </c>
      <c r="O1630" s="53" t="n">
        <f aca="false">SUM(J1630:N1630)</f>
        <v>1.31558939866761</v>
      </c>
    </row>
    <row r="1631" customFormat="false" ht="15" hidden="false" customHeight="false" outlineLevel="0" collapsed="false">
      <c r="A1631" s="2" t="n">
        <v>1623</v>
      </c>
      <c r="B1631" s="53" t="n">
        <f aca="true">NORMINV(RAND(),0,B$7)</f>
        <v>-0.390744283577081</v>
      </c>
      <c r="C1631" s="53" t="n">
        <f aca="true">NORMINV(RAND(),0,C$7)</f>
        <v>-0.197453234249741</v>
      </c>
      <c r="D1631" s="53" t="n">
        <f aca="true">NORMINV(RAND(),0,D$7)</f>
        <v>0.58162520412867</v>
      </c>
      <c r="E1631" s="53" t="n">
        <f aca="true">NORMINV(RAND(),0,E$7)</f>
        <v>-0.161457904489432</v>
      </c>
      <c r="F1631" s="53" t="n">
        <f aca="true">NORMINV(RAND(),0,F$7)</f>
        <v>0.278436653479239</v>
      </c>
      <c r="G1631" s="53" t="n">
        <f aca="true">NORMINV(RAND(),0,G$7)</f>
        <v>1.28728085475814</v>
      </c>
      <c r="H1631" s="53" t="n">
        <f aca="true">NORMINV(RAND(),0,H$7)</f>
        <v>-0.475277941472346</v>
      </c>
      <c r="I1631" s="53" t="n">
        <f aca="false">SUM(B1631:H1631)</f>
        <v>0.922409348577453</v>
      </c>
      <c r="J1631" s="53" t="n">
        <f aca="true">NORMINV(RAND(),0,J$7)</f>
        <v>-1.21924038162416</v>
      </c>
      <c r="K1631" s="53" t="n">
        <f aca="true">NORMINV(RAND(),0,K$7)</f>
        <v>0.309450523071333</v>
      </c>
      <c r="L1631" s="53" t="n">
        <f aca="true">NORMINV(RAND(),0,L$7)</f>
        <v>0.533676653358835</v>
      </c>
      <c r="M1631" s="53" t="n">
        <f aca="true">NORMINV(RAND(),0,M$7)</f>
        <v>-0.0136850676427574</v>
      </c>
      <c r="N1631" s="53" t="n">
        <f aca="true">NORMINV(RAND(),0,N$7)</f>
        <v>0.120045073794943</v>
      </c>
      <c r="O1631" s="53" t="n">
        <f aca="false">SUM(J1631:N1631)</f>
        <v>-0.269753199041805</v>
      </c>
    </row>
    <row r="1632" customFormat="false" ht="15" hidden="false" customHeight="false" outlineLevel="0" collapsed="false">
      <c r="A1632" s="2" t="n">
        <v>1624</v>
      </c>
      <c r="B1632" s="53" t="n">
        <f aca="true">NORMINV(RAND(),0,B$7)</f>
        <v>-0.784382542608125</v>
      </c>
      <c r="C1632" s="53" t="n">
        <f aca="true">NORMINV(RAND(),0,C$7)</f>
        <v>-0.927966022372093</v>
      </c>
      <c r="D1632" s="53" t="n">
        <f aca="true">NORMINV(RAND(),0,D$7)</f>
        <v>-0.653580320085802</v>
      </c>
      <c r="E1632" s="53" t="n">
        <f aca="true">NORMINV(RAND(),0,E$7)</f>
        <v>-0.499813193560044</v>
      </c>
      <c r="F1632" s="53" t="n">
        <f aca="true">NORMINV(RAND(),0,F$7)</f>
        <v>-0.256083483355535</v>
      </c>
      <c r="G1632" s="53" t="n">
        <f aca="true">NORMINV(RAND(),0,G$7)</f>
        <v>1.15843257168125</v>
      </c>
      <c r="H1632" s="53" t="n">
        <f aca="true">NORMINV(RAND(),0,H$7)</f>
        <v>0.131815389518337</v>
      </c>
      <c r="I1632" s="53" t="n">
        <f aca="false">SUM(B1632:H1632)</f>
        <v>-1.83157760078201</v>
      </c>
      <c r="J1632" s="53" t="n">
        <f aca="true">NORMINV(RAND(),0,J$7)</f>
        <v>1.20274221122172</v>
      </c>
      <c r="K1632" s="53" t="n">
        <f aca="true">NORMINV(RAND(),0,K$7)</f>
        <v>-0.432030210016476</v>
      </c>
      <c r="L1632" s="53" t="n">
        <f aca="true">NORMINV(RAND(),0,L$7)</f>
        <v>-0.827142255404527</v>
      </c>
      <c r="M1632" s="53" t="n">
        <f aca="true">NORMINV(RAND(),0,M$7)</f>
        <v>0.0168762471217386</v>
      </c>
      <c r="N1632" s="53" t="n">
        <f aca="true">NORMINV(RAND(),0,N$7)</f>
        <v>0.212839146320173</v>
      </c>
      <c r="O1632" s="53" t="n">
        <f aca="false">SUM(J1632:N1632)</f>
        <v>0.173285139242626</v>
      </c>
    </row>
    <row r="1633" customFormat="false" ht="15" hidden="false" customHeight="false" outlineLevel="0" collapsed="false">
      <c r="A1633" s="2" t="n">
        <v>1625</v>
      </c>
      <c r="B1633" s="53" t="n">
        <f aca="true">NORMINV(RAND(),0,B$7)</f>
        <v>1.94055045394794</v>
      </c>
      <c r="C1633" s="53" t="n">
        <f aca="true">NORMINV(RAND(),0,C$7)</f>
        <v>-1.53587308202639</v>
      </c>
      <c r="D1633" s="53" t="n">
        <f aca="true">NORMINV(RAND(),0,D$7)</f>
        <v>-3.45361425388366</v>
      </c>
      <c r="E1633" s="53" t="n">
        <f aca="true">NORMINV(RAND(),0,E$7)</f>
        <v>0.0456593930576719</v>
      </c>
      <c r="F1633" s="53" t="n">
        <f aca="true">NORMINV(RAND(),0,F$7)</f>
        <v>0.156303441383054</v>
      </c>
      <c r="G1633" s="53" t="n">
        <f aca="true">NORMINV(RAND(),0,G$7)</f>
        <v>0.313650307911379</v>
      </c>
      <c r="H1633" s="53" t="n">
        <f aca="true">NORMINV(RAND(),0,H$7)</f>
        <v>0.31424596612436</v>
      </c>
      <c r="I1633" s="53" t="n">
        <f aca="false">SUM(B1633:H1633)</f>
        <v>-2.21907777348564</v>
      </c>
      <c r="J1633" s="53" t="n">
        <f aca="true">NORMINV(RAND(),0,J$7)</f>
        <v>1.44340005119913</v>
      </c>
      <c r="K1633" s="53" t="n">
        <f aca="true">NORMINV(RAND(),0,K$7)</f>
        <v>0.97350945151302</v>
      </c>
      <c r="L1633" s="53" t="n">
        <f aca="true">NORMINV(RAND(),0,L$7)</f>
        <v>0.148413772026478</v>
      </c>
      <c r="M1633" s="53" t="n">
        <f aca="true">NORMINV(RAND(),0,M$7)</f>
        <v>-0.130228364557169</v>
      </c>
      <c r="N1633" s="53" t="n">
        <f aca="true">NORMINV(RAND(),0,N$7)</f>
        <v>-0.356694522132916</v>
      </c>
      <c r="O1633" s="53" t="n">
        <f aca="false">SUM(J1633:N1633)</f>
        <v>2.07840038804855</v>
      </c>
    </row>
    <row r="1634" customFormat="false" ht="15" hidden="false" customHeight="false" outlineLevel="0" collapsed="false">
      <c r="A1634" s="2" t="n">
        <v>1626</v>
      </c>
      <c r="B1634" s="53" t="n">
        <f aca="true">NORMINV(RAND(),0,B$7)</f>
        <v>0.226585392904188</v>
      </c>
      <c r="C1634" s="53" t="n">
        <f aca="true">NORMINV(RAND(),0,C$7)</f>
        <v>-4.67815099056457</v>
      </c>
      <c r="D1634" s="53" t="n">
        <f aca="true">NORMINV(RAND(),0,D$7)</f>
        <v>0.408186417618548</v>
      </c>
      <c r="E1634" s="53" t="n">
        <f aca="true">NORMINV(RAND(),0,E$7)</f>
        <v>4.32766286975407E-005</v>
      </c>
      <c r="F1634" s="53" t="n">
        <f aca="true">NORMINV(RAND(),0,F$7)</f>
        <v>0.311008682306951</v>
      </c>
      <c r="G1634" s="53" t="n">
        <f aca="true">NORMINV(RAND(),0,G$7)</f>
        <v>0.170415382832999</v>
      </c>
      <c r="H1634" s="53" t="n">
        <f aca="true">NORMINV(RAND(),0,H$7)</f>
        <v>-0.298400105487911</v>
      </c>
      <c r="I1634" s="53" t="n">
        <f aca="false">SUM(B1634:H1634)</f>
        <v>-3.8603119437611</v>
      </c>
      <c r="J1634" s="53" t="n">
        <f aca="true">NORMINV(RAND(),0,J$7)</f>
        <v>-2.07426309500922</v>
      </c>
      <c r="K1634" s="53" t="n">
        <f aca="true">NORMINV(RAND(),0,K$7)</f>
        <v>-0.550852946950132</v>
      </c>
      <c r="L1634" s="53" t="n">
        <f aca="true">NORMINV(RAND(),0,L$7)</f>
        <v>0.510903888285336</v>
      </c>
      <c r="M1634" s="53" t="n">
        <f aca="true">NORMINV(RAND(),0,M$7)</f>
        <v>-0.261378310069675</v>
      </c>
      <c r="N1634" s="53" t="n">
        <f aca="true">NORMINV(RAND(),0,N$7)</f>
        <v>-0.579050007780937</v>
      </c>
      <c r="O1634" s="53" t="n">
        <f aca="false">SUM(J1634:N1634)</f>
        <v>-2.95464047152463</v>
      </c>
    </row>
    <row r="1635" customFormat="false" ht="15" hidden="false" customHeight="false" outlineLevel="0" collapsed="false">
      <c r="A1635" s="2" t="n">
        <v>1627</v>
      </c>
      <c r="B1635" s="53" t="n">
        <f aca="true">NORMINV(RAND(),0,B$7)</f>
        <v>-1.07469283085138</v>
      </c>
      <c r="C1635" s="53" t="n">
        <f aca="true">NORMINV(RAND(),0,C$7)</f>
        <v>0.0288036353181783</v>
      </c>
      <c r="D1635" s="53" t="n">
        <f aca="true">NORMINV(RAND(),0,D$7)</f>
        <v>0.69166488522147</v>
      </c>
      <c r="E1635" s="53" t="n">
        <f aca="true">NORMINV(RAND(),0,E$7)</f>
        <v>-0.843768437843477</v>
      </c>
      <c r="F1635" s="53" t="n">
        <f aca="true">NORMINV(RAND(),0,F$7)</f>
        <v>0.75124207801784</v>
      </c>
      <c r="G1635" s="53" t="n">
        <f aca="true">NORMINV(RAND(),0,G$7)</f>
        <v>-0.699355140452088</v>
      </c>
      <c r="H1635" s="53" t="n">
        <f aca="true">NORMINV(RAND(),0,H$7)</f>
        <v>0.417223128622638</v>
      </c>
      <c r="I1635" s="53" t="n">
        <f aca="false">SUM(B1635:H1635)</f>
        <v>-0.728882681966818</v>
      </c>
      <c r="J1635" s="53" t="n">
        <f aca="true">NORMINV(RAND(),0,J$7)</f>
        <v>-1.66168017351147</v>
      </c>
      <c r="K1635" s="53" t="n">
        <f aca="true">NORMINV(RAND(),0,K$7)</f>
        <v>0.288653927952859</v>
      </c>
      <c r="L1635" s="53" t="n">
        <f aca="true">NORMINV(RAND(),0,L$7)</f>
        <v>-0.0613001532241425</v>
      </c>
      <c r="M1635" s="53" t="n">
        <f aca="true">NORMINV(RAND(),0,M$7)</f>
        <v>-0.280393955018843</v>
      </c>
      <c r="N1635" s="53" t="n">
        <f aca="true">NORMINV(RAND(),0,N$7)</f>
        <v>0.419740871214053</v>
      </c>
      <c r="O1635" s="53" t="n">
        <f aca="false">SUM(J1635:N1635)</f>
        <v>-1.29497948258755</v>
      </c>
    </row>
    <row r="1636" customFormat="false" ht="15" hidden="false" customHeight="false" outlineLevel="0" collapsed="false">
      <c r="A1636" s="2" t="n">
        <v>1628</v>
      </c>
      <c r="B1636" s="53" t="n">
        <f aca="true">NORMINV(RAND(),0,B$7)</f>
        <v>-1.23339468898666</v>
      </c>
      <c r="C1636" s="53" t="n">
        <f aca="true">NORMINV(RAND(),0,C$7)</f>
        <v>-3.2796888273609</v>
      </c>
      <c r="D1636" s="53" t="n">
        <f aca="true">NORMINV(RAND(),0,D$7)</f>
        <v>0.739912341443164</v>
      </c>
      <c r="E1636" s="53" t="n">
        <f aca="true">NORMINV(RAND(),0,E$7)</f>
        <v>-0.375836917538318</v>
      </c>
      <c r="F1636" s="53" t="n">
        <f aca="true">NORMINV(RAND(),0,F$7)</f>
        <v>0.159940673875257</v>
      </c>
      <c r="G1636" s="53" t="n">
        <f aca="true">NORMINV(RAND(),0,G$7)</f>
        <v>0.30013607922743</v>
      </c>
      <c r="H1636" s="53" t="n">
        <f aca="true">NORMINV(RAND(),0,H$7)</f>
        <v>-0.167167128174247</v>
      </c>
      <c r="I1636" s="53" t="n">
        <f aca="false">SUM(B1636:H1636)</f>
        <v>-3.85609846751427</v>
      </c>
      <c r="J1636" s="53" t="n">
        <f aca="true">NORMINV(RAND(),0,J$7)</f>
        <v>-0.233158376532874</v>
      </c>
      <c r="K1636" s="53" t="n">
        <f aca="true">NORMINV(RAND(),0,K$7)</f>
        <v>0.151663501590115</v>
      </c>
      <c r="L1636" s="53" t="n">
        <f aca="true">NORMINV(RAND(),0,L$7)</f>
        <v>0.124789990904993</v>
      </c>
      <c r="M1636" s="53" t="n">
        <f aca="true">NORMINV(RAND(),0,M$7)</f>
        <v>0.0828740650824575</v>
      </c>
      <c r="N1636" s="53" t="n">
        <f aca="true">NORMINV(RAND(),0,N$7)</f>
        <v>0.154441179019685</v>
      </c>
      <c r="O1636" s="53" t="n">
        <f aca="false">SUM(J1636:N1636)</f>
        <v>0.280610360064376</v>
      </c>
    </row>
    <row r="1637" customFormat="false" ht="15" hidden="false" customHeight="false" outlineLevel="0" collapsed="false">
      <c r="A1637" s="2" t="n">
        <v>1629</v>
      </c>
      <c r="B1637" s="53" t="n">
        <f aca="true">NORMINV(RAND(),0,B$7)</f>
        <v>1.66846055304573</v>
      </c>
      <c r="C1637" s="53" t="n">
        <f aca="true">NORMINV(RAND(),0,C$7)</f>
        <v>4.35964599822464</v>
      </c>
      <c r="D1637" s="53" t="n">
        <f aca="true">NORMINV(RAND(),0,D$7)</f>
        <v>-2.43633643305883</v>
      </c>
      <c r="E1637" s="53" t="n">
        <f aca="true">NORMINV(RAND(),0,E$7)</f>
        <v>-0.284756857904393</v>
      </c>
      <c r="F1637" s="53" t="n">
        <f aca="true">NORMINV(RAND(),0,F$7)</f>
        <v>-0.372811087798533</v>
      </c>
      <c r="G1637" s="53" t="n">
        <f aca="true">NORMINV(RAND(),0,G$7)</f>
        <v>1.44256546458336</v>
      </c>
      <c r="H1637" s="53" t="n">
        <f aca="true">NORMINV(RAND(),0,H$7)</f>
        <v>0.308970964751452</v>
      </c>
      <c r="I1637" s="53" t="n">
        <f aca="false">SUM(B1637:H1637)</f>
        <v>4.68573860184343</v>
      </c>
      <c r="J1637" s="53" t="n">
        <f aca="true">NORMINV(RAND(),0,J$7)</f>
        <v>-2.19405641642301</v>
      </c>
      <c r="K1637" s="53" t="n">
        <f aca="true">NORMINV(RAND(),0,K$7)</f>
        <v>-0.230771771009099</v>
      </c>
      <c r="L1637" s="53" t="n">
        <f aca="true">NORMINV(RAND(),0,L$7)</f>
        <v>0.126878659943672</v>
      </c>
      <c r="M1637" s="53" t="n">
        <f aca="true">NORMINV(RAND(),0,M$7)</f>
        <v>-0.374473582105662</v>
      </c>
      <c r="N1637" s="53" t="n">
        <f aca="true">NORMINV(RAND(),0,N$7)</f>
        <v>-0.0767286716011526</v>
      </c>
      <c r="O1637" s="53" t="n">
        <f aca="false">SUM(J1637:N1637)</f>
        <v>-2.74915178119525</v>
      </c>
    </row>
    <row r="1638" customFormat="false" ht="15" hidden="false" customHeight="false" outlineLevel="0" collapsed="false">
      <c r="A1638" s="2" t="n">
        <v>1630</v>
      </c>
      <c r="B1638" s="53" t="n">
        <f aca="true">NORMINV(RAND(),0,B$7)</f>
        <v>-2.73872034381607</v>
      </c>
      <c r="C1638" s="53" t="n">
        <f aca="true">NORMINV(RAND(),0,C$7)</f>
        <v>0.741984633502586</v>
      </c>
      <c r="D1638" s="53" t="n">
        <f aca="true">NORMINV(RAND(),0,D$7)</f>
        <v>-2.85102286003866</v>
      </c>
      <c r="E1638" s="53" t="n">
        <f aca="true">NORMINV(RAND(),0,E$7)</f>
        <v>-0.0743431689500939</v>
      </c>
      <c r="F1638" s="53" t="n">
        <f aca="true">NORMINV(RAND(),0,F$7)</f>
        <v>0.156340199344252</v>
      </c>
      <c r="G1638" s="53" t="n">
        <f aca="true">NORMINV(RAND(),0,G$7)</f>
        <v>1.47135253047013</v>
      </c>
      <c r="H1638" s="53" t="n">
        <f aca="true">NORMINV(RAND(),0,H$7)</f>
        <v>0.0701949483912205</v>
      </c>
      <c r="I1638" s="53" t="n">
        <f aca="false">SUM(B1638:H1638)</f>
        <v>-3.22421406109663</v>
      </c>
      <c r="J1638" s="53" t="n">
        <f aca="true">NORMINV(RAND(),0,J$7)</f>
        <v>5.06877315799063</v>
      </c>
      <c r="K1638" s="53" t="n">
        <f aca="true">NORMINV(RAND(),0,K$7)</f>
        <v>-0.978006861566972</v>
      </c>
      <c r="L1638" s="53" t="n">
        <f aca="true">NORMINV(RAND(),0,L$7)</f>
        <v>-0.257723165022469</v>
      </c>
      <c r="M1638" s="53" t="n">
        <f aca="true">NORMINV(RAND(),0,M$7)</f>
        <v>0.0605139713307177</v>
      </c>
      <c r="N1638" s="53" t="n">
        <f aca="true">NORMINV(RAND(),0,N$7)</f>
        <v>-0.334355832738977</v>
      </c>
      <c r="O1638" s="53" t="n">
        <f aca="false">SUM(J1638:N1638)</f>
        <v>3.55920126999293</v>
      </c>
    </row>
    <row r="1639" customFormat="false" ht="15" hidden="false" customHeight="false" outlineLevel="0" collapsed="false">
      <c r="A1639" s="2" t="n">
        <v>1631</v>
      </c>
      <c r="B1639" s="53" t="n">
        <f aca="true">NORMINV(RAND(),0,B$7)</f>
        <v>0.901311716305619</v>
      </c>
      <c r="C1639" s="53" t="n">
        <f aca="true">NORMINV(RAND(),0,C$7)</f>
        <v>0.891738533268937</v>
      </c>
      <c r="D1639" s="53" t="n">
        <f aca="true">NORMINV(RAND(),0,D$7)</f>
        <v>-2.98188374797786</v>
      </c>
      <c r="E1639" s="53" t="n">
        <f aca="true">NORMINV(RAND(),0,E$7)</f>
        <v>0.153765751462</v>
      </c>
      <c r="F1639" s="53" t="n">
        <f aca="true">NORMINV(RAND(),0,F$7)</f>
        <v>-0.374373143347874</v>
      </c>
      <c r="G1639" s="53" t="n">
        <f aca="true">NORMINV(RAND(),0,G$7)</f>
        <v>0.788290668128898</v>
      </c>
      <c r="H1639" s="53" t="n">
        <f aca="true">NORMINV(RAND(),0,H$7)</f>
        <v>0.375462136069844</v>
      </c>
      <c r="I1639" s="53" t="n">
        <f aca="false">SUM(B1639:H1639)</f>
        <v>-0.245688086090435</v>
      </c>
      <c r="J1639" s="53" t="n">
        <f aca="true">NORMINV(RAND(),0,J$7)</f>
        <v>-0.751309749898382</v>
      </c>
      <c r="K1639" s="53" t="n">
        <f aca="true">NORMINV(RAND(),0,K$7)</f>
        <v>0.597038757453191</v>
      </c>
      <c r="L1639" s="53" t="n">
        <f aca="true">NORMINV(RAND(),0,L$7)</f>
        <v>-0.418329335835007</v>
      </c>
      <c r="M1639" s="53" t="n">
        <f aca="true">NORMINV(RAND(),0,M$7)</f>
        <v>0.0142793938045869</v>
      </c>
      <c r="N1639" s="53" t="n">
        <f aca="true">NORMINV(RAND(),0,N$7)</f>
        <v>-0.210945796078649</v>
      </c>
      <c r="O1639" s="53" t="n">
        <f aca="false">SUM(J1639:N1639)</f>
        <v>-0.769266730554261</v>
      </c>
    </row>
    <row r="1640" customFormat="false" ht="15" hidden="false" customHeight="false" outlineLevel="0" collapsed="false">
      <c r="A1640" s="2" t="n">
        <v>1632</v>
      </c>
      <c r="B1640" s="53" t="n">
        <f aca="true">NORMINV(RAND(),0,B$7)</f>
        <v>0.528129972571059</v>
      </c>
      <c r="C1640" s="53" t="n">
        <f aca="true">NORMINV(RAND(),0,C$7)</f>
        <v>-2.35802589415215</v>
      </c>
      <c r="D1640" s="53" t="n">
        <f aca="true">NORMINV(RAND(),0,D$7)</f>
        <v>-1.33965407912071</v>
      </c>
      <c r="E1640" s="53" t="n">
        <f aca="true">NORMINV(RAND(),0,E$7)</f>
        <v>0.0648359640351713</v>
      </c>
      <c r="F1640" s="53" t="n">
        <f aca="true">NORMINV(RAND(),0,F$7)</f>
        <v>-0.591075221262569</v>
      </c>
      <c r="G1640" s="53" t="n">
        <f aca="true">NORMINV(RAND(),0,G$7)</f>
        <v>-0.0183988250729216</v>
      </c>
      <c r="H1640" s="53" t="n">
        <f aca="true">NORMINV(RAND(),0,H$7)</f>
        <v>0.156445922276614</v>
      </c>
      <c r="I1640" s="53" t="n">
        <f aca="false">SUM(B1640:H1640)</f>
        <v>-3.55774216072551</v>
      </c>
      <c r="J1640" s="53" t="n">
        <f aca="true">NORMINV(RAND(),0,J$7)</f>
        <v>0.477837566307529</v>
      </c>
      <c r="K1640" s="53" t="n">
        <f aca="true">NORMINV(RAND(),0,K$7)</f>
        <v>-0.912917150006537</v>
      </c>
      <c r="L1640" s="53" t="n">
        <f aca="true">NORMINV(RAND(),0,L$7)</f>
        <v>0.420482727763427</v>
      </c>
      <c r="M1640" s="53" t="n">
        <f aca="true">NORMINV(RAND(),0,M$7)</f>
        <v>0.290042167511269</v>
      </c>
      <c r="N1640" s="53" t="n">
        <f aca="true">NORMINV(RAND(),0,N$7)</f>
        <v>0.0759167080801727</v>
      </c>
      <c r="O1640" s="53" t="n">
        <f aca="false">SUM(J1640:N1640)</f>
        <v>0.35136201965586</v>
      </c>
    </row>
    <row r="1641" customFormat="false" ht="15" hidden="false" customHeight="false" outlineLevel="0" collapsed="false">
      <c r="A1641" s="2" t="n">
        <v>1633</v>
      </c>
      <c r="B1641" s="53" t="n">
        <f aca="true">NORMINV(RAND(),0,B$7)</f>
        <v>0.706858083378284</v>
      </c>
      <c r="C1641" s="53" t="n">
        <f aca="true">NORMINV(RAND(),0,C$7)</f>
        <v>0.117279095651392</v>
      </c>
      <c r="D1641" s="53" t="n">
        <f aca="true">NORMINV(RAND(),0,D$7)</f>
        <v>0.411929143291778</v>
      </c>
      <c r="E1641" s="53" t="n">
        <f aca="true">NORMINV(RAND(),0,E$7)</f>
        <v>-0.213853105196077</v>
      </c>
      <c r="F1641" s="53" t="n">
        <f aca="true">NORMINV(RAND(),0,F$7)</f>
        <v>0.162652195359489</v>
      </c>
      <c r="G1641" s="53" t="n">
        <f aca="true">NORMINV(RAND(),0,G$7)</f>
        <v>-2.53428971012268</v>
      </c>
      <c r="H1641" s="53" t="n">
        <f aca="true">NORMINV(RAND(),0,H$7)</f>
        <v>0.54483240022867</v>
      </c>
      <c r="I1641" s="53" t="n">
        <f aca="false">SUM(B1641:H1641)</f>
        <v>-0.804591897409148</v>
      </c>
      <c r="J1641" s="53" t="n">
        <f aca="true">NORMINV(RAND(),0,J$7)</f>
        <v>-1.83563927825571</v>
      </c>
      <c r="K1641" s="53" t="n">
        <f aca="true">NORMINV(RAND(),0,K$7)</f>
        <v>-0.402002748290241</v>
      </c>
      <c r="L1641" s="53" t="n">
        <f aca="true">NORMINV(RAND(),0,L$7)</f>
        <v>0.621213985486307</v>
      </c>
      <c r="M1641" s="53" t="n">
        <f aca="true">NORMINV(RAND(),0,M$7)</f>
        <v>-0.080044671149833</v>
      </c>
      <c r="N1641" s="53" t="n">
        <f aca="true">NORMINV(RAND(),0,N$7)</f>
        <v>-0.402379004757275</v>
      </c>
      <c r="O1641" s="53" t="n">
        <f aca="false">SUM(J1641:N1641)</f>
        <v>-2.09885171696675</v>
      </c>
    </row>
    <row r="1642" customFormat="false" ht="15" hidden="false" customHeight="false" outlineLevel="0" collapsed="false">
      <c r="A1642" s="2" t="n">
        <v>1634</v>
      </c>
      <c r="B1642" s="53" t="n">
        <f aca="true">NORMINV(RAND(),0,B$7)</f>
        <v>-1.66066428962307</v>
      </c>
      <c r="C1642" s="53" t="n">
        <f aca="true">NORMINV(RAND(),0,C$7)</f>
        <v>0.277364791459618</v>
      </c>
      <c r="D1642" s="53" t="n">
        <f aca="true">NORMINV(RAND(),0,D$7)</f>
        <v>-0.131751471910218</v>
      </c>
      <c r="E1642" s="53" t="n">
        <f aca="true">NORMINV(RAND(),0,E$7)</f>
        <v>-0.198393719515819</v>
      </c>
      <c r="F1642" s="53" t="n">
        <f aca="true">NORMINV(RAND(),0,F$7)</f>
        <v>0.28026598281581</v>
      </c>
      <c r="G1642" s="53" t="n">
        <f aca="true">NORMINV(RAND(),0,G$7)</f>
        <v>0.150332179918534</v>
      </c>
      <c r="H1642" s="53" t="n">
        <f aca="true">NORMINV(RAND(),0,H$7)</f>
        <v>0.305414767703676</v>
      </c>
      <c r="I1642" s="53" t="n">
        <f aca="false">SUM(B1642:H1642)</f>
        <v>-0.977431759151469</v>
      </c>
      <c r="J1642" s="53" t="n">
        <f aca="true">NORMINV(RAND(),0,J$7)</f>
        <v>-3.12783015008346</v>
      </c>
      <c r="K1642" s="53" t="n">
        <f aca="true">NORMINV(RAND(),0,K$7)</f>
        <v>-2.23475246856251</v>
      </c>
      <c r="L1642" s="53" t="n">
        <f aca="true">NORMINV(RAND(),0,L$7)</f>
        <v>-0.10656049107514</v>
      </c>
      <c r="M1642" s="53" t="n">
        <f aca="true">NORMINV(RAND(),0,M$7)</f>
        <v>-0.0740892644174292</v>
      </c>
      <c r="N1642" s="53" t="n">
        <f aca="true">NORMINV(RAND(),0,N$7)</f>
        <v>-0.0457490285641812</v>
      </c>
      <c r="O1642" s="53" t="n">
        <f aca="false">SUM(J1642:N1642)</f>
        <v>-5.58898140270272</v>
      </c>
    </row>
    <row r="1643" customFormat="false" ht="15" hidden="false" customHeight="false" outlineLevel="0" collapsed="false">
      <c r="A1643" s="2" t="n">
        <v>1635</v>
      </c>
      <c r="B1643" s="53" t="n">
        <f aca="true">NORMINV(RAND(),0,B$7)</f>
        <v>-1.10698027729721</v>
      </c>
      <c r="C1643" s="53" t="n">
        <f aca="true">NORMINV(RAND(),0,C$7)</f>
        <v>-0.476101015674231</v>
      </c>
      <c r="D1643" s="53" t="n">
        <f aca="true">NORMINV(RAND(),0,D$7)</f>
        <v>0.332788187398225</v>
      </c>
      <c r="E1643" s="53" t="n">
        <f aca="true">NORMINV(RAND(),0,E$7)</f>
        <v>0.0544187104800109</v>
      </c>
      <c r="F1643" s="53" t="n">
        <f aca="true">NORMINV(RAND(),0,F$7)</f>
        <v>0.146200420694035</v>
      </c>
      <c r="G1643" s="53" t="n">
        <f aca="true">NORMINV(RAND(),0,G$7)</f>
        <v>-0.119803642708369</v>
      </c>
      <c r="H1643" s="53" t="n">
        <f aca="true">NORMINV(RAND(),0,H$7)</f>
        <v>-0.11374712657371</v>
      </c>
      <c r="I1643" s="53" t="n">
        <f aca="false">SUM(B1643:H1643)</f>
        <v>-1.28322474368125</v>
      </c>
      <c r="J1643" s="53" t="n">
        <f aca="true">NORMINV(RAND(),0,J$7)</f>
        <v>1.07517412938104</v>
      </c>
      <c r="K1643" s="53" t="n">
        <f aca="true">NORMINV(RAND(),0,K$7)</f>
        <v>-0.34107700164271</v>
      </c>
      <c r="L1643" s="53" t="n">
        <f aca="true">NORMINV(RAND(),0,L$7)</f>
        <v>-0.187719663083332</v>
      </c>
      <c r="M1643" s="53" t="n">
        <f aca="true">NORMINV(RAND(),0,M$7)</f>
        <v>0.413652167066948</v>
      </c>
      <c r="N1643" s="53" t="n">
        <f aca="true">NORMINV(RAND(),0,N$7)</f>
        <v>-0.538402789110832</v>
      </c>
      <c r="O1643" s="53" t="n">
        <f aca="false">SUM(J1643:N1643)</f>
        <v>0.421626842611115</v>
      </c>
    </row>
    <row r="1644" customFormat="false" ht="15" hidden="false" customHeight="false" outlineLevel="0" collapsed="false">
      <c r="A1644" s="2" t="n">
        <v>1636</v>
      </c>
      <c r="B1644" s="53" t="n">
        <f aca="true">NORMINV(RAND(),0,B$7)</f>
        <v>-1.61680216246591</v>
      </c>
      <c r="C1644" s="53" t="n">
        <f aca="true">NORMINV(RAND(),0,C$7)</f>
        <v>0.0996243278597707</v>
      </c>
      <c r="D1644" s="53" t="n">
        <f aca="true">NORMINV(RAND(),0,D$7)</f>
        <v>2.06490104524369</v>
      </c>
      <c r="E1644" s="53" t="n">
        <f aca="true">NORMINV(RAND(),0,E$7)</f>
        <v>0.199563390558297</v>
      </c>
      <c r="F1644" s="53" t="n">
        <f aca="true">NORMINV(RAND(),0,F$7)</f>
        <v>0.184021070323673</v>
      </c>
      <c r="G1644" s="53" t="n">
        <f aca="true">NORMINV(RAND(),0,G$7)</f>
        <v>0.847181017523734</v>
      </c>
      <c r="H1644" s="53" t="n">
        <f aca="true">NORMINV(RAND(),0,H$7)</f>
        <v>0.341268893046464</v>
      </c>
      <c r="I1644" s="53" t="n">
        <f aca="false">SUM(B1644:H1644)</f>
        <v>2.11975758208972</v>
      </c>
      <c r="J1644" s="53" t="n">
        <f aca="true">NORMINV(RAND(),0,J$7)</f>
        <v>2.56333251149247</v>
      </c>
      <c r="K1644" s="53" t="n">
        <f aca="true">NORMINV(RAND(),0,K$7)</f>
        <v>0.576674420360945</v>
      </c>
      <c r="L1644" s="53" t="n">
        <f aca="true">NORMINV(RAND(),0,L$7)</f>
        <v>-0.0855850576516457</v>
      </c>
      <c r="M1644" s="53" t="n">
        <f aca="true">NORMINV(RAND(),0,M$7)</f>
        <v>0.179355708985033</v>
      </c>
      <c r="N1644" s="53" t="n">
        <f aca="true">NORMINV(RAND(),0,N$7)</f>
        <v>-0.246453135490509</v>
      </c>
      <c r="O1644" s="53" t="n">
        <f aca="false">SUM(J1644:N1644)</f>
        <v>2.98732444769629</v>
      </c>
    </row>
    <row r="1645" customFormat="false" ht="15" hidden="false" customHeight="false" outlineLevel="0" collapsed="false">
      <c r="A1645" s="2" t="n">
        <v>1637</v>
      </c>
      <c r="B1645" s="53" t="n">
        <f aca="true">NORMINV(RAND(),0,B$7)</f>
        <v>-1.65238701736165</v>
      </c>
      <c r="C1645" s="53" t="n">
        <f aca="true">NORMINV(RAND(),0,C$7)</f>
        <v>1.6424793927279</v>
      </c>
      <c r="D1645" s="53" t="n">
        <f aca="true">NORMINV(RAND(),0,D$7)</f>
        <v>1.03907248283016</v>
      </c>
      <c r="E1645" s="53" t="n">
        <f aca="true">NORMINV(RAND(),0,E$7)</f>
        <v>0.64120886819364</v>
      </c>
      <c r="F1645" s="53" t="n">
        <f aca="true">NORMINV(RAND(),0,F$7)</f>
        <v>-0.144318374964064</v>
      </c>
      <c r="G1645" s="53" t="n">
        <f aca="true">NORMINV(RAND(),0,G$7)</f>
        <v>0.535522415718294</v>
      </c>
      <c r="H1645" s="53" t="n">
        <f aca="true">NORMINV(RAND(),0,H$7)</f>
        <v>0.238370714654148</v>
      </c>
      <c r="I1645" s="53" t="n">
        <f aca="false">SUM(B1645:H1645)</f>
        <v>2.29994848179843</v>
      </c>
      <c r="J1645" s="53" t="n">
        <f aca="true">NORMINV(RAND(),0,J$7)</f>
        <v>1.07096470977206</v>
      </c>
      <c r="K1645" s="53" t="n">
        <f aca="true">NORMINV(RAND(),0,K$7)</f>
        <v>1.06593784257032</v>
      </c>
      <c r="L1645" s="53" t="n">
        <f aca="true">NORMINV(RAND(),0,L$7)</f>
        <v>0.308433527729486</v>
      </c>
      <c r="M1645" s="53" t="n">
        <f aca="true">NORMINV(RAND(),0,M$7)</f>
        <v>0.200092591860261</v>
      </c>
      <c r="N1645" s="53" t="n">
        <f aca="true">NORMINV(RAND(),0,N$7)</f>
        <v>0.296213559493552</v>
      </c>
      <c r="O1645" s="53" t="n">
        <f aca="false">SUM(J1645:N1645)</f>
        <v>2.94164223142568</v>
      </c>
    </row>
    <row r="1646" customFormat="false" ht="15" hidden="false" customHeight="false" outlineLevel="0" collapsed="false">
      <c r="A1646" s="2" t="n">
        <v>1638</v>
      </c>
      <c r="B1646" s="53" t="n">
        <f aca="true">NORMINV(RAND(),0,B$7)</f>
        <v>-0.654854564566599</v>
      </c>
      <c r="C1646" s="53" t="n">
        <f aca="true">NORMINV(RAND(),0,C$7)</f>
        <v>0.482654833379297</v>
      </c>
      <c r="D1646" s="53" t="n">
        <f aca="true">NORMINV(RAND(),0,D$7)</f>
        <v>-1.46588941033217</v>
      </c>
      <c r="E1646" s="53" t="n">
        <f aca="true">NORMINV(RAND(),0,E$7)</f>
        <v>-0.439759068596301</v>
      </c>
      <c r="F1646" s="53" t="n">
        <f aca="true">NORMINV(RAND(),0,F$7)</f>
        <v>0.235634782343838</v>
      </c>
      <c r="G1646" s="53" t="n">
        <f aca="true">NORMINV(RAND(),0,G$7)</f>
        <v>1.52581813235962</v>
      </c>
      <c r="H1646" s="53" t="n">
        <f aca="true">NORMINV(RAND(),0,H$7)</f>
        <v>-0.297145284590648</v>
      </c>
      <c r="I1646" s="53" t="n">
        <f aca="false">SUM(B1646:H1646)</f>
        <v>-0.613540580002959</v>
      </c>
      <c r="J1646" s="53" t="n">
        <f aca="true">NORMINV(RAND(),0,J$7)</f>
        <v>1.04606025768576</v>
      </c>
      <c r="K1646" s="53" t="n">
        <f aca="true">NORMINV(RAND(),0,K$7)</f>
        <v>-0.368831693734374</v>
      </c>
      <c r="L1646" s="53" t="n">
        <f aca="true">NORMINV(RAND(),0,L$7)</f>
        <v>-0.183716482212271</v>
      </c>
      <c r="M1646" s="53" t="n">
        <f aca="true">NORMINV(RAND(),0,M$7)</f>
        <v>0.165959970544042</v>
      </c>
      <c r="N1646" s="53" t="n">
        <f aca="true">NORMINV(RAND(),0,N$7)</f>
        <v>-0.18930203027711</v>
      </c>
      <c r="O1646" s="53" t="n">
        <f aca="false">SUM(J1646:N1646)</f>
        <v>0.470170022006044</v>
      </c>
    </row>
    <row r="1647" customFormat="false" ht="15" hidden="false" customHeight="false" outlineLevel="0" collapsed="false">
      <c r="A1647" s="2" t="n">
        <v>1639</v>
      </c>
      <c r="B1647" s="53" t="n">
        <f aca="true">NORMINV(RAND(),0,B$7)</f>
        <v>0.102668231893883</v>
      </c>
      <c r="C1647" s="53" t="n">
        <f aca="true">NORMINV(RAND(),0,C$7)</f>
        <v>-0.720033635468917</v>
      </c>
      <c r="D1647" s="53" t="n">
        <f aca="true">NORMINV(RAND(),0,D$7)</f>
        <v>-0.324095109744851</v>
      </c>
      <c r="E1647" s="53" t="n">
        <f aca="true">NORMINV(RAND(),0,E$7)</f>
        <v>0.159610762971488</v>
      </c>
      <c r="F1647" s="53" t="n">
        <f aca="true">NORMINV(RAND(),0,F$7)</f>
        <v>0.218180953163386</v>
      </c>
      <c r="G1647" s="53" t="n">
        <f aca="true">NORMINV(RAND(),0,G$7)</f>
        <v>-0.201404989942402</v>
      </c>
      <c r="H1647" s="53" t="n">
        <f aca="true">NORMINV(RAND(),0,H$7)</f>
        <v>0.0340950476741151</v>
      </c>
      <c r="I1647" s="53" t="n">
        <f aca="false">SUM(B1647:H1647)</f>
        <v>-0.730978739453298</v>
      </c>
      <c r="J1647" s="53" t="n">
        <f aca="true">NORMINV(RAND(),0,J$7)</f>
        <v>2.73156232249387</v>
      </c>
      <c r="K1647" s="53" t="n">
        <f aca="true">NORMINV(RAND(),0,K$7)</f>
        <v>-0.947933595229661</v>
      </c>
      <c r="L1647" s="53" t="n">
        <f aca="true">NORMINV(RAND(),0,L$7)</f>
        <v>0.252843658306671</v>
      </c>
      <c r="M1647" s="53" t="n">
        <f aca="true">NORMINV(RAND(),0,M$7)</f>
        <v>0.155925872820473</v>
      </c>
      <c r="N1647" s="53" t="n">
        <f aca="true">NORMINV(RAND(),0,N$7)</f>
        <v>0.0696597397695558</v>
      </c>
      <c r="O1647" s="53" t="n">
        <f aca="false">SUM(J1647:N1647)</f>
        <v>2.26205799816091</v>
      </c>
    </row>
    <row r="1648" customFormat="false" ht="15" hidden="false" customHeight="false" outlineLevel="0" collapsed="false">
      <c r="A1648" s="2" t="n">
        <v>1640</v>
      </c>
      <c r="B1648" s="53" t="n">
        <f aca="true">NORMINV(RAND(),0,B$7)</f>
        <v>0.537358183289338</v>
      </c>
      <c r="C1648" s="53" t="n">
        <f aca="true">NORMINV(RAND(),0,C$7)</f>
        <v>-0.00124716724512415</v>
      </c>
      <c r="D1648" s="53" t="n">
        <f aca="true">NORMINV(RAND(),0,D$7)</f>
        <v>0.102260403929507</v>
      </c>
      <c r="E1648" s="53" t="n">
        <f aca="true">NORMINV(RAND(),0,E$7)</f>
        <v>-0.513911393727193</v>
      </c>
      <c r="F1648" s="53" t="n">
        <f aca="true">NORMINV(RAND(),0,F$7)</f>
        <v>-0.0309955585839718</v>
      </c>
      <c r="G1648" s="53" t="n">
        <f aca="true">NORMINV(RAND(),0,G$7)</f>
        <v>-0.699389325205357</v>
      </c>
      <c r="H1648" s="53" t="n">
        <f aca="true">NORMINV(RAND(),0,H$7)</f>
        <v>-0.0894065705337995</v>
      </c>
      <c r="I1648" s="53" t="n">
        <f aca="false">SUM(B1648:H1648)</f>
        <v>-0.6953314280766</v>
      </c>
      <c r="J1648" s="53" t="n">
        <f aca="true">NORMINV(RAND(),0,J$7)</f>
        <v>2.18012925857286</v>
      </c>
      <c r="K1648" s="53" t="n">
        <f aca="true">NORMINV(RAND(),0,K$7)</f>
        <v>-0.0422110663668504</v>
      </c>
      <c r="L1648" s="53" t="n">
        <f aca="true">NORMINV(RAND(),0,L$7)</f>
        <v>0.0923757147215777</v>
      </c>
      <c r="M1648" s="53" t="n">
        <f aca="true">NORMINV(RAND(),0,M$7)</f>
        <v>0.284076159682928</v>
      </c>
      <c r="N1648" s="53" t="n">
        <f aca="true">NORMINV(RAND(),0,N$7)</f>
        <v>0.160378802037435</v>
      </c>
      <c r="O1648" s="53" t="n">
        <f aca="false">SUM(J1648:N1648)</f>
        <v>2.67474886864795</v>
      </c>
    </row>
    <row r="1649" customFormat="false" ht="15" hidden="false" customHeight="false" outlineLevel="0" collapsed="false">
      <c r="A1649" s="2" t="n">
        <v>1641</v>
      </c>
      <c r="B1649" s="53" t="n">
        <f aca="true">NORMINV(RAND(),0,B$7)</f>
        <v>-0.290780862497733</v>
      </c>
      <c r="C1649" s="53" t="n">
        <f aca="true">NORMINV(RAND(),0,C$7)</f>
        <v>0.110520614245932</v>
      </c>
      <c r="D1649" s="53" t="n">
        <f aca="true">NORMINV(RAND(),0,D$7)</f>
        <v>2.1823310823277</v>
      </c>
      <c r="E1649" s="53" t="n">
        <f aca="true">NORMINV(RAND(),0,E$7)</f>
        <v>-0.733397541728494</v>
      </c>
      <c r="F1649" s="53" t="n">
        <f aca="true">NORMINV(RAND(),0,F$7)</f>
        <v>0.212129767550346</v>
      </c>
      <c r="G1649" s="53" t="n">
        <f aca="true">NORMINV(RAND(),0,G$7)</f>
        <v>0.862202781965688</v>
      </c>
      <c r="H1649" s="53" t="n">
        <f aca="true">NORMINV(RAND(),0,H$7)</f>
        <v>0.533625734070773</v>
      </c>
      <c r="I1649" s="53" t="n">
        <f aca="false">SUM(B1649:H1649)</f>
        <v>2.87663157593421</v>
      </c>
      <c r="J1649" s="53" t="n">
        <f aca="true">NORMINV(RAND(),0,J$7)</f>
        <v>-2.76877407773996</v>
      </c>
      <c r="K1649" s="53" t="n">
        <f aca="true">NORMINV(RAND(),0,K$7)</f>
        <v>-0.242933423916045</v>
      </c>
      <c r="L1649" s="53" t="n">
        <f aca="true">NORMINV(RAND(),0,L$7)</f>
        <v>0.170316659602542</v>
      </c>
      <c r="M1649" s="53" t="n">
        <f aca="true">NORMINV(RAND(),0,M$7)</f>
        <v>-0.0304264662814282</v>
      </c>
      <c r="N1649" s="53" t="n">
        <f aca="true">NORMINV(RAND(),0,N$7)</f>
        <v>0.321396486179523</v>
      </c>
      <c r="O1649" s="53" t="n">
        <f aca="false">SUM(J1649:N1649)</f>
        <v>-2.55042082215537</v>
      </c>
    </row>
    <row r="1650" customFormat="false" ht="15" hidden="false" customHeight="false" outlineLevel="0" collapsed="false">
      <c r="A1650" s="2" t="n">
        <v>1642</v>
      </c>
      <c r="B1650" s="53" t="n">
        <f aca="true">NORMINV(RAND(),0,B$7)</f>
        <v>2.06214170823309</v>
      </c>
      <c r="C1650" s="53" t="n">
        <f aca="true">NORMINV(RAND(),0,C$7)</f>
        <v>-2.03924879808463</v>
      </c>
      <c r="D1650" s="53" t="n">
        <f aca="true">NORMINV(RAND(),0,D$7)</f>
        <v>-2.85858011624851</v>
      </c>
      <c r="E1650" s="53" t="n">
        <f aca="true">NORMINV(RAND(),0,E$7)</f>
        <v>0.227878489058739</v>
      </c>
      <c r="F1650" s="53" t="n">
        <f aca="true">NORMINV(RAND(),0,F$7)</f>
        <v>-0.32793172130431</v>
      </c>
      <c r="G1650" s="53" t="n">
        <f aca="true">NORMINV(RAND(),0,G$7)</f>
        <v>2.12940253374631</v>
      </c>
      <c r="H1650" s="53" t="n">
        <f aca="true">NORMINV(RAND(),0,H$7)</f>
        <v>0.0819813106652683</v>
      </c>
      <c r="I1650" s="53" t="n">
        <f aca="false">SUM(B1650:H1650)</f>
        <v>-0.724356593934049</v>
      </c>
      <c r="J1650" s="53" t="n">
        <f aca="true">NORMINV(RAND(),0,J$7)</f>
        <v>-0.201679689961742</v>
      </c>
      <c r="K1650" s="53" t="n">
        <f aca="true">NORMINV(RAND(),0,K$7)</f>
        <v>-1.10707338716931</v>
      </c>
      <c r="L1650" s="53" t="n">
        <f aca="true">NORMINV(RAND(),0,L$7)</f>
        <v>0.106032888524607</v>
      </c>
      <c r="M1650" s="53" t="n">
        <f aca="true">NORMINV(RAND(),0,M$7)</f>
        <v>-0.43889416438775</v>
      </c>
      <c r="N1650" s="53" t="n">
        <f aca="true">NORMINV(RAND(),0,N$7)</f>
        <v>0.159285464550487</v>
      </c>
      <c r="O1650" s="53" t="n">
        <f aca="false">SUM(J1650:N1650)</f>
        <v>-1.48232888844371</v>
      </c>
    </row>
    <row r="1651" customFormat="false" ht="15" hidden="false" customHeight="false" outlineLevel="0" collapsed="false">
      <c r="A1651" s="2" t="n">
        <v>1643</v>
      </c>
      <c r="B1651" s="53" t="n">
        <f aca="true">NORMINV(RAND(),0,B$7)</f>
        <v>-1.39948118703455</v>
      </c>
      <c r="C1651" s="53" t="n">
        <f aca="true">NORMINV(RAND(),0,C$7)</f>
        <v>1.69472478933769</v>
      </c>
      <c r="D1651" s="53" t="n">
        <f aca="true">NORMINV(RAND(),0,D$7)</f>
        <v>2.70781866099834</v>
      </c>
      <c r="E1651" s="53" t="n">
        <f aca="true">NORMINV(RAND(),0,E$7)</f>
        <v>-1.0478309934378</v>
      </c>
      <c r="F1651" s="53" t="n">
        <f aca="true">NORMINV(RAND(),0,F$7)</f>
        <v>0.0597823465467991</v>
      </c>
      <c r="G1651" s="53" t="n">
        <f aca="true">NORMINV(RAND(),0,G$7)</f>
        <v>0.134684418012656</v>
      </c>
      <c r="H1651" s="53" t="n">
        <f aca="true">NORMINV(RAND(),0,H$7)</f>
        <v>0.00911120229174718</v>
      </c>
      <c r="I1651" s="53" t="n">
        <f aca="false">SUM(B1651:H1651)</f>
        <v>2.15880923671489</v>
      </c>
      <c r="J1651" s="53" t="n">
        <f aca="true">NORMINV(RAND(),0,J$7)</f>
        <v>-2.05339915456783</v>
      </c>
      <c r="K1651" s="53" t="n">
        <f aca="true">NORMINV(RAND(),0,K$7)</f>
        <v>-0.448265131253022</v>
      </c>
      <c r="L1651" s="53" t="n">
        <f aca="true">NORMINV(RAND(),0,L$7)</f>
        <v>0.542683575036712</v>
      </c>
      <c r="M1651" s="53" t="n">
        <f aca="true">NORMINV(RAND(),0,M$7)</f>
        <v>-0.0506378750187545</v>
      </c>
      <c r="N1651" s="53" t="n">
        <f aca="true">NORMINV(RAND(),0,N$7)</f>
        <v>0.633885016909757</v>
      </c>
      <c r="O1651" s="53" t="n">
        <f aca="false">SUM(J1651:N1651)</f>
        <v>-1.37573356889314</v>
      </c>
    </row>
    <row r="1652" customFormat="false" ht="15" hidden="false" customHeight="false" outlineLevel="0" collapsed="false">
      <c r="A1652" s="2" t="n">
        <v>1644</v>
      </c>
      <c r="B1652" s="53" t="n">
        <f aca="true">NORMINV(RAND(),0,B$7)</f>
        <v>0.226750497563528</v>
      </c>
      <c r="C1652" s="53" t="n">
        <f aca="true">NORMINV(RAND(),0,C$7)</f>
        <v>0.460332207107755</v>
      </c>
      <c r="D1652" s="53" t="n">
        <f aca="true">NORMINV(RAND(),0,D$7)</f>
        <v>-3.32647658936552</v>
      </c>
      <c r="E1652" s="53" t="n">
        <f aca="true">NORMINV(RAND(),0,E$7)</f>
        <v>0.389049071939192</v>
      </c>
      <c r="F1652" s="53" t="n">
        <f aca="true">NORMINV(RAND(),0,F$7)</f>
        <v>0.653362919140274</v>
      </c>
      <c r="G1652" s="53" t="n">
        <f aca="true">NORMINV(RAND(),0,G$7)</f>
        <v>-0.0276153073511906</v>
      </c>
      <c r="H1652" s="53" t="n">
        <f aca="true">NORMINV(RAND(),0,H$7)</f>
        <v>0.0997399220041819</v>
      </c>
      <c r="I1652" s="53" t="n">
        <f aca="false">SUM(B1652:H1652)</f>
        <v>-1.52485727896177</v>
      </c>
      <c r="J1652" s="53" t="n">
        <f aca="true">NORMINV(RAND(),0,J$7)</f>
        <v>0.510417197348934</v>
      </c>
      <c r="K1652" s="53" t="n">
        <f aca="true">NORMINV(RAND(),0,K$7)</f>
        <v>-0.743648691048341</v>
      </c>
      <c r="L1652" s="53" t="n">
        <f aca="true">NORMINV(RAND(),0,L$7)</f>
        <v>0.584484042941441</v>
      </c>
      <c r="M1652" s="53" t="n">
        <f aca="true">NORMINV(RAND(),0,M$7)</f>
        <v>0.195052579340981</v>
      </c>
      <c r="N1652" s="53" t="n">
        <f aca="true">NORMINV(RAND(),0,N$7)</f>
        <v>-0.287808264622828</v>
      </c>
      <c r="O1652" s="53" t="n">
        <f aca="false">SUM(J1652:N1652)</f>
        <v>0.258496863960186</v>
      </c>
    </row>
    <row r="1653" customFormat="false" ht="15" hidden="false" customHeight="false" outlineLevel="0" collapsed="false">
      <c r="A1653" s="2" t="n">
        <v>1645</v>
      </c>
      <c r="B1653" s="53" t="n">
        <f aca="true">NORMINV(RAND(),0,B$7)</f>
        <v>0.543153647945971</v>
      </c>
      <c r="C1653" s="53" t="n">
        <f aca="true">NORMINV(RAND(),0,C$7)</f>
        <v>-1.84184784175549</v>
      </c>
      <c r="D1653" s="53" t="n">
        <f aca="true">NORMINV(RAND(),0,D$7)</f>
        <v>0.00538023479827599</v>
      </c>
      <c r="E1653" s="53" t="n">
        <f aca="true">NORMINV(RAND(),0,E$7)</f>
        <v>0.000665548318729721</v>
      </c>
      <c r="F1653" s="53" t="n">
        <f aca="true">NORMINV(RAND(),0,F$7)</f>
        <v>-0.528826087299072</v>
      </c>
      <c r="G1653" s="53" t="n">
        <f aca="true">NORMINV(RAND(),0,G$7)</f>
        <v>-0.987203427940541</v>
      </c>
      <c r="H1653" s="53" t="n">
        <f aca="true">NORMINV(RAND(),0,H$7)</f>
        <v>-0.61988516413192</v>
      </c>
      <c r="I1653" s="53" t="n">
        <f aca="false">SUM(B1653:H1653)</f>
        <v>-3.42856309006404</v>
      </c>
      <c r="J1653" s="53" t="n">
        <f aca="true">NORMINV(RAND(),0,J$7)</f>
        <v>4.82488824623578</v>
      </c>
      <c r="K1653" s="53" t="n">
        <f aca="true">NORMINV(RAND(),0,K$7)</f>
        <v>-0.395803115982781</v>
      </c>
      <c r="L1653" s="53" t="n">
        <f aca="true">NORMINV(RAND(),0,L$7)</f>
        <v>-0.039508178481943</v>
      </c>
      <c r="M1653" s="53" t="n">
        <f aca="true">NORMINV(RAND(),0,M$7)</f>
        <v>0.267991647500281</v>
      </c>
      <c r="N1653" s="53" t="n">
        <f aca="true">NORMINV(RAND(),0,N$7)</f>
        <v>0.0926172949083941</v>
      </c>
      <c r="O1653" s="53" t="n">
        <f aca="false">SUM(J1653:N1653)</f>
        <v>4.75018589417973</v>
      </c>
    </row>
    <row r="1654" customFormat="false" ht="15" hidden="false" customHeight="false" outlineLevel="0" collapsed="false">
      <c r="A1654" s="2" t="n">
        <v>1646</v>
      </c>
      <c r="B1654" s="53" t="n">
        <f aca="true">NORMINV(RAND(),0,B$7)</f>
        <v>0.119687275374076</v>
      </c>
      <c r="C1654" s="53" t="n">
        <f aca="true">NORMINV(RAND(),0,C$7)</f>
        <v>-3.14125133283897</v>
      </c>
      <c r="D1654" s="53" t="n">
        <f aca="true">NORMINV(RAND(),0,D$7)</f>
        <v>-0.126113143652746</v>
      </c>
      <c r="E1654" s="53" t="n">
        <f aca="true">NORMINV(RAND(),0,E$7)</f>
        <v>0.215615008364412</v>
      </c>
      <c r="F1654" s="53" t="n">
        <f aca="true">NORMINV(RAND(),0,F$7)</f>
        <v>0.0969193081851954</v>
      </c>
      <c r="G1654" s="53" t="n">
        <f aca="true">NORMINV(RAND(),0,G$7)</f>
        <v>1.30486021629033</v>
      </c>
      <c r="H1654" s="53" t="n">
        <f aca="true">NORMINV(RAND(),0,H$7)</f>
        <v>-0.0376387800620545</v>
      </c>
      <c r="I1654" s="53" t="n">
        <f aca="false">SUM(B1654:H1654)</f>
        <v>-1.56792144833976</v>
      </c>
      <c r="J1654" s="53" t="n">
        <f aca="true">NORMINV(RAND(),0,J$7)</f>
        <v>2.72638834504825</v>
      </c>
      <c r="K1654" s="53" t="n">
        <f aca="true">NORMINV(RAND(),0,K$7)</f>
        <v>0.275488195838365</v>
      </c>
      <c r="L1654" s="53" t="n">
        <f aca="true">NORMINV(RAND(),0,L$7)</f>
        <v>0.156054532140886</v>
      </c>
      <c r="M1654" s="53" t="n">
        <f aca="true">NORMINV(RAND(),0,M$7)</f>
        <v>0.0966144952157203</v>
      </c>
      <c r="N1654" s="53" t="n">
        <f aca="true">NORMINV(RAND(),0,N$7)</f>
        <v>-0.536887708089576</v>
      </c>
      <c r="O1654" s="53" t="n">
        <f aca="false">SUM(J1654:N1654)</f>
        <v>2.71765786015364</v>
      </c>
    </row>
    <row r="1655" customFormat="false" ht="15" hidden="false" customHeight="false" outlineLevel="0" collapsed="false">
      <c r="A1655" s="2" t="n">
        <v>1647</v>
      </c>
      <c r="B1655" s="53" t="n">
        <f aca="true">NORMINV(RAND(),0,B$7)</f>
        <v>0.714786486160019</v>
      </c>
      <c r="C1655" s="53" t="n">
        <f aca="true">NORMINV(RAND(),0,C$7)</f>
        <v>-2.6893458212071</v>
      </c>
      <c r="D1655" s="53" t="n">
        <f aca="true">NORMINV(RAND(),0,D$7)</f>
        <v>-1.16331735445612</v>
      </c>
      <c r="E1655" s="53" t="n">
        <f aca="true">NORMINV(RAND(),0,E$7)</f>
        <v>-0.0611589250464406</v>
      </c>
      <c r="F1655" s="53" t="n">
        <f aca="true">NORMINV(RAND(),0,F$7)</f>
        <v>-0.372032887290632</v>
      </c>
      <c r="G1655" s="53" t="n">
        <f aca="true">NORMINV(RAND(),0,G$7)</f>
        <v>0.988559119649239</v>
      </c>
      <c r="H1655" s="53" t="n">
        <f aca="true">NORMINV(RAND(),0,H$7)</f>
        <v>0.588229423329397</v>
      </c>
      <c r="I1655" s="53" t="n">
        <f aca="false">SUM(B1655:H1655)</f>
        <v>-1.99427995886164</v>
      </c>
      <c r="J1655" s="53" t="n">
        <f aca="true">NORMINV(RAND(),0,J$7)</f>
        <v>0.0905193399823377</v>
      </c>
      <c r="K1655" s="53" t="n">
        <f aca="true">NORMINV(RAND(),0,K$7)</f>
        <v>-1.01991474934029</v>
      </c>
      <c r="L1655" s="53" t="n">
        <f aca="true">NORMINV(RAND(),0,L$7)</f>
        <v>-0.0341090537938363</v>
      </c>
      <c r="M1655" s="53" t="n">
        <f aca="true">NORMINV(RAND(),0,M$7)</f>
        <v>0.398226977703914</v>
      </c>
      <c r="N1655" s="53" t="n">
        <f aca="true">NORMINV(RAND(),0,N$7)</f>
        <v>0.130726758766773</v>
      </c>
      <c r="O1655" s="53" t="n">
        <f aca="false">SUM(J1655:N1655)</f>
        <v>-0.4345507266811</v>
      </c>
    </row>
    <row r="1656" customFormat="false" ht="15" hidden="false" customHeight="false" outlineLevel="0" collapsed="false">
      <c r="A1656" s="2" t="n">
        <v>1648</v>
      </c>
      <c r="B1656" s="53" t="n">
        <f aca="true">NORMINV(RAND(),0,B$7)</f>
        <v>-0.2768429652818</v>
      </c>
      <c r="C1656" s="53" t="n">
        <f aca="true">NORMINV(RAND(),0,C$7)</f>
        <v>2.83955667577994</v>
      </c>
      <c r="D1656" s="53" t="n">
        <f aca="true">NORMINV(RAND(),0,D$7)</f>
        <v>4.65702189066378</v>
      </c>
      <c r="E1656" s="53" t="n">
        <f aca="true">NORMINV(RAND(),0,E$7)</f>
        <v>0.19842144603034</v>
      </c>
      <c r="F1656" s="53" t="n">
        <f aca="true">NORMINV(RAND(),0,F$7)</f>
        <v>0.356038409085356</v>
      </c>
      <c r="G1656" s="53" t="n">
        <f aca="true">NORMINV(RAND(),0,G$7)</f>
        <v>-1.13381165107325</v>
      </c>
      <c r="H1656" s="53" t="n">
        <f aca="true">NORMINV(RAND(),0,H$7)</f>
        <v>-0.110545638205295</v>
      </c>
      <c r="I1656" s="53" t="n">
        <f aca="false">SUM(B1656:H1656)</f>
        <v>6.52983816699907</v>
      </c>
      <c r="J1656" s="53" t="n">
        <f aca="true">NORMINV(RAND(),0,J$7)</f>
        <v>-1.7679910945033</v>
      </c>
      <c r="K1656" s="53" t="n">
        <f aca="true">NORMINV(RAND(),0,K$7)</f>
        <v>1.3175141115166</v>
      </c>
      <c r="L1656" s="53" t="n">
        <f aca="true">NORMINV(RAND(),0,L$7)</f>
        <v>1.00810074435928</v>
      </c>
      <c r="M1656" s="53" t="n">
        <f aca="true">NORMINV(RAND(),0,M$7)</f>
        <v>0.0520236724026051</v>
      </c>
      <c r="N1656" s="53" t="n">
        <f aca="true">NORMINV(RAND(),0,N$7)</f>
        <v>0.721425795541882</v>
      </c>
      <c r="O1656" s="53" t="n">
        <f aca="false">SUM(J1656:N1656)</f>
        <v>1.33107322931706</v>
      </c>
    </row>
    <row r="1657" customFormat="false" ht="15" hidden="false" customHeight="false" outlineLevel="0" collapsed="false">
      <c r="A1657" s="2" t="n">
        <v>1649</v>
      </c>
      <c r="B1657" s="53" t="n">
        <f aca="true">NORMINV(RAND(),0,B$7)</f>
        <v>-1.07822946958372</v>
      </c>
      <c r="C1657" s="53" t="n">
        <f aca="true">NORMINV(RAND(),0,C$7)</f>
        <v>0.020592627115171</v>
      </c>
      <c r="D1657" s="53" t="n">
        <f aca="true">NORMINV(RAND(),0,D$7)</f>
        <v>0.196479660530688</v>
      </c>
      <c r="E1657" s="53" t="n">
        <f aca="true">NORMINV(RAND(),0,E$7)</f>
        <v>0.292989090260024</v>
      </c>
      <c r="F1657" s="53" t="n">
        <f aca="true">NORMINV(RAND(),0,F$7)</f>
        <v>-0.079007157457152</v>
      </c>
      <c r="G1657" s="53" t="n">
        <f aca="true">NORMINV(RAND(),0,G$7)</f>
        <v>0.407535678683449</v>
      </c>
      <c r="H1657" s="53" t="n">
        <f aca="true">NORMINV(RAND(),0,H$7)</f>
        <v>-0.103282981943739</v>
      </c>
      <c r="I1657" s="53" t="n">
        <f aca="false">SUM(B1657:H1657)</f>
        <v>-0.342922552395276</v>
      </c>
      <c r="J1657" s="53" t="n">
        <f aca="true">NORMINV(RAND(),0,J$7)</f>
        <v>-2.26663451009235</v>
      </c>
      <c r="K1657" s="53" t="n">
        <f aca="true">NORMINV(RAND(),0,K$7)</f>
        <v>0.0615963746045311</v>
      </c>
      <c r="L1657" s="53" t="n">
        <f aca="true">NORMINV(RAND(),0,L$7)</f>
        <v>0.0576958427340291</v>
      </c>
      <c r="M1657" s="53" t="n">
        <f aca="true">NORMINV(RAND(),0,M$7)</f>
        <v>-0.121624027205584</v>
      </c>
      <c r="N1657" s="53" t="n">
        <f aca="true">NORMINV(RAND(),0,N$7)</f>
        <v>-0.712939427621729</v>
      </c>
      <c r="O1657" s="53" t="n">
        <f aca="false">SUM(J1657:N1657)</f>
        <v>-2.9819057475811</v>
      </c>
    </row>
    <row r="1658" customFormat="false" ht="15" hidden="false" customHeight="false" outlineLevel="0" collapsed="false">
      <c r="A1658" s="2" t="n">
        <v>1650</v>
      </c>
      <c r="B1658" s="53" t="n">
        <f aca="true">NORMINV(RAND(),0,B$7)</f>
        <v>-3.22713210109407</v>
      </c>
      <c r="C1658" s="53" t="n">
        <f aca="true">NORMINV(RAND(),0,C$7)</f>
        <v>0.637050953151608</v>
      </c>
      <c r="D1658" s="53" t="n">
        <f aca="true">NORMINV(RAND(),0,D$7)</f>
        <v>-0.638231819745154</v>
      </c>
      <c r="E1658" s="53" t="n">
        <f aca="true">NORMINV(RAND(),0,E$7)</f>
        <v>0.205492696982508</v>
      </c>
      <c r="F1658" s="53" t="n">
        <f aca="true">NORMINV(RAND(),0,F$7)</f>
        <v>0.212248341249792</v>
      </c>
      <c r="G1658" s="53" t="n">
        <f aca="true">NORMINV(RAND(),0,G$7)</f>
        <v>0.403508056147799</v>
      </c>
      <c r="H1658" s="53" t="n">
        <f aca="true">NORMINV(RAND(),0,H$7)</f>
        <v>0.443307369575632</v>
      </c>
      <c r="I1658" s="53" t="n">
        <f aca="false">SUM(B1658:H1658)</f>
        <v>-1.96375650373189</v>
      </c>
      <c r="J1658" s="53" t="n">
        <f aca="true">NORMINV(RAND(),0,J$7)</f>
        <v>-0.929590081585808</v>
      </c>
      <c r="K1658" s="53" t="n">
        <f aca="true">NORMINV(RAND(),0,K$7)</f>
        <v>0.390370781274239</v>
      </c>
      <c r="L1658" s="53" t="n">
        <f aca="true">NORMINV(RAND(),0,L$7)</f>
        <v>-0.181142272399343</v>
      </c>
      <c r="M1658" s="53" t="n">
        <f aca="true">NORMINV(RAND(),0,M$7)</f>
        <v>0.0913317656222304</v>
      </c>
      <c r="N1658" s="53" t="n">
        <f aca="true">NORMINV(RAND(),0,N$7)</f>
        <v>-0.00885536414498997</v>
      </c>
      <c r="O1658" s="53" t="n">
        <f aca="false">SUM(J1658:N1658)</f>
        <v>-0.637885171233672</v>
      </c>
    </row>
    <row r="1659" customFormat="false" ht="15" hidden="false" customHeight="false" outlineLevel="0" collapsed="false">
      <c r="A1659" s="2" t="n">
        <v>1651</v>
      </c>
      <c r="B1659" s="53" t="n">
        <f aca="true">NORMINV(RAND(),0,B$7)</f>
        <v>0.526028814490034</v>
      </c>
      <c r="C1659" s="53" t="n">
        <f aca="true">NORMINV(RAND(),0,C$7)</f>
        <v>-0.23079608566976</v>
      </c>
      <c r="D1659" s="53" t="n">
        <f aca="true">NORMINV(RAND(),0,D$7)</f>
        <v>-1.17472895342825</v>
      </c>
      <c r="E1659" s="53" t="n">
        <f aca="true">NORMINV(RAND(),0,E$7)</f>
        <v>-0.557863642968041</v>
      </c>
      <c r="F1659" s="53" t="n">
        <f aca="true">NORMINV(RAND(),0,F$7)</f>
        <v>-0.140834084133593</v>
      </c>
      <c r="G1659" s="53" t="n">
        <f aca="true">NORMINV(RAND(),0,G$7)</f>
        <v>-0.973062338653776</v>
      </c>
      <c r="H1659" s="53" t="n">
        <f aca="true">NORMINV(RAND(),0,H$7)</f>
        <v>0.082689297755276</v>
      </c>
      <c r="I1659" s="53" t="n">
        <f aca="false">SUM(B1659:H1659)</f>
        <v>-2.46856699260811</v>
      </c>
      <c r="J1659" s="53" t="n">
        <f aca="true">NORMINV(RAND(),0,J$7)</f>
        <v>1.26141594250411</v>
      </c>
      <c r="K1659" s="53" t="n">
        <f aca="true">NORMINV(RAND(),0,K$7)</f>
        <v>-0.523034150237623</v>
      </c>
      <c r="L1659" s="53" t="n">
        <f aca="true">NORMINV(RAND(),0,L$7)</f>
        <v>-0.246624933632613</v>
      </c>
      <c r="M1659" s="53" t="n">
        <f aca="true">NORMINV(RAND(),0,M$7)</f>
        <v>0.185412488755992</v>
      </c>
      <c r="N1659" s="53" t="n">
        <f aca="true">NORMINV(RAND(),0,N$7)</f>
        <v>-0.781380542743298</v>
      </c>
      <c r="O1659" s="53" t="n">
        <f aca="false">SUM(J1659:N1659)</f>
        <v>-0.104211195353432</v>
      </c>
    </row>
    <row r="1660" customFormat="false" ht="15" hidden="false" customHeight="false" outlineLevel="0" collapsed="false">
      <c r="A1660" s="2" t="n">
        <v>1652</v>
      </c>
      <c r="B1660" s="53" t="n">
        <f aca="true">NORMINV(RAND(),0,B$7)</f>
        <v>1.36061997655025</v>
      </c>
      <c r="C1660" s="53" t="n">
        <f aca="true">NORMINV(RAND(),0,C$7)</f>
        <v>0.338955421389263</v>
      </c>
      <c r="D1660" s="53" t="n">
        <f aca="true">NORMINV(RAND(),0,D$7)</f>
        <v>-1.96176856926953</v>
      </c>
      <c r="E1660" s="53" t="n">
        <f aca="true">NORMINV(RAND(),0,E$7)</f>
        <v>-0.179269148063228</v>
      </c>
      <c r="F1660" s="53" t="n">
        <f aca="true">NORMINV(RAND(),0,F$7)</f>
        <v>-0.125211027763111</v>
      </c>
      <c r="G1660" s="53" t="n">
        <f aca="true">NORMINV(RAND(),0,G$7)</f>
        <v>-0.293620642873769</v>
      </c>
      <c r="H1660" s="53" t="n">
        <f aca="true">NORMINV(RAND(),0,H$7)</f>
        <v>0.36025143086612</v>
      </c>
      <c r="I1660" s="53" t="n">
        <f aca="false">SUM(B1660:H1660)</f>
        <v>-0.500042559163998</v>
      </c>
      <c r="J1660" s="53" t="n">
        <f aca="true">NORMINV(RAND(),0,J$7)</f>
        <v>4.1807369413908</v>
      </c>
      <c r="K1660" s="53" t="n">
        <f aca="true">NORMINV(RAND(),0,K$7)</f>
        <v>1.63045008211818</v>
      </c>
      <c r="L1660" s="53" t="n">
        <f aca="true">NORMINV(RAND(),0,L$7)</f>
        <v>0.753431772651797</v>
      </c>
      <c r="M1660" s="53" t="n">
        <f aca="true">NORMINV(RAND(),0,M$7)</f>
        <v>0.221862884391533</v>
      </c>
      <c r="N1660" s="53" t="n">
        <f aca="true">NORMINV(RAND(),0,N$7)</f>
        <v>-0.183931594663559</v>
      </c>
      <c r="O1660" s="53" t="n">
        <f aca="false">SUM(J1660:N1660)</f>
        <v>6.60255008588875</v>
      </c>
    </row>
    <row r="1661" customFormat="false" ht="15" hidden="false" customHeight="false" outlineLevel="0" collapsed="false">
      <c r="A1661" s="2" t="n">
        <v>1653</v>
      </c>
      <c r="B1661" s="53" t="n">
        <f aca="true">NORMINV(RAND(),0,B$7)</f>
        <v>0.674089395792229</v>
      </c>
      <c r="C1661" s="53" t="n">
        <f aca="true">NORMINV(RAND(),0,C$7)</f>
        <v>3.21420924749664</v>
      </c>
      <c r="D1661" s="53" t="n">
        <f aca="true">NORMINV(RAND(),0,D$7)</f>
        <v>-1.14150362829504</v>
      </c>
      <c r="E1661" s="53" t="n">
        <f aca="true">NORMINV(RAND(),0,E$7)</f>
        <v>0.360199797458869</v>
      </c>
      <c r="F1661" s="53" t="n">
        <f aca="true">NORMINV(RAND(),0,F$7)</f>
        <v>-0.00500477390168833</v>
      </c>
      <c r="G1661" s="53" t="n">
        <f aca="true">NORMINV(RAND(),0,G$7)</f>
        <v>-1.93015409611407</v>
      </c>
      <c r="H1661" s="53" t="n">
        <f aca="true">NORMINV(RAND(),0,H$7)</f>
        <v>0.209342400572196</v>
      </c>
      <c r="I1661" s="53" t="n">
        <f aca="false">SUM(B1661:H1661)</f>
        <v>1.38117834300914</v>
      </c>
      <c r="J1661" s="53" t="n">
        <f aca="true">NORMINV(RAND(),0,J$7)</f>
        <v>0.157885665781322</v>
      </c>
      <c r="K1661" s="53" t="n">
        <f aca="true">NORMINV(RAND(),0,K$7)</f>
        <v>-1.6107109876947</v>
      </c>
      <c r="L1661" s="53" t="n">
        <f aca="true">NORMINV(RAND(),0,L$7)</f>
        <v>0.227658772302348</v>
      </c>
      <c r="M1661" s="53" t="n">
        <f aca="true">NORMINV(RAND(),0,M$7)</f>
        <v>0.163529343772885</v>
      </c>
      <c r="N1661" s="53" t="n">
        <f aca="true">NORMINV(RAND(),0,N$7)</f>
        <v>0.239812839552282</v>
      </c>
      <c r="O1661" s="53" t="n">
        <f aca="false">SUM(J1661:N1661)</f>
        <v>-0.821824366285863</v>
      </c>
    </row>
    <row r="1662" customFormat="false" ht="15" hidden="false" customHeight="false" outlineLevel="0" collapsed="false">
      <c r="A1662" s="2" t="n">
        <v>1654</v>
      </c>
      <c r="B1662" s="53" t="n">
        <f aca="true">NORMINV(RAND(),0,B$7)</f>
        <v>-1.20433835405892</v>
      </c>
      <c r="C1662" s="53" t="n">
        <f aca="true">NORMINV(RAND(),0,C$7)</f>
        <v>-1.8111611213303</v>
      </c>
      <c r="D1662" s="53" t="n">
        <f aca="true">NORMINV(RAND(),0,D$7)</f>
        <v>0.762622843194526</v>
      </c>
      <c r="E1662" s="53" t="n">
        <f aca="true">NORMINV(RAND(),0,E$7)</f>
        <v>0.0669703661736919</v>
      </c>
      <c r="F1662" s="53" t="n">
        <f aca="true">NORMINV(RAND(),0,F$7)</f>
        <v>-0.337326057149367</v>
      </c>
      <c r="G1662" s="53" t="n">
        <f aca="true">NORMINV(RAND(),0,G$7)</f>
        <v>-0.452047326523348</v>
      </c>
      <c r="H1662" s="53" t="n">
        <f aca="true">NORMINV(RAND(),0,H$7)</f>
        <v>0.573429936010288</v>
      </c>
      <c r="I1662" s="53" t="n">
        <f aca="false">SUM(B1662:H1662)</f>
        <v>-2.40184971368342</v>
      </c>
      <c r="J1662" s="53" t="n">
        <f aca="true">NORMINV(RAND(),0,J$7)</f>
        <v>-0.310745002445091</v>
      </c>
      <c r="K1662" s="53" t="n">
        <f aca="true">NORMINV(RAND(),0,K$7)</f>
        <v>-0.209657209647108</v>
      </c>
      <c r="L1662" s="53" t="n">
        <f aca="true">NORMINV(RAND(),0,L$7)</f>
        <v>-0.312331051948749</v>
      </c>
      <c r="M1662" s="53" t="n">
        <f aca="true">NORMINV(RAND(),0,M$7)</f>
        <v>0.24722851665305</v>
      </c>
      <c r="N1662" s="53" t="n">
        <f aca="true">NORMINV(RAND(),0,N$7)</f>
        <v>0.08183075201323</v>
      </c>
      <c r="O1662" s="53" t="n">
        <f aca="false">SUM(J1662:N1662)</f>
        <v>-0.503673995374669</v>
      </c>
    </row>
    <row r="1663" customFormat="false" ht="15" hidden="false" customHeight="false" outlineLevel="0" collapsed="false">
      <c r="A1663" s="2" t="n">
        <v>1655</v>
      </c>
      <c r="B1663" s="53" t="n">
        <f aca="true">NORMINV(RAND(),0,B$7)</f>
        <v>-0.0646342023610845</v>
      </c>
      <c r="C1663" s="53" t="n">
        <f aca="true">NORMINV(RAND(),0,C$7)</f>
        <v>-0.281612132940865</v>
      </c>
      <c r="D1663" s="53" t="n">
        <f aca="true">NORMINV(RAND(),0,D$7)</f>
        <v>-0.166648925314132</v>
      </c>
      <c r="E1663" s="53" t="n">
        <f aca="true">NORMINV(RAND(),0,E$7)</f>
        <v>0.230307797108118</v>
      </c>
      <c r="F1663" s="53" t="n">
        <f aca="true">NORMINV(RAND(),0,F$7)</f>
        <v>-0.00912602973459222</v>
      </c>
      <c r="G1663" s="53" t="n">
        <f aca="true">NORMINV(RAND(),0,G$7)</f>
        <v>1.89389030610227</v>
      </c>
      <c r="H1663" s="53" t="n">
        <f aca="true">NORMINV(RAND(),0,H$7)</f>
        <v>-0.0812293736579929</v>
      </c>
      <c r="I1663" s="53" t="n">
        <f aca="false">SUM(B1663:H1663)</f>
        <v>1.52094743920172</v>
      </c>
      <c r="J1663" s="53" t="n">
        <f aca="true">NORMINV(RAND(),0,J$7)</f>
        <v>3.44686668301158</v>
      </c>
      <c r="K1663" s="53" t="n">
        <f aca="true">NORMINV(RAND(),0,K$7)</f>
        <v>0.394702483745279</v>
      </c>
      <c r="L1663" s="53" t="n">
        <f aca="true">NORMINV(RAND(),0,L$7)</f>
        <v>-0.285101522061136</v>
      </c>
      <c r="M1663" s="53" t="n">
        <f aca="true">NORMINV(RAND(),0,M$7)</f>
        <v>-0.300212024496954</v>
      </c>
      <c r="N1663" s="53" t="n">
        <f aca="true">NORMINV(RAND(),0,N$7)</f>
        <v>-0.173837654439404</v>
      </c>
      <c r="O1663" s="53" t="n">
        <f aca="false">SUM(J1663:N1663)</f>
        <v>3.08241796575936</v>
      </c>
    </row>
    <row r="1664" customFormat="false" ht="15" hidden="false" customHeight="false" outlineLevel="0" collapsed="false">
      <c r="A1664" s="2" t="n">
        <v>1656</v>
      </c>
      <c r="B1664" s="53" t="n">
        <f aca="true">NORMINV(RAND(),0,B$7)</f>
        <v>-0.306257149862651</v>
      </c>
      <c r="C1664" s="53" t="n">
        <f aca="true">NORMINV(RAND(),0,C$7)</f>
        <v>0.528089373261969</v>
      </c>
      <c r="D1664" s="53" t="n">
        <f aca="true">NORMINV(RAND(),0,D$7)</f>
        <v>0.0475361289838184</v>
      </c>
      <c r="E1664" s="53" t="n">
        <f aca="true">NORMINV(RAND(),0,E$7)</f>
        <v>-0.229393190158099</v>
      </c>
      <c r="F1664" s="53" t="n">
        <f aca="true">NORMINV(RAND(),0,F$7)</f>
        <v>-0.0246346453608494</v>
      </c>
      <c r="G1664" s="53" t="n">
        <f aca="true">NORMINV(RAND(),0,G$7)</f>
        <v>-1.6417149354425</v>
      </c>
      <c r="H1664" s="53" t="n">
        <f aca="true">NORMINV(RAND(),0,H$7)</f>
        <v>-0.263444677894221</v>
      </c>
      <c r="I1664" s="53" t="n">
        <f aca="false">SUM(B1664:H1664)</f>
        <v>-1.88981909647253</v>
      </c>
      <c r="J1664" s="53" t="n">
        <f aca="true">NORMINV(RAND(),0,J$7)</f>
        <v>0.343337612827897</v>
      </c>
      <c r="K1664" s="53" t="n">
        <f aca="true">NORMINV(RAND(),0,K$7)</f>
        <v>0.810780189126819</v>
      </c>
      <c r="L1664" s="53" t="n">
        <f aca="true">NORMINV(RAND(),0,L$7)</f>
        <v>-0.295572388130455</v>
      </c>
      <c r="M1664" s="53" t="n">
        <f aca="true">NORMINV(RAND(),0,M$7)</f>
        <v>0.0156583603866849</v>
      </c>
      <c r="N1664" s="53" t="n">
        <f aca="true">NORMINV(RAND(),0,N$7)</f>
        <v>-0.61088612014541</v>
      </c>
      <c r="O1664" s="53" t="n">
        <f aca="false">SUM(J1664:N1664)</f>
        <v>0.263317654065536</v>
      </c>
    </row>
    <row r="1665" customFormat="false" ht="15" hidden="false" customHeight="false" outlineLevel="0" collapsed="false">
      <c r="A1665" s="2" t="n">
        <v>1657</v>
      </c>
      <c r="B1665" s="53" t="n">
        <f aca="true">NORMINV(RAND(),0,B$7)</f>
        <v>-1.82009735736245</v>
      </c>
      <c r="C1665" s="53" t="n">
        <f aca="true">NORMINV(RAND(),0,C$7)</f>
        <v>0.589376498165292</v>
      </c>
      <c r="D1665" s="53" t="n">
        <f aca="true">NORMINV(RAND(),0,D$7)</f>
        <v>-6.17105847638341</v>
      </c>
      <c r="E1665" s="53" t="n">
        <f aca="true">NORMINV(RAND(),0,E$7)</f>
        <v>0.576032094311339</v>
      </c>
      <c r="F1665" s="53" t="n">
        <f aca="true">NORMINV(RAND(),0,F$7)</f>
        <v>0.120801003159818</v>
      </c>
      <c r="G1665" s="53" t="n">
        <f aca="true">NORMINV(RAND(),0,G$7)</f>
        <v>1.66094494426471</v>
      </c>
      <c r="H1665" s="53" t="n">
        <f aca="true">NORMINV(RAND(),0,H$7)</f>
        <v>-0.486438134031193</v>
      </c>
      <c r="I1665" s="53" t="n">
        <f aca="false">SUM(B1665:H1665)</f>
        <v>-5.53043942787589</v>
      </c>
      <c r="J1665" s="53" t="n">
        <f aca="true">NORMINV(RAND(),0,J$7)</f>
        <v>2.45737987428832</v>
      </c>
      <c r="K1665" s="53" t="n">
        <f aca="true">NORMINV(RAND(),0,K$7)</f>
        <v>-0.821690850530735</v>
      </c>
      <c r="L1665" s="53" t="n">
        <f aca="true">NORMINV(RAND(),0,L$7)</f>
        <v>0.0208147509960583</v>
      </c>
      <c r="M1665" s="53" t="n">
        <f aca="true">NORMINV(RAND(),0,M$7)</f>
        <v>0.161415095218019</v>
      </c>
      <c r="N1665" s="53" t="n">
        <f aca="true">NORMINV(RAND(),0,N$7)</f>
        <v>0.109227550707196</v>
      </c>
      <c r="O1665" s="53" t="n">
        <f aca="false">SUM(J1665:N1665)</f>
        <v>1.92714642067886</v>
      </c>
    </row>
    <row r="1666" customFormat="false" ht="15" hidden="false" customHeight="false" outlineLevel="0" collapsed="false">
      <c r="A1666" s="2" t="n">
        <v>1658</v>
      </c>
      <c r="B1666" s="53" t="n">
        <f aca="true">NORMINV(RAND(),0,B$7)</f>
        <v>1.92452008630517</v>
      </c>
      <c r="C1666" s="53" t="n">
        <f aca="true">NORMINV(RAND(),0,C$7)</f>
        <v>1.19007831464276</v>
      </c>
      <c r="D1666" s="53" t="n">
        <f aca="true">NORMINV(RAND(),0,D$7)</f>
        <v>2.07301145060201</v>
      </c>
      <c r="E1666" s="53" t="n">
        <f aca="true">NORMINV(RAND(),0,E$7)</f>
        <v>-0.0471863960070388</v>
      </c>
      <c r="F1666" s="53" t="n">
        <f aca="true">NORMINV(RAND(),0,F$7)</f>
        <v>0.259071765717042</v>
      </c>
      <c r="G1666" s="53" t="n">
        <f aca="true">NORMINV(RAND(),0,G$7)</f>
        <v>-2.17920037523824</v>
      </c>
      <c r="H1666" s="53" t="n">
        <f aca="true">NORMINV(RAND(),0,H$7)</f>
        <v>0.0653914773631874</v>
      </c>
      <c r="I1666" s="53" t="n">
        <f aca="false">SUM(B1666:H1666)</f>
        <v>3.28568632338489</v>
      </c>
      <c r="J1666" s="53" t="n">
        <f aca="true">NORMINV(RAND(),0,J$7)</f>
        <v>-2.16019398600906</v>
      </c>
      <c r="K1666" s="53" t="n">
        <f aca="true">NORMINV(RAND(),0,K$7)</f>
        <v>-0.545247746978831</v>
      </c>
      <c r="L1666" s="53" t="n">
        <f aca="true">NORMINV(RAND(),0,L$7)</f>
        <v>-0.607434924756405</v>
      </c>
      <c r="M1666" s="53" t="n">
        <f aca="true">NORMINV(RAND(),0,M$7)</f>
        <v>-0.0138494279828068</v>
      </c>
      <c r="N1666" s="53" t="n">
        <f aca="true">NORMINV(RAND(),0,N$7)</f>
        <v>-0.310405449273778</v>
      </c>
      <c r="O1666" s="53" t="n">
        <f aca="false">SUM(J1666:N1666)</f>
        <v>-3.63713153500088</v>
      </c>
    </row>
    <row r="1667" customFormat="false" ht="15" hidden="false" customHeight="false" outlineLevel="0" collapsed="false">
      <c r="A1667" s="2" t="n">
        <v>1659</v>
      </c>
      <c r="B1667" s="53" t="n">
        <f aca="true">NORMINV(RAND(),0,B$7)</f>
        <v>-1.40112973745147</v>
      </c>
      <c r="C1667" s="53" t="n">
        <f aca="true">NORMINV(RAND(),0,C$7)</f>
        <v>0.746979194536746</v>
      </c>
      <c r="D1667" s="53" t="n">
        <f aca="true">NORMINV(RAND(),0,D$7)</f>
        <v>-0.808367302478739</v>
      </c>
      <c r="E1667" s="53" t="n">
        <f aca="true">NORMINV(RAND(),0,E$7)</f>
        <v>-0.158198345944619</v>
      </c>
      <c r="F1667" s="53" t="n">
        <f aca="true">NORMINV(RAND(),0,F$7)</f>
        <v>0.428473365623752</v>
      </c>
      <c r="G1667" s="53" t="n">
        <f aca="true">NORMINV(RAND(),0,G$7)</f>
        <v>0.818875210935605</v>
      </c>
      <c r="H1667" s="53" t="n">
        <f aca="true">NORMINV(RAND(),0,H$7)</f>
        <v>0.42425083208363</v>
      </c>
      <c r="I1667" s="53" t="n">
        <f aca="false">SUM(B1667:H1667)</f>
        <v>0.0508832173048995</v>
      </c>
      <c r="J1667" s="53" t="n">
        <f aca="true">NORMINV(RAND(),0,J$7)</f>
        <v>0.430789460908968</v>
      </c>
      <c r="K1667" s="53" t="n">
        <f aca="true">NORMINV(RAND(),0,K$7)</f>
        <v>0.82804370280332</v>
      </c>
      <c r="L1667" s="53" t="n">
        <f aca="true">NORMINV(RAND(),0,L$7)</f>
        <v>-0.553987785087051</v>
      </c>
      <c r="M1667" s="53" t="n">
        <f aca="true">NORMINV(RAND(),0,M$7)</f>
        <v>0.26833738122372</v>
      </c>
      <c r="N1667" s="53" t="n">
        <f aca="true">NORMINV(RAND(),0,N$7)</f>
        <v>0.284944887569738</v>
      </c>
      <c r="O1667" s="53" t="n">
        <f aca="false">SUM(J1667:N1667)</f>
        <v>1.25812764741869</v>
      </c>
    </row>
    <row r="1668" customFormat="false" ht="15" hidden="false" customHeight="false" outlineLevel="0" collapsed="false">
      <c r="A1668" s="2" t="n">
        <v>1660</v>
      </c>
      <c r="B1668" s="53" t="n">
        <f aca="true">NORMINV(RAND(),0,B$7)</f>
        <v>1.35149305874097</v>
      </c>
      <c r="C1668" s="53" t="n">
        <f aca="true">NORMINV(RAND(),0,C$7)</f>
        <v>-0.753414672145865</v>
      </c>
      <c r="D1668" s="53" t="n">
        <f aca="true">NORMINV(RAND(),0,D$7)</f>
        <v>1.02121139294077</v>
      </c>
      <c r="E1668" s="53" t="n">
        <f aca="true">NORMINV(RAND(),0,E$7)</f>
        <v>-0.290503589408561</v>
      </c>
      <c r="F1668" s="53" t="n">
        <f aca="true">NORMINV(RAND(),0,F$7)</f>
        <v>-0.154076070680662</v>
      </c>
      <c r="G1668" s="53" t="n">
        <f aca="true">NORMINV(RAND(),0,G$7)</f>
        <v>0.274628915940945</v>
      </c>
      <c r="H1668" s="53" t="n">
        <f aca="true">NORMINV(RAND(),0,H$7)</f>
        <v>-0.233224831365153</v>
      </c>
      <c r="I1668" s="53" t="n">
        <f aca="false">SUM(B1668:H1668)</f>
        <v>1.21611420402244</v>
      </c>
      <c r="J1668" s="53" t="n">
        <f aca="true">NORMINV(RAND(),0,J$7)</f>
        <v>2.94862023986104</v>
      </c>
      <c r="K1668" s="53" t="n">
        <f aca="true">NORMINV(RAND(),0,K$7)</f>
        <v>-0.94875482344109</v>
      </c>
      <c r="L1668" s="53" t="n">
        <f aca="true">NORMINV(RAND(),0,L$7)</f>
        <v>-0.768791290744391</v>
      </c>
      <c r="M1668" s="53" t="n">
        <f aca="true">NORMINV(RAND(),0,M$7)</f>
        <v>-0.129980493550704</v>
      </c>
      <c r="N1668" s="53" t="n">
        <f aca="true">NORMINV(RAND(),0,N$7)</f>
        <v>0.169709618202722</v>
      </c>
      <c r="O1668" s="53" t="n">
        <f aca="false">SUM(J1668:N1668)</f>
        <v>1.27080325032757</v>
      </c>
    </row>
    <row r="1669" customFormat="false" ht="15" hidden="false" customHeight="false" outlineLevel="0" collapsed="false">
      <c r="A1669" s="2" t="n">
        <v>1661</v>
      </c>
      <c r="B1669" s="53" t="n">
        <f aca="true">NORMINV(RAND(),0,B$7)</f>
        <v>-1.67213006818522</v>
      </c>
      <c r="C1669" s="53" t="n">
        <f aca="true">NORMINV(RAND(),0,C$7)</f>
        <v>-0.923715312584708</v>
      </c>
      <c r="D1669" s="53" t="n">
        <f aca="true">NORMINV(RAND(),0,D$7)</f>
        <v>0.118741265677033</v>
      </c>
      <c r="E1669" s="53" t="n">
        <f aca="true">NORMINV(RAND(),0,E$7)</f>
        <v>-0.218207477733683</v>
      </c>
      <c r="F1669" s="53" t="n">
        <f aca="true">NORMINV(RAND(),0,F$7)</f>
        <v>-0.0414064632527184</v>
      </c>
      <c r="G1669" s="53" t="n">
        <f aca="true">NORMINV(RAND(),0,G$7)</f>
        <v>1.37080598316099</v>
      </c>
      <c r="H1669" s="53" t="n">
        <f aca="true">NORMINV(RAND(),0,H$7)</f>
        <v>0.0926524319024887</v>
      </c>
      <c r="I1669" s="53" t="n">
        <f aca="false">SUM(B1669:H1669)</f>
        <v>-1.27325964101582</v>
      </c>
      <c r="J1669" s="53" t="n">
        <f aca="true">NORMINV(RAND(),0,J$7)</f>
        <v>1.58770483070342</v>
      </c>
      <c r="K1669" s="53" t="n">
        <f aca="true">NORMINV(RAND(),0,K$7)</f>
        <v>1.20538893704489</v>
      </c>
      <c r="L1669" s="53" t="n">
        <f aca="true">NORMINV(RAND(),0,L$7)</f>
        <v>-0.216003371708134</v>
      </c>
      <c r="M1669" s="53" t="n">
        <f aca="true">NORMINV(RAND(),0,M$7)</f>
        <v>0.369694668840253</v>
      </c>
      <c r="N1669" s="53" t="n">
        <f aca="true">NORMINV(RAND(),0,N$7)</f>
        <v>-0.255289831574185</v>
      </c>
      <c r="O1669" s="53" t="n">
        <f aca="false">SUM(J1669:N1669)</f>
        <v>2.69149523330624</v>
      </c>
    </row>
    <row r="1670" customFormat="false" ht="15" hidden="false" customHeight="false" outlineLevel="0" collapsed="false">
      <c r="A1670" s="2" t="n">
        <v>1662</v>
      </c>
      <c r="B1670" s="53" t="n">
        <f aca="true">NORMINV(RAND(),0,B$7)</f>
        <v>-2.27211914737865</v>
      </c>
      <c r="C1670" s="53" t="n">
        <f aca="true">NORMINV(RAND(),0,C$7)</f>
        <v>0.174057086389276</v>
      </c>
      <c r="D1670" s="53" t="n">
        <f aca="true">NORMINV(RAND(),0,D$7)</f>
        <v>-0.33559695874339</v>
      </c>
      <c r="E1670" s="53" t="n">
        <f aca="true">NORMINV(RAND(),0,E$7)</f>
        <v>0.198612637098193</v>
      </c>
      <c r="F1670" s="53" t="n">
        <f aca="true">NORMINV(RAND(),0,F$7)</f>
        <v>-0.770062285646676</v>
      </c>
      <c r="G1670" s="53" t="n">
        <f aca="true">NORMINV(RAND(),0,G$7)</f>
        <v>0.969881651707738</v>
      </c>
      <c r="H1670" s="53" t="n">
        <f aca="true">NORMINV(RAND(),0,H$7)</f>
        <v>-0.794184259869628</v>
      </c>
      <c r="I1670" s="53" t="n">
        <f aca="false">SUM(B1670:H1670)</f>
        <v>-2.82941127644314</v>
      </c>
      <c r="J1670" s="53" t="n">
        <f aca="true">NORMINV(RAND(),0,J$7)</f>
        <v>-0.667309342061761</v>
      </c>
      <c r="K1670" s="53" t="n">
        <f aca="true">NORMINV(RAND(),0,K$7)</f>
        <v>0.89759513702031</v>
      </c>
      <c r="L1670" s="53" t="n">
        <f aca="true">NORMINV(RAND(),0,L$7)</f>
        <v>-0.164585981511346</v>
      </c>
      <c r="M1670" s="53" t="n">
        <f aca="true">NORMINV(RAND(),0,M$7)</f>
        <v>0.0078283409456143</v>
      </c>
      <c r="N1670" s="53" t="n">
        <f aca="true">NORMINV(RAND(),0,N$7)</f>
        <v>0.379062877440419</v>
      </c>
      <c r="O1670" s="53" t="n">
        <f aca="false">SUM(J1670:N1670)</f>
        <v>0.452591031833236</v>
      </c>
    </row>
    <row r="1671" customFormat="false" ht="15" hidden="false" customHeight="false" outlineLevel="0" collapsed="false">
      <c r="A1671" s="2" t="n">
        <v>1663</v>
      </c>
      <c r="B1671" s="53" t="n">
        <f aca="true">NORMINV(RAND(),0,B$7)</f>
        <v>-1.19962059177894</v>
      </c>
      <c r="C1671" s="53" t="n">
        <f aca="true">NORMINV(RAND(),0,C$7)</f>
        <v>3.59422560625733</v>
      </c>
      <c r="D1671" s="53" t="n">
        <f aca="true">NORMINV(RAND(),0,D$7)</f>
        <v>2.51679718500887</v>
      </c>
      <c r="E1671" s="53" t="n">
        <f aca="true">NORMINV(RAND(),0,E$7)</f>
        <v>-0.159530220759924</v>
      </c>
      <c r="F1671" s="53" t="n">
        <f aca="true">NORMINV(RAND(),0,F$7)</f>
        <v>-0.396660397903884</v>
      </c>
      <c r="G1671" s="53" t="n">
        <f aca="true">NORMINV(RAND(),0,G$7)</f>
        <v>1.37366582188107</v>
      </c>
      <c r="H1671" s="53" t="n">
        <f aca="true">NORMINV(RAND(),0,H$7)</f>
        <v>-0.282184652011356</v>
      </c>
      <c r="I1671" s="53" t="n">
        <f aca="false">SUM(B1671:H1671)</f>
        <v>5.44669275069317</v>
      </c>
      <c r="J1671" s="53" t="n">
        <f aca="true">NORMINV(RAND(),0,J$7)</f>
        <v>1.1537169365516</v>
      </c>
      <c r="K1671" s="53" t="n">
        <f aca="true">NORMINV(RAND(),0,K$7)</f>
        <v>0.178844165288437</v>
      </c>
      <c r="L1671" s="53" t="n">
        <f aca="true">NORMINV(RAND(),0,L$7)</f>
        <v>-0.74255469478698</v>
      </c>
      <c r="M1671" s="53" t="n">
        <f aca="true">NORMINV(RAND(),0,M$7)</f>
        <v>0.101111599840033</v>
      </c>
      <c r="N1671" s="53" t="n">
        <f aca="true">NORMINV(RAND(),0,N$7)</f>
        <v>-0.517464315470329</v>
      </c>
      <c r="O1671" s="53" t="n">
        <f aca="false">SUM(J1671:N1671)</f>
        <v>0.173653691422764</v>
      </c>
    </row>
    <row r="1672" customFormat="false" ht="15" hidden="false" customHeight="false" outlineLevel="0" collapsed="false">
      <c r="A1672" s="2" t="n">
        <v>1664</v>
      </c>
      <c r="B1672" s="53" t="n">
        <f aca="true">NORMINV(RAND(),0,B$7)</f>
        <v>-0.157895078375552</v>
      </c>
      <c r="C1672" s="53" t="n">
        <f aca="true">NORMINV(RAND(),0,C$7)</f>
        <v>1.08851109693039</v>
      </c>
      <c r="D1672" s="53" t="n">
        <f aca="true">NORMINV(RAND(),0,D$7)</f>
        <v>-1.72080270591509</v>
      </c>
      <c r="E1672" s="53" t="n">
        <f aca="true">NORMINV(RAND(),0,E$7)</f>
        <v>-0.109996865824987</v>
      </c>
      <c r="F1672" s="53" t="n">
        <f aca="true">NORMINV(RAND(),0,F$7)</f>
        <v>0.230401480486268</v>
      </c>
      <c r="G1672" s="53" t="n">
        <f aca="true">NORMINV(RAND(),0,G$7)</f>
        <v>-1.64702566001546</v>
      </c>
      <c r="H1672" s="53" t="n">
        <f aca="true">NORMINV(RAND(),0,H$7)</f>
        <v>0.933841612932512</v>
      </c>
      <c r="I1672" s="53" t="n">
        <f aca="false">SUM(B1672:H1672)</f>
        <v>-1.38296611978192</v>
      </c>
      <c r="J1672" s="53" t="n">
        <f aca="true">NORMINV(RAND(),0,J$7)</f>
        <v>3.42825186036609</v>
      </c>
      <c r="K1672" s="53" t="n">
        <f aca="true">NORMINV(RAND(),0,K$7)</f>
        <v>0.292601165987844</v>
      </c>
      <c r="L1672" s="53" t="n">
        <f aca="true">NORMINV(RAND(),0,L$7)</f>
        <v>-0.537055460488434</v>
      </c>
      <c r="M1672" s="53" t="n">
        <f aca="true">NORMINV(RAND(),0,M$7)</f>
        <v>-0.125360822122976</v>
      </c>
      <c r="N1672" s="53" t="n">
        <f aca="true">NORMINV(RAND(),0,N$7)</f>
        <v>-0.553205262990064</v>
      </c>
      <c r="O1672" s="53" t="n">
        <f aca="false">SUM(J1672:N1672)</f>
        <v>2.50523148075246</v>
      </c>
    </row>
    <row r="1673" customFormat="false" ht="15" hidden="false" customHeight="false" outlineLevel="0" collapsed="false">
      <c r="A1673" s="2" t="n">
        <v>1665</v>
      </c>
      <c r="B1673" s="53" t="n">
        <f aca="true">NORMINV(RAND(),0,B$7)</f>
        <v>0.319369226598606</v>
      </c>
      <c r="C1673" s="53" t="n">
        <f aca="true">NORMINV(RAND(),0,C$7)</f>
        <v>-0.0391708309006876</v>
      </c>
      <c r="D1673" s="53" t="n">
        <f aca="true">NORMINV(RAND(),0,D$7)</f>
        <v>0.0992386283342219</v>
      </c>
      <c r="E1673" s="53" t="n">
        <f aca="true">NORMINV(RAND(),0,E$7)</f>
        <v>0.250384415855715</v>
      </c>
      <c r="F1673" s="53" t="n">
        <f aca="true">NORMINV(RAND(),0,F$7)</f>
        <v>0.250088122492251</v>
      </c>
      <c r="G1673" s="53" t="n">
        <f aca="true">NORMINV(RAND(),0,G$7)</f>
        <v>0.713966647629505</v>
      </c>
      <c r="H1673" s="53" t="n">
        <f aca="true">NORMINV(RAND(),0,H$7)</f>
        <v>-0.14832175353253</v>
      </c>
      <c r="I1673" s="53" t="n">
        <f aca="false">SUM(B1673:H1673)</f>
        <v>1.44555445647708</v>
      </c>
      <c r="J1673" s="53" t="n">
        <f aca="true">NORMINV(RAND(),0,J$7)</f>
        <v>-1.18067411612816</v>
      </c>
      <c r="K1673" s="53" t="n">
        <f aca="true">NORMINV(RAND(),0,K$7)</f>
        <v>0.514837160019256</v>
      </c>
      <c r="L1673" s="53" t="n">
        <f aca="true">NORMINV(RAND(),0,L$7)</f>
        <v>0.00756784370953227</v>
      </c>
      <c r="M1673" s="53" t="n">
        <f aca="true">NORMINV(RAND(),0,M$7)</f>
        <v>-0.0509796741934184</v>
      </c>
      <c r="N1673" s="53" t="n">
        <f aca="true">NORMINV(RAND(),0,N$7)</f>
        <v>0.233579167126981</v>
      </c>
      <c r="O1673" s="53" t="n">
        <f aca="false">SUM(J1673:N1673)</f>
        <v>-0.47566961946581</v>
      </c>
    </row>
    <row r="1674" customFormat="false" ht="15" hidden="false" customHeight="false" outlineLevel="0" collapsed="false">
      <c r="A1674" s="2" t="n">
        <v>1666</v>
      </c>
      <c r="B1674" s="53" t="n">
        <f aca="true">NORMINV(RAND(),0,B$7)</f>
        <v>0.921026002130825</v>
      </c>
      <c r="C1674" s="53" t="n">
        <f aca="true">NORMINV(RAND(),0,C$7)</f>
        <v>0.785291836713344</v>
      </c>
      <c r="D1674" s="53" t="n">
        <f aca="true">NORMINV(RAND(),0,D$7)</f>
        <v>-0.623315914179792</v>
      </c>
      <c r="E1674" s="53" t="n">
        <f aca="true">NORMINV(RAND(),0,E$7)</f>
        <v>0.207029678758156</v>
      </c>
      <c r="F1674" s="53" t="n">
        <f aca="true">NORMINV(RAND(),0,F$7)</f>
        <v>-0.425987301118351</v>
      </c>
      <c r="G1674" s="53" t="n">
        <f aca="true">NORMINV(RAND(),0,G$7)</f>
        <v>2.36669161059261</v>
      </c>
      <c r="H1674" s="53" t="n">
        <f aca="true">NORMINV(RAND(),0,H$7)</f>
        <v>-0.743283213444859</v>
      </c>
      <c r="I1674" s="53" t="n">
        <f aca="false">SUM(B1674:H1674)</f>
        <v>2.48745269945193</v>
      </c>
      <c r="J1674" s="53" t="n">
        <f aca="true">NORMINV(RAND(),0,J$7)</f>
        <v>-3.07751691216385</v>
      </c>
      <c r="K1674" s="53" t="n">
        <f aca="true">NORMINV(RAND(),0,K$7)</f>
        <v>-0.529757315749109</v>
      </c>
      <c r="L1674" s="53" t="n">
        <f aca="true">NORMINV(RAND(),0,L$7)</f>
        <v>0.0607074477583424</v>
      </c>
      <c r="M1674" s="53" t="n">
        <f aca="true">NORMINV(RAND(),0,M$7)</f>
        <v>-0.550728771306961</v>
      </c>
      <c r="N1674" s="53" t="n">
        <f aca="true">NORMINV(RAND(),0,N$7)</f>
        <v>0.457422539299371</v>
      </c>
      <c r="O1674" s="53" t="n">
        <f aca="false">SUM(J1674:N1674)</f>
        <v>-3.63987301216221</v>
      </c>
    </row>
    <row r="1675" customFormat="false" ht="15" hidden="false" customHeight="false" outlineLevel="0" collapsed="false">
      <c r="A1675" s="2" t="n">
        <v>1667</v>
      </c>
      <c r="B1675" s="53" t="n">
        <f aca="true">NORMINV(RAND(),0,B$7)</f>
        <v>1.13818793171901</v>
      </c>
      <c r="C1675" s="53" t="n">
        <f aca="true">NORMINV(RAND(),0,C$7)</f>
        <v>0.325865299957971</v>
      </c>
      <c r="D1675" s="53" t="n">
        <f aca="true">NORMINV(RAND(),0,D$7)</f>
        <v>0.772541972917563</v>
      </c>
      <c r="E1675" s="53" t="n">
        <f aca="true">NORMINV(RAND(),0,E$7)</f>
        <v>-0.0461650202630984</v>
      </c>
      <c r="F1675" s="53" t="n">
        <f aca="true">NORMINV(RAND(),0,F$7)</f>
        <v>0.495974575661959</v>
      </c>
      <c r="G1675" s="53" t="n">
        <f aca="true">NORMINV(RAND(),0,G$7)</f>
        <v>1.86913023941643</v>
      </c>
      <c r="H1675" s="53" t="n">
        <f aca="true">NORMINV(RAND(),0,H$7)</f>
        <v>0.144191388904915</v>
      </c>
      <c r="I1675" s="53" t="n">
        <f aca="false">SUM(B1675:H1675)</f>
        <v>4.69972638831475</v>
      </c>
      <c r="J1675" s="53" t="n">
        <f aca="true">NORMINV(RAND(),0,J$7)</f>
        <v>0.666204527130009</v>
      </c>
      <c r="K1675" s="53" t="n">
        <f aca="true">NORMINV(RAND(),0,K$7)</f>
        <v>0.168961108160162</v>
      </c>
      <c r="L1675" s="53" t="n">
        <f aca="true">NORMINV(RAND(),0,L$7)</f>
        <v>-0.193736143260688</v>
      </c>
      <c r="M1675" s="53" t="n">
        <f aca="true">NORMINV(RAND(),0,M$7)</f>
        <v>-0.0390948820416977</v>
      </c>
      <c r="N1675" s="53" t="n">
        <f aca="true">NORMINV(RAND(),0,N$7)</f>
        <v>0.517726952092603</v>
      </c>
      <c r="O1675" s="53" t="n">
        <f aca="false">SUM(J1675:N1675)</f>
        <v>1.12006156208039</v>
      </c>
    </row>
    <row r="1676" customFormat="false" ht="15" hidden="false" customHeight="false" outlineLevel="0" collapsed="false">
      <c r="A1676" s="2" t="n">
        <v>1668</v>
      </c>
      <c r="B1676" s="53" t="n">
        <f aca="true">NORMINV(RAND(),0,B$7)</f>
        <v>-0.284586042920099</v>
      </c>
      <c r="C1676" s="53" t="n">
        <f aca="true">NORMINV(RAND(),0,C$7)</f>
        <v>-0.552387376990789</v>
      </c>
      <c r="D1676" s="53" t="n">
        <f aca="true">NORMINV(RAND(),0,D$7)</f>
        <v>2.23345120764987</v>
      </c>
      <c r="E1676" s="53" t="n">
        <f aca="true">NORMINV(RAND(),0,E$7)</f>
        <v>0.629191212438555</v>
      </c>
      <c r="F1676" s="53" t="n">
        <f aca="true">NORMINV(RAND(),0,F$7)</f>
        <v>0.193318207472636</v>
      </c>
      <c r="G1676" s="53" t="n">
        <f aca="true">NORMINV(RAND(),0,G$7)</f>
        <v>-0.513532068959371</v>
      </c>
      <c r="H1676" s="53" t="n">
        <f aca="true">NORMINV(RAND(),0,H$7)</f>
        <v>0.0203685523379271</v>
      </c>
      <c r="I1676" s="53" t="n">
        <f aca="false">SUM(B1676:H1676)</f>
        <v>1.72582369102872</v>
      </c>
      <c r="J1676" s="53" t="n">
        <f aca="true">NORMINV(RAND(),0,J$7)</f>
        <v>-1.49145330747418</v>
      </c>
      <c r="K1676" s="53" t="n">
        <f aca="true">NORMINV(RAND(),0,K$7)</f>
        <v>0.378791664343202</v>
      </c>
      <c r="L1676" s="53" t="n">
        <f aca="true">NORMINV(RAND(),0,L$7)</f>
        <v>-0.648252721002844</v>
      </c>
      <c r="M1676" s="53" t="n">
        <f aca="true">NORMINV(RAND(),0,M$7)</f>
        <v>-0.297737541787969</v>
      </c>
      <c r="N1676" s="53" t="n">
        <f aca="true">NORMINV(RAND(),0,N$7)</f>
        <v>-0.685590256843924</v>
      </c>
      <c r="O1676" s="53" t="n">
        <f aca="false">SUM(J1676:N1676)</f>
        <v>-2.74424216276571</v>
      </c>
    </row>
    <row r="1677" customFormat="false" ht="15" hidden="false" customHeight="false" outlineLevel="0" collapsed="false">
      <c r="A1677" s="2" t="n">
        <v>1669</v>
      </c>
      <c r="B1677" s="53" t="n">
        <f aca="true">NORMINV(RAND(),0,B$7)</f>
        <v>0.218950517771215</v>
      </c>
      <c r="C1677" s="53" t="n">
        <f aca="true">NORMINV(RAND(),0,C$7)</f>
        <v>0.568646371315457</v>
      </c>
      <c r="D1677" s="53" t="n">
        <f aca="true">NORMINV(RAND(),0,D$7)</f>
        <v>2.21227725480867</v>
      </c>
      <c r="E1677" s="53" t="n">
        <f aca="true">NORMINV(RAND(),0,E$7)</f>
        <v>0.0875554138830154</v>
      </c>
      <c r="F1677" s="53" t="n">
        <f aca="true">NORMINV(RAND(),0,F$7)</f>
        <v>-0.0404592415421449</v>
      </c>
      <c r="G1677" s="53" t="n">
        <f aca="true">NORMINV(RAND(),0,G$7)</f>
        <v>-0.449038185855414</v>
      </c>
      <c r="H1677" s="53" t="n">
        <f aca="true">NORMINV(RAND(),0,H$7)</f>
        <v>0.081220588152818</v>
      </c>
      <c r="I1677" s="53" t="n">
        <f aca="false">SUM(B1677:H1677)</f>
        <v>2.67915271853361</v>
      </c>
      <c r="J1677" s="53" t="n">
        <f aca="true">NORMINV(RAND(),0,J$7)</f>
        <v>0.639650934170757</v>
      </c>
      <c r="K1677" s="53" t="n">
        <f aca="true">NORMINV(RAND(),0,K$7)</f>
        <v>0.210460531385732</v>
      </c>
      <c r="L1677" s="53" t="n">
        <f aca="true">NORMINV(RAND(),0,L$7)</f>
        <v>-0.190417525791223</v>
      </c>
      <c r="M1677" s="53" t="n">
        <f aca="true">NORMINV(RAND(),0,M$7)</f>
        <v>-0.314996524918779</v>
      </c>
      <c r="N1677" s="53" t="n">
        <f aca="true">NORMINV(RAND(),0,N$7)</f>
        <v>-0.0293839041716288</v>
      </c>
      <c r="O1677" s="53" t="n">
        <f aca="false">SUM(J1677:N1677)</f>
        <v>0.315313510674858</v>
      </c>
    </row>
    <row r="1678" customFormat="false" ht="15" hidden="false" customHeight="false" outlineLevel="0" collapsed="false">
      <c r="A1678" s="2" t="n">
        <v>1670</v>
      </c>
      <c r="B1678" s="53" t="n">
        <f aca="true">NORMINV(RAND(),0,B$7)</f>
        <v>2.5897622757549</v>
      </c>
      <c r="C1678" s="53" t="n">
        <f aca="true">NORMINV(RAND(),0,C$7)</f>
        <v>2.05189310469247</v>
      </c>
      <c r="D1678" s="53" t="n">
        <f aca="true">NORMINV(RAND(),0,D$7)</f>
        <v>3.1835961592702</v>
      </c>
      <c r="E1678" s="53" t="n">
        <f aca="true">NORMINV(RAND(),0,E$7)</f>
        <v>-0.347747433683452</v>
      </c>
      <c r="F1678" s="53" t="n">
        <f aca="true">NORMINV(RAND(),0,F$7)</f>
        <v>-0.378626842723245</v>
      </c>
      <c r="G1678" s="53" t="n">
        <f aca="true">NORMINV(RAND(),0,G$7)</f>
        <v>1.83653519380869</v>
      </c>
      <c r="H1678" s="53" t="n">
        <f aca="true">NORMINV(RAND(),0,H$7)</f>
        <v>0.367244892646611</v>
      </c>
      <c r="I1678" s="53" t="n">
        <f aca="false">SUM(B1678:H1678)</f>
        <v>9.30265734976618</v>
      </c>
      <c r="J1678" s="53" t="n">
        <f aca="true">NORMINV(RAND(),0,J$7)</f>
        <v>-0.876222413161667</v>
      </c>
      <c r="K1678" s="53" t="n">
        <f aca="true">NORMINV(RAND(),0,K$7)</f>
        <v>0.505395513699329</v>
      </c>
      <c r="L1678" s="53" t="n">
        <f aca="true">NORMINV(RAND(),0,L$7)</f>
        <v>-0.353549584318994</v>
      </c>
      <c r="M1678" s="53" t="n">
        <f aca="true">NORMINV(RAND(),0,M$7)</f>
        <v>-0.400153775036132</v>
      </c>
      <c r="N1678" s="53" t="n">
        <f aca="true">NORMINV(RAND(),0,N$7)</f>
        <v>-0.0758538503361012</v>
      </c>
      <c r="O1678" s="53" t="n">
        <f aca="false">SUM(J1678:N1678)</f>
        <v>-1.20038410915356</v>
      </c>
    </row>
    <row r="1679" customFormat="false" ht="15" hidden="false" customHeight="false" outlineLevel="0" collapsed="false">
      <c r="A1679" s="2" t="n">
        <v>1671</v>
      </c>
      <c r="B1679" s="53" t="n">
        <f aca="true">NORMINV(RAND(),0,B$7)</f>
        <v>-2.46263222168336</v>
      </c>
      <c r="C1679" s="53" t="n">
        <f aca="true">NORMINV(RAND(),0,C$7)</f>
        <v>1.6883783031746</v>
      </c>
      <c r="D1679" s="53" t="n">
        <f aca="true">NORMINV(RAND(),0,D$7)</f>
        <v>3.05570799737287</v>
      </c>
      <c r="E1679" s="53" t="n">
        <f aca="true">NORMINV(RAND(),0,E$7)</f>
        <v>0.165649020179313</v>
      </c>
      <c r="F1679" s="53" t="n">
        <f aca="true">NORMINV(RAND(),0,F$7)</f>
        <v>0.211356611358511</v>
      </c>
      <c r="G1679" s="53" t="n">
        <f aca="true">NORMINV(RAND(),0,G$7)</f>
        <v>-0.567790514883529</v>
      </c>
      <c r="H1679" s="53" t="n">
        <f aca="true">NORMINV(RAND(),0,H$7)</f>
        <v>-0.231717044916413</v>
      </c>
      <c r="I1679" s="53" t="n">
        <f aca="false">SUM(B1679:H1679)</f>
        <v>1.858952150602</v>
      </c>
      <c r="J1679" s="53" t="n">
        <f aca="true">NORMINV(RAND(),0,J$7)</f>
        <v>-1.82481254886345</v>
      </c>
      <c r="K1679" s="53" t="n">
        <f aca="true">NORMINV(RAND(),0,K$7)</f>
        <v>-0.0644624823370086</v>
      </c>
      <c r="L1679" s="53" t="n">
        <f aca="true">NORMINV(RAND(),0,L$7)</f>
        <v>0.471310645603691</v>
      </c>
      <c r="M1679" s="53" t="n">
        <f aca="true">NORMINV(RAND(),0,M$7)</f>
        <v>0.0949518529242267</v>
      </c>
      <c r="N1679" s="53" t="n">
        <f aca="true">NORMINV(RAND(),0,N$7)</f>
        <v>0.229020156310101</v>
      </c>
      <c r="O1679" s="53" t="n">
        <f aca="false">SUM(J1679:N1679)</f>
        <v>-1.09399237636244</v>
      </c>
    </row>
    <row r="1680" customFormat="false" ht="15" hidden="false" customHeight="false" outlineLevel="0" collapsed="false">
      <c r="A1680" s="2" t="n">
        <v>1672</v>
      </c>
      <c r="B1680" s="53" t="n">
        <f aca="true">NORMINV(RAND(),0,B$7)</f>
        <v>0.455951103882056</v>
      </c>
      <c r="C1680" s="53" t="n">
        <f aca="true">NORMINV(RAND(),0,C$7)</f>
        <v>1.89438016726744</v>
      </c>
      <c r="D1680" s="53" t="n">
        <f aca="true">NORMINV(RAND(),0,D$7)</f>
        <v>-2.37890082044074</v>
      </c>
      <c r="E1680" s="53" t="n">
        <f aca="true">NORMINV(RAND(),0,E$7)</f>
        <v>-0.685211274847535</v>
      </c>
      <c r="F1680" s="53" t="n">
        <f aca="true">NORMINV(RAND(),0,F$7)</f>
        <v>-0.399093963842266</v>
      </c>
      <c r="G1680" s="53" t="n">
        <f aca="true">NORMINV(RAND(),0,G$7)</f>
        <v>-1.62731913075885</v>
      </c>
      <c r="H1680" s="53" t="n">
        <f aca="true">NORMINV(RAND(),0,H$7)</f>
        <v>0.0682228238429675</v>
      </c>
      <c r="I1680" s="53" t="n">
        <f aca="false">SUM(B1680:H1680)</f>
        <v>-2.67197109489692</v>
      </c>
      <c r="J1680" s="53" t="n">
        <f aca="true">NORMINV(RAND(),0,J$7)</f>
        <v>-0.647292613079472</v>
      </c>
      <c r="K1680" s="53" t="n">
        <f aca="true">NORMINV(RAND(),0,K$7)</f>
        <v>-0.296095513786714</v>
      </c>
      <c r="L1680" s="53" t="n">
        <f aca="true">NORMINV(RAND(),0,L$7)</f>
        <v>-0.470818681818035</v>
      </c>
      <c r="M1680" s="53" t="n">
        <f aca="true">NORMINV(RAND(),0,M$7)</f>
        <v>0.0286486143505316</v>
      </c>
      <c r="N1680" s="53" t="n">
        <f aca="true">NORMINV(RAND(),0,N$7)</f>
        <v>-0.29147324719795</v>
      </c>
      <c r="O1680" s="53" t="n">
        <f aca="false">SUM(J1680:N1680)</f>
        <v>-1.67703144153164</v>
      </c>
    </row>
    <row r="1681" customFormat="false" ht="15" hidden="false" customHeight="false" outlineLevel="0" collapsed="false">
      <c r="A1681" s="2" t="n">
        <v>1673</v>
      </c>
      <c r="B1681" s="53" t="n">
        <f aca="true">NORMINV(RAND(),0,B$7)</f>
        <v>1.24349798755459</v>
      </c>
      <c r="C1681" s="53" t="n">
        <f aca="true">NORMINV(RAND(),0,C$7)</f>
        <v>-1.41786142303658</v>
      </c>
      <c r="D1681" s="53" t="n">
        <f aca="true">NORMINV(RAND(),0,D$7)</f>
        <v>-3.45967092228734</v>
      </c>
      <c r="E1681" s="53" t="n">
        <f aca="true">NORMINV(RAND(),0,E$7)</f>
        <v>0.119560085789484</v>
      </c>
      <c r="F1681" s="53" t="n">
        <f aca="true">NORMINV(RAND(),0,F$7)</f>
        <v>0.150489261155424</v>
      </c>
      <c r="G1681" s="53" t="n">
        <f aca="true">NORMINV(RAND(),0,G$7)</f>
        <v>-1.33847822347021</v>
      </c>
      <c r="H1681" s="53" t="n">
        <f aca="true">NORMINV(RAND(),0,H$7)</f>
        <v>0.826639987383988</v>
      </c>
      <c r="I1681" s="53" t="n">
        <f aca="false">SUM(B1681:H1681)</f>
        <v>-3.87582324691065</v>
      </c>
      <c r="J1681" s="53" t="n">
        <f aca="true">NORMINV(RAND(),0,J$7)</f>
        <v>-0.588031736854078</v>
      </c>
      <c r="K1681" s="53" t="n">
        <f aca="true">NORMINV(RAND(),0,K$7)</f>
        <v>0.182432605419787</v>
      </c>
      <c r="L1681" s="53" t="n">
        <f aca="true">NORMINV(RAND(),0,L$7)</f>
        <v>-0.0129598249741338</v>
      </c>
      <c r="M1681" s="53" t="n">
        <f aca="true">NORMINV(RAND(),0,M$7)</f>
        <v>-0.241395246905953</v>
      </c>
      <c r="N1681" s="53" t="n">
        <f aca="true">NORMINV(RAND(),0,N$7)</f>
        <v>0.601059062333805</v>
      </c>
      <c r="O1681" s="53" t="n">
        <f aca="false">SUM(J1681:N1681)</f>
        <v>-0.0588951409805725</v>
      </c>
    </row>
    <row r="1682" customFormat="false" ht="15" hidden="false" customHeight="false" outlineLevel="0" collapsed="false">
      <c r="A1682" s="2" t="n">
        <v>1674</v>
      </c>
      <c r="B1682" s="53" t="n">
        <f aca="true">NORMINV(RAND(),0,B$7)</f>
        <v>1.38638669107311</v>
      </c>
      <c r="C1682" s="53" t="n">
        <f aca="true">NORMINV(RAND(),0,C$7)</f>
        <v>-2.73359460161769</v>
      </c>
      <c r="D1682" s="53" t="n">
        <f aca="true">NORMINV(RAND(),0,D$7)</f>
        <v>-2.36890323983014</v>
      </c>
      <c r="E1682" s="53" t="n">
        <f aca="true">NORMINV(RAND(),0,E$7)</f>
        <v>0.0471459148887423</v>
      </c>
      <c r="F1682" s="53" t="n">
        <f aca="true">NORMINV(RAND(),0,F$7)</f>
        <v>-0.0837852631925765</v>
      </c>
      <c r="G1682" s="53" t="n">
        <f aca="true">NORMINV(RAND(),0,G$7)</f>
        <v>1.83610674194709</v>
      </c>
      <c r="H1682" s="53" t="n">
        <f aca="true">NORMINV(RAND(),0,H$7)</f>
        <v>0.38779910908329</v>
      </c>
      <c r="I1682" s="53" t="n">
        <f aca="false">SUM(B1682:H1682)</f>
        <v>-1.52884464764817</v>
      </c>
      <c r="J1682" s="53" t="n">
        <f aca="true">NORMINV(RAND(),0,J$7)</f>
        <v>0.993125107366043</v>
      </c>
      <c r="K1682" s="53" t="n">
        <f aca="true">NORMINV(RAND(),0,K$7)</f>
        <v>-0.0603310330679101</v>
      </c>
      <c r="L1682" s="53" t="n">
        <f aca="true">NORMINV(RAND(),0,L$7)</f>
        <v>-0.429459207449913</v>
      </c>
      <c r="M1682" s="53" t="n">
        <f aca="true">NORMINV(RAND(),0,M$7)</f>
        <v>-0.119348523981835</v>
      </c>
      <c r="N1682" s="53" t="n">
        <f aca="true">NORMINV(RAND(),0,N$7)</f>
        <v>0.262025331405539</v>
      </c>
      <c r="O1682" s="53" t="n">
        <f aca="false">SUM(J1682:N1682)</f>
        <v>0.646011674271923</v>
      </c>
    </row>
    <row r="1683" customFormat="false" ht="15" hidden="false" customHeight="false" outlineLevel="0" collapsed="false">
      <c r="A1683" s="2" t="n">
        <v>1675</v>
      </c>
      <c r="B1683" s="53" t="n">
        <f aca="true">NORMINV(RAND(),0,B$7)</f>
        <v>1.32528012408004</v>
      </c>
      <c r="C1683" s="53" t="n">
        <f aca="true">NORMINV(RAND(),0,C$7)</f>
        <v>0.253958715921669</v>
      </c>
      <c r="D1683" s="53" t="n">
        <f aca="true">NORMINV(RAND(),0,D$7)</f>
        <v>2.43768780512508</v>
      </c>
      <c r="E1683" s="53" t="n">
        <f aca="true">NORMINV(RAND(),0,E$7)</f>
        <v>-0.00852805782386732</v>
      </c>
      <c r="F1683" s="53" t="n">
        <f aca="true">NORMINV(RAND(),0,F$7)</f>
        <v>0.556602327154437</v>
      </c>
      <c r="G1683" s="53" t="n">
        <f aca="true">NORMINV(RAND(),0,G$7)</f>
        <v>-1.81678644034965</v>
      </c>
      <c r="H1683" s="53" t="n">
        <f aca="true">NORMINV(RAND(),0,H$7)</f>
        <v>-0.368778079601261</v>
      </c>
      <c r="I1683" s="53" t="n">
        <f aca="false">SUM(B1683:H1683)</f>
        <v>2.37943639450644</v>
      </c>
      <c r="J1683" s="53" t="n">
        <f aca="true">NORMINV(RAND(),0,J$7)</f>
        <v>1.63200577424023</v>
      </c>
      <c r="K1683" s="53" t="n">
        <f aca="true">NORMINV(RAND(),0,K$7)</f>
        <v>0.618638781873219</v>
      </c>
      <c r="L1683" s="53" t="n">
        <f aca="true">NORMINV(RAND(),0,L$7)</f>
        <v>-0.356899238019974</v>
      </c>
      <c r="M1683" s="53" t="n">
        <f aca="true">NORMINV(RAND(),0,M$7)</f>
        <v>-0.222545350385358</v>
      </c>
      <c r="N1683" s="53" t="n">
        <f aca="true">NORMINV(RAND(),0,N$7)</f>
        <v>0.206458553731038</v>
      </c>
      <c r="O1683" s="53" t="n">
        <f aca="false">SUM(J1683:N1683)</f>
        <v>1.87765852143916</v>
      </c>
    </row>
    <row r="1684" customFormat="false" ht="15" hidden="false" customHeight="false" outlineLevel="0" collapsed="false">
      <c r="A1684" s="2" t="n">
        <v>1676</v>
      </c>
      <c r="B1684" s="53" t="n">
        <f aca="true">NORMINV(RAND(),0,B$7)</f>
        <v>0.338597202525142</v>
      </c>
      <c r="C1684" s="53" t="n">
        <f aca="true">NORMINV(RAND(),0,C$7)</f>
        <v>-0.586303959685242</v>
      </c>
      <c r="D1684" s="53" t="n">
        <f aca="true">NORMINV(RAND(),0,D$7)</f>
        <v>2.57944399939056</v>
      </c>
      <c r="E1684" s="53" t="n">
        <f aca="true">NORMINV(RAND(),0,E$7)</f>
        <v>0.262721023758618</v>
      </c>
      <c r="F1684" s="53" t="n">
        <f aca="true">NORMINV(RAND(),0,F$7)</f>
        <v>0.243522493087668</v>
      </c>
      <c r="G1684" s="53" t="n">
        <f aca="true">NORMINV(RAND(),0,G$7)</f>
        <v>-1.34841110666156</v>
      </c>
      <c r="H1684" s="53" t="n">
        <f aca="true">NORMINV(RAND(),0,H$7)</f>
        <v>-0.0386553116504406</v>
      </c>
      <c r="I1684" s="53" t="n">
        <f aca="false">SUM(B1684:H1684)</f>
        <v>1.45091434076475</v>
      </c>
      <c r="J1684" s="53" t="n">
        <f aca="true">NORMINV(RAND(),0,J$7)</f>
        <v>-1.8152179876504</v>
      </c>
      <c r="K1684" s="53" t="n">
        <f aca="true">NORMINV(RAND(),0,K$7)</f>
        <v>-0.363413230962913</v>
      </c>
      <c r="L1684" s="53" t="n">
        <f aca="true">NORMINV(RAND(),0,L$7)</f>
        <v>-0.296114767791462</v>
      </c>
      <c r="M1684" s="53" t="n">
        <f aca="true">NORMINV(RAND(),0,M$7)</f>
        <v>0.096412299714306</v>
      </c>
      <c r="N1684" s="53" t="n">
        <f aca="true">NORMINV(RAND(),0,N$7)</f>
        <v>-0.171915422933729</v>
      </c>
      <c r="O1684" s="53" t="n">
        <f aca="false">SUM(J1684:N1684)</f>
        <v>-2.55024910962419</v>
      </c>
    </row>
    <row r="1685" customFormat="false" ht="15" hidden="false" customHeight="false" outlineLevel="0" collapsed="false">
      <c r="A1685" s="2" t="n">
        <v>1677</v>
      </c>
      <c r="B1685" s="53" t="n">
        <f aca="true">NORMINV(RAND(),0,B$7)</f>
        <v>-1.81807111170512</v>
      </c>
      <c r="C1685" s="53" t="n">
        <f aca="true">NORMINV(RAND(),0,C$7)</f>
        <v>-1.83133539215334</v>
      </c>
      <c r="D1685" s="53" t="n">
        <f aca="true">NORMINV(RAND(),0,D$7)</f>
        <v>1.37100705161098</v>
      </c>
      <c r="E1685" s="53" t="n">
        <f aca="true">NORMINV(RAND(),0,E$7)</f>
        <v>0.115626529693465</v>
      </c>
      <c r="F1685" s="53" t="n">
        <f aca="true">NORMINV(RAND(),0,F$7)</f>
        <v>-0.0902525663176873</v>
      </c>
      <c r="G1685" s="53" t="n">
        <f aca="true">NORMINV(RAND(),0,G$7)</f>
        <v>0.261211535155842</v>
      </c>
      <c r="H1685" s="53" t="n">
        <f aca="true">NORMINV(RAND(),0,H$7)</f>
        <v>0.151482205532887</v>
      </c>
      <c r="I1685" s="53" t="n">
        <f aca="false">SUM(B1685:H1685)</f>
        <v>-1.84033174818298</v>
      </c>
      <c r="J1685" s="53" t="n">
        <f aca="true">NORMINV(RAND(),0,J$7)</f>
        <v>-2.17151237926519</v>
      </c>
      <c r="K1685" s="53" t="n">
        <f aca="true">NORMINV(RAND(),0,K$7)</f>
        <v>-0.301823439162843</v>
      </c>
      <c r="L1685" s="53" t="n">
        <f aca="true">NORMINV(RAND(),0,L$7)</f>
        <v>-0.065549065144785</v>
      </c>
      <c r="M1685" s="53" t="n">
        <f aca="true">NORMINV(RAND(),0,M$7)</f>
        <v>0.0357993944200283</v>
      </c>
      <c r="N1685" s="53" t="n">
        <f aca="true">NORMINV(RAND(),0,N$7)</f>
        <v>0.240483450578853</v>
      </c>
      <c r="O1685" s="53" t="n">
        <f aca="false">SUM(J1685:N1685)</f>
        <v>-2.26260203857394</v>
      </c>
    </row>
    <row r="1686" customFormat="false" ht="15" hidden="false" customHeight="false" outlineLevel="0" collapsed="false">
      <c r="A1686" s="2" t="n">
        <v>1678</v>
      </c>
      <c r="B1686" s="53" t="n">
        <f aca="true">NORMINV(RAND(),0,B$7)</f>
        <v>-0.495311226276276</v>
      </c>
      <c r="C1686" s="53" t="n">
        <f aca="true">NORMINV(RAND(),0,C$7)</f>
        <v>-0.364612158224685</v>
      </c>
      <c r="D1686" s="53" t="n">
        <f aca="true">NORMINV(RAND(),0,D$7)</f>
        <v>-0.590934224451527</v>
      </c>
      <c r="E1686" s="53" t="n">
        <f aca="true">NORMINV(RAND(),0,E$7)</f>
        <v>-0.152869297271945</v>
      </c>
      <c r="F1686" s="53" t="n">
        <f aca="true">NORMINV(RAND(),0,F$7)</f>
        <v>-0.201074679688263</v>
      </c>
      <c r="G1686" s="53" t="n">
        <f aca="true">NORMINV(RAND(),0,G$7)</f>
        <v>1.55791704817796</v>
      </c>
      <c r="H1686" s="53" t="n">
        <f aca="true">NORMINV(RAND(),0,H$7)</f>
        <v>0.104231872069095</v>
      </c>
      <c r="I1686" s="53" t="n">
        <f aca="false">SUM(B1686:H1686)</f>
        <v>-0.14265266566564</v>
      </c>
      <c r="J1686" s="53" t="n">
        <f aca="true">NORMINV(RAND(),0,J$7)</f>
        <v>0.608671885705019</v>
      </c>
      <c r="K1686" s="53" t="n">
        <f aca="true">NORMINV(RAND(),0,K$7)</f>
        <v>-0.484388762822403</v>
      </c>
      <c r="L1686" s="53" t="n">
        <f aca="true">NORMINV(RAND(),0,L$7)</f>
        <v>0.304645792062177</v>
      </c>
      <c r="M1686" s="53" t="n">
        <f aca="true">NORMINV(RAND(),0,M$7)</f>
        <v>0.0910498211401112</v>
      </c>
      <c r="N1686" s="53" t="n">
        <f aca="true">NORMINV(RAND(),0,N$7)</f>
        <v>-0.0602669573469793</v>
      </c>
      <c r="O1686" s="53" t="n">
        <f aca="false">SUM(J1686:N1686)</f>
        <v>0.459711778737924</v>
      </c>
    </row>
    <row r="1687" customFormat="false" ht="15" hidden="false" customHeight="false" outlineLevel="0" collapsed="false">
      <c r="A1687" s="2" t="n">
        <v>1679</v>
      </c>
      <c r="B1687" s="53" t="n">
        <f aca="true">NORMINV(RAND(),0,B$7)</f>
        <v>-2.71842712071625</v>
      </c>
      <c r="C1687" s="53" t="n">
        <f aca="true">NORMINV(RAND(),0,C$7)</f>
        <v>1.32590324710545</v>
      </c>
      <c r="D1687" s="53" t="n">
        <f aca="true">NORMINV(RAND(),0,D$7)</f>
        <v>-3.75110856660589</v>
      </c>
      <c r="E1687" s="53" t="n">
        <f aca="true">NORMINV(RAND(),0,E$7)</f>
        <v>-0.395693907905544</v>
      </c>
      <c r="F1687" s="53" t="n">
        <f aca="true">NORMINV(RAND(),0,F$7)</f>
        <v>-0.139157858350353</v>
      </c>
      <c r="G1687" s="53" t="n">
        <f aca="true">NORMINV(RAND(),0,G$7)</f>
        <v>-1.1568551491464</v>
      </c>
      <c r="H1687" s="53" t="n">
        <f aca="true">NORMINV(RAND(),0,H$7)</f>
        <v>0.277053393935354</v>
      </c>
      <c r="I1687" s="53" t="n">
        <f aca="false">SUM(B1687:H1687)</f>
        <v>-6.55828596168364</v>
      </c>
      <c r="J1687" s="53" t="n">
        <f aca="true">NORMINV(RAND(),0,J$7)</f>
        <v>0.193959856244313</v>
      </c>
      <c r="K1687" s="53" t="n">
        <f aca="true">NORMINV(RAND(),0,K$7)</f>
        <v>1.43996063903253</v>
      </c>
      <c r="L1687" s="53" t="n">
        <f aca="true">NORMINV(RAND(),0,L$7)</f>
        <v>0.180318113508471</v>
      </c>
      <c r="M1687" s="53" t="n">
        <f aca="true">NORMINV(RAND(),0,M$7)</f>
        <v>-0.103881306475589</v>
      </c>
      <c r="N1687" s="53" t="n">
        <f aca="true">NORMINV(RAND(),0,N$7)</f>
        <v>0.363748953883538</v>
      </c>
      <c r="O1687" s="53" t="n">
        <f aca="false">SUM(J1687:N1687)</f>
        <v>2.07410625619327</v>
      </c>
    </row>
    <row r="1688" customFormat="false" ht="15" hidden="false" customHeight="false" outlineLevel="0" collapsed="false">
      <c r="A1688" s="2" t="n">
        <v>1680</v>
      </c>
      <c r="B1688" s="53" t="n">
        <f aca="true">NORMINV(RAND(),0,B$7)</f>
        <v>2.32428691434861</v>
      </c>
      <c r="C1688" s="53" t="n">
        <f aca="true">NORMINV(RAND(),0,C$7)</f>
        <v>0.152882761364294</v>
      </c>
      <c r="D1688" s="53" t="n">
        <f aca="true">NORMINV(RAND(),0,D$7)</f>
        <v>-2.77189059571389</v>
      </c>
      <c r="E1688" s="53" t="n">
        <f aca="true">NORMINV(RAND(),0,E$7)</f>
        <v>-0.0208523764807608</v>
      </c>
      <c r="F1688" s="53" t="n">
        <f aca="true">NORMINV(RAND(),0,F$7)</f>
        <v>0.260758143553924</v>
      </c>
      <c r="G1688" s="53" t="n">
        <f aca="true">NORMINV(RAND(),0,G$7)</f>
        <v>-0.778292083225124</v>
      </c>
      <c r="H1688" s="53" t="n">
        <f aca="true">NORMINV(RAND(),0,H$7)</f>
        <v>-0.481226127731818</v>
      </c>
      <c r="I1688" s="53" t="n">
        <f aca="false">SUM(B1688:H1688)</f>
        <v>-1.31433336388477</v>
      </c>
      <c r="J1688" s="53" t="n">
        <f aca="true">NORMINV(RAND(),0,J$7)</f>
        <v>2.23595315973457</v>
      </c>
      <c r="K1688" s="53" t="n">
        <f aca="true">NORMINV(RAND(),0,K$7)</f>
        <v>0.936098990196726</v>
      </c>
      <c r="L1688" s="53" t="n">
        <f aca="true">NORMINV(RAND(),0,L$7)</f>
        <v>-0.187269544978771</v>
      </c>
      <c r="M1688" s="53" t="n">
        <f aca="true">NORMINV(RAND(),0,M$7)</f>
        <v>-0.270300430167687</v>
      </c>
      <c r="N1688" s="53" t="n">
        <f aca="true">NORMINV(RAND(),0,N$7)</f>
        <v>0.437205123615569</v>
      </c>
      <c r="O1688" s="53" t="n">
        <f aca="false">SUM(J1688:N1688)</f>
        <v>3.15168729840041</v>
      </c>
    </row>
    <row r="1689" customFormat="false" ht="15" hidden="false" customHeight="false" outlineLevel="0" collapsed="false">
      <c r="A1689" s="2" t="n">
        <v>1681</v>
      </c>
      <c r="B1689" s="53" t="n">
        <f aca="true">NORMINV(RAND(),0,B$7)</f>
        <v>-0.622127577924146</v>
      </c>
      <c r="C1689" s="53" t="n">
        <f aca="true">NORMINV(RAND(),0,C$7)</f>
        <v>0.291887772446345</v>
      </c>
      <c r="D1689" s="53" t="n">
        <f aca="true">NORMINV(RAND(),0,D$7)</f>
        <v>0.173739148591321</v>
      </c>
      <c r="E1689" s="53" t="n">
        <f aca="true">NORMINV(RAND(),0,E$7)</f>
        <v>-0.349214715500827</v>
      </c>
      <c r="F1689" s="53" t="n">
        <f aca="true">NORMINV(RAND(),0,F$7)</f>
        <v>0.451087709608345</v>
      </c>
      <c r="G1689" s="53" t="n">
        <f aca="true">NORMINV(RAND(),0,G$7)</f>
        <v>0.548820946837145</v>
      </c>
      <c r="H1689" s="53" t="n">
        <f aca="true">NORMINV(RAND(),0,H$7)</f>
        <v>-0.139685332473247</v>
      </c>
      <c r="I1689" s="53" t="n">
        <f aca="false">SUM(B1689:H1689)</f>
        <v>0.354507951584937</v>
      </c>
      <c r="J1689" s="53" t="n">
        <f aca="true">NORMINV(RAND(),0,J$7)</f>
        <v>1.52684791587084</v>
      </c>
      <c r="K1689" s="53" t="n">
        <f aca="true">NORMINV(RAND(),0,K$7)</f>
        <v>-0.905922584359361</v>
      </c>
      <c r="L1689" s="53" t="n">
        <f aca="true">NORMINV(RAND(),0,L$7)</f>
        <v>0.560114906126912</v>
      </c>
      <c r="M1689" s="53" t="n">
        <f aca="true">NORMINV(RAND(),0,M$7)</f>
        <v>-0.328579590278867</v>
      </c>
      <c r="N1689" s="53" t="n">
        <f aca="true">NORMINV(RAND(),0,N$7)</f>
        <v>-0.193950222187045</v>
      </c>
      <c r="O1689" s="53" t="n">
        <f aca="false">SUM(J1689:N1689)</f>
        <v>0.658510425172484</v>
      </c>
    </row>
    <row r="1690" customFormat="false" ht="15" hidden="false" customHeight="false" outlineLevel="0" collapsed="false">
      <c r="A1690" s="2" t="n">
        <v>1682</v>
      </c>
      <c r="B1690" s="53" t="n">
        <f aca="true">NORMINV(RAND(),0,B$7)</f>
        <v>1.48198927452147</v>
      </c>
      <c r="C1690" s="53" t="n">
        <f aca="true">NORMINV(RAND(),0,C$7)</f>
        <v>0.223344102231403</v>
      </c>
      <c r="D1690" s="53" t="n">
        <f aca="true">NORMINV(RAND(),0,D$7)</f>
        <v>-0.412603357634826</v>
      </c>
      <c r="E1690" s="53" t="n">
        <f aca="true">NORMINV(RAND(),0,E$7)</f>
        <v>0.114099146301729</v>
      </c>
      <c r="F1690" s="53" t="n">
        <f aca="true">NORMINV(RAND(),0,F$7)</f>
        <v>0.569772001783446</v>
      </c>
      <c r="G1690" s="53" t="n">
        <f aca="true">NORMINV(RAND(),0,G$7)</f>
        <v>-0.193109644941738</v>
      </c>
      <c r="H1690" s="53" t="n">
        <f aca="true">NORMINV(RAND(),0,H$7)</f>
        <v>0.528617441112127</v>
      </c>
      <c r="I1690" s="53" t="n">
        <f aca="false">SUM(B1690:H1690)</f>
        <v>2.31210896337361</v>
      </c>
      <c r="J1690" s="53" t="n">
        <f aca="true">NORMINV(RAND(),0,J$7)</f>
        <v>-1.12247094869091</v>
      </c>
      <c r="K1690" s="53" t="n">
        <f aca="true">NORMINV(RAND(),0,K$7)</f>
        <v>0.97872866755167</v>
      </c>
      <c r="L1690" s="53" t="n">
        <f aca="true">NORMINV(RAND(),0,L$7)</f>
        <v>0.517726109607268</v>
      </c>
      <c r="M1690" s="53" t="n">
        <f aca="true">NORMINV(RAND(),0,M$7)</f>
        <v>0.134568753808384</v>
      </c>
      <c r="N1690" s="53" t="n">
        <f aca="true">NORMINV(RAND(),0,N$7)</f>
        <v>-0.123249191950346</v>
      </c>
      <c r="O1690" s="53" t="n">
        <f aca="false">SUM(J1690:N1690)</f>
        <v>0.385303390326067</v>
      </c>
    </row>
    <row r="1691" customFormat="false" ht="15" hidden="false" customHeight="false" outlineLevel="0" collapsed="false">
      <c r="A1691" s="2" t="n">
        <v>1683</v>
      </c>
      <c r="B1691" s="53" t="n">
        <f aca="true">NORMINV(RAND(),0,B$7)</f>
        <v>1.11078805752658</v>
      </c>
      <c r="C1691" s="53" t="n">
        <f aca="true">NORMINV(RAND(),0,C$7)</f>
        <v>0.302156860658305</v>
      </c>
      <c r="D1691" s="53" t="n">
        <f aca="true">NORMINV(RAND(),0,D$7)</f>
        <v>-4.58919242194261</v>
      </c>
      <c r="E1691" s="53" t="n">
        <f aca="true">NORMINV(RAND(),0,E$7)</f>
        <v>0.0405085656510289</v>
      </c>
      <c r="F1691" s="53" t="n">
        <f aca="true">NORMINV(RAND(),0,F$7)</f>
        <v>-0.0445851816918578</v>
      </c>
      <c r="G1691" s="53" t="n">
        <f aca="true">NORMINV(RAND(),0,G$7)</f>
        <v>0.426416130490187</v>
      </c>
      <c r="H1691" s="53" t="n">
        <f aca="true">NORMINV(RAND(),0,H$7)</f>
        <v>-0.23869256019515</v>
      </c>
      <c r="I1691" s="53" t="n">
        <f aca="false">SUM(B1691:H1691)</f>
        <v>-2.99260054950351</v>
      </c>
      <c r="J1691" s="53" t="n">
        <f aca="true">NORMINV(RAND(),0,J$7)</f>
        <v>-0.406015145802407</v>
      </c>
      <c r="K1691" s="53" t="n">
        <f aca="true">NORMINV(RAND(),0,K$7)</f>
        <v>0.601111997521303</v>
      </c>
      <c r="L1691" s="53" t="n">
        <f aca="true">NORMINV(RAND(),0,L$7)</f>
        <v>-0.251583121913251</v>
      </c>
      <c r="M1691" s="53" t="n">
        <f aca="true">NORMINV(RAND(),0,M$7)</f>
        <v>-0.0232199425547167</v>
      </c>
      <c r="N1691" s="53" t="n">
        <f aca="true">NORMINV(RAND(),0,N$7)</f>
        <v>-0.205506819729909</v>
      </c>
      <c r="O1691" s="53" t="n">
        <f aca="false">SUM(J1691:N1691)</f>
        <v>-0.285213032478982</v>
      </c>
    </row>
    <row r="1692" customFormat="false" ht="15" hidden="false" customHeight="false" outlineLevel="0" collapsed="false">
      <c r="A1692" s="2" t="n">
        <v>1684</v>
      </c>
      <c r="B1692" s="53" t="n">
        <f aca="true">NORMINV(RAND(),0,B$7)</f>
        <v>-0.1983405922575</v>
      </c>
      <c r="C1692" s="53" t="n">
        <f aca="true">NORMINV(RAND(),0,C$7)</f>
        <v>-0.259479268222155</v>
      </c>
      <c r="D1692" s="53" t="n">
        <f aca="true">NORMINV(RAND(),0,D$7)</f>
        <v>-1.98412312165047</v>
      </c>
      <c r="E1692" s="53" t="n">
        <f aca="true">NORMINV(RAND(),0,E$7)</f>
        <v>0.24735035659404</v>
      </c>
      <c r="F1692" s="53" t="n">
        <f aca="true">NORMINV(RAND(),0,F$7)</f>
        <v>0.33374343967793</v>
      </c>
      <c r="G1692" s="53" t="n">
        <f aca="true">NORMINV(RAND(),0,G$7)</f>
        <v>2.50183254140146</v>
      </c>
      <c r="H1692" s="53" t="n">
        <f aca="true">NORMINV(RAND(),0,H$7)</f>
        <v>-0.0368266595402529</v>
      </c>
      <c r="I1692" s="53" t="n">
        <f aca="false">SUM(B1692:H1692)</f>
        <v>0.604156696003052</v>
      </c>
      <c r="J1692" s="53" t="n">
        <f aca="true">NORMINV(RAND(),0,J$7)</f>
        <v>0.991266644954236</v>
      </c>
      <c r="K1692" s="53" t="n">
        <f aca="true">NORMINV(RAND(),0,K$7)</f>
        <v>1.35010746180468</v>
      </c>
      <c r="L1692" s="53" t="n">
        <f aca="true">NORMINV(RAND(),0,L$7)</f>
        <v>-0.212376336867595</v>
      </c>
      <c r="M1692" s="53" t="n">
        <f aca="true">NORMINV(RAND(),0,M$7)</f>
        <v>0.0747437276612674</v>
      </c>
      <c r="N1692" s="53" t="n">
        <f aca="true">NORMINV(RAND(),0,N$7)</f>
        <v>-0.434907978070178</v>
      </c>
      <c r="O1692" s="53" t="n">
        <f aca="false">SUM(J1692:N1692)</f>
        <v>1.76883351948241</v>
      </c>
    </row>
    <row r="1693" customFormat="false" ht="15" hidden="false" customHeight="false" outlineLevel="0" collapsed="false">
      <c r="A1693" s="2" t="n">
        <v>1685</v>
      </c>
      <c r="B1693" s="53" t="n">
        <f aca="true">NORMINV(RAND(),0,B$7)</f>
        <v>0.839331022978874</v>
      </c>
      <c r="C1693" s="53" t="n">
        <f aca="true">NORMINV(RAND(),0,C$7)</f>
        <v>2.22461163401244</v>
      </c>
      <c r="D1693" s="53" t="n">
        <f aca="true">NORMINV(RAND(),0,D$7)</f>
        <v>1.10410616436635</v>
      </c>
      <c r="E1693" s="53" t="n">
        <f aca="true">NORMINV(RAND(),0,E$7)</f>
        <v>-0.388243091899355</v>
      </c>
      <c r="F1693" s="53" t="n">
        <f aca="true">NORMINV(RAND(),0,F$7)</f>
        <v>0.00990335090591609</v>
      </c>
      <c r="G1693" s="53" t="n">
        <f aca="true">NORMINV(RAND(),0,G$7)</f>
        <v>-0.498389620134894</v>
      </c>
      <c r="H1693" s="53" t="n">
        <f aca="true">NORMINV(RAND(),0,H$7)</f>
        <v>0.542350391955306</v>
      </c>
      <c r="I1693" s="53" t="n">
        <f aca="false">SUM(B1693:H1693)</f>
        <v>3.83366985218464</v>
      </c>
      <c r="J1693" s="53" t="n">
        <f aca="true">NORMINV(RAND(),0,J$7)</f>
        <v>3.03080826953814</v>
      </c>
      <c r="K1693" s="53" t="n">
        <f aca="true">NORMINV(RAND(),0,K$7)</f>
        <v>-0.449321751049811</v>
      </c>
      <c r="L1693" s="53" t="n">
        <f aca="true">NORMINV(RAND(),0,L$7)</f>
        <v>0.421673703203135</v>
      </c>
      <c r="M1693" s="53" t="n">
        <f aca="true">NORMINV(RAND(),0,M$7)</f>
        <v>0.0680526230979355</v>
      </c>
      <c r="N1693" s="53" t="n">
        <f aca="true">NORMINV(RAND(),0,N$7)</f>
        <v>0.442448253853606</v>
      </c>
      <c r="O1693" s="53" t="n">
        <f aca="false">SUM(J1693:N1693)</f>
        <v>3.513661098643</v>
      </c>
    </row>
    <row r="1694" customFormat="false" ht="15" hidden="false" customHeight="false" outlineLevel="0" collapsed="false">
      <c r="A1694" s="2" t="n">
        <v>1686</v>
      </c>
      <c r="B1694" s="53" t="n">
        <f aca="true">NORMINV(RAND(),0,B$7)</f>
        <v>0.182854084371694</v>
      </c>
      <c r="C1694" s="53" t="n">
        <f aca="true">NORMINV(RAND(),0,C$7)</f>
        <v>0.913807770696046</v>
      </c>
      <c r="D1694" s="53" t="n">
        <f aca="true">NORMINV(RAND(),0,D$7)</f>
        <v>-0.706049972397011</v>
      </c>
      <c r="E1694" s="53" t="n">
        <f aca="true">NORMINV(RAND(),0,E$7)</f>
        <v>0.0717337051742933</v>
      </c>
      <c r="F1694" s="53" t="n">
        <f aca="true">NORMINV(RAND(),0,F$7)</f>
        <v>0.182951834219357</v>
      </c>
      <c r="G1694" s="53" t="n">
        <f aca="true">NORMINV(RAND(),0,G$7)</f>
        <v>0.686864364902008</v>
      </c>
      <c r="H1694" s="53" t="n">
        <f aca="true">NORMINV(RAND(),0,H$7)</f>
        <v>0.228422199589525</v>
      </c>
      <c r="I1694" s="53" t="n">
        <f aca="false">SUM(B1694:H1694)</f>
        <v>1.56058398655591</v>
      </c>
      <c r="J1694" s="53" t="n">
        <f aca="true">NORMINV(RAND(),0,J$7)</f>
        <v>-2.46052601196202</v>
      </c>
      <c r="K1694" s="53" t="n">
        <f aca="true">NORMINV(RAND(),0,K$7)</f>
        <v>-0.0723757861340861</v>
      </c>
      <c r="L1694" s="53" t="n">
        <f aca="true">NORMINV(RAND(),0,L$7)</f>
        <v>-0.144500188548162</v>
      </c>
      <c r="M1694" s="53" t="n">
        <f aca="true">NORMINV(RAND(),0,M$7)</f>
        <v>-0.169530389091022</v>
      </c>
      <c r="N1694" s="53" t="n">
        <f aca="true">NORMINV(RAND(),0,N$7)</f>
        <v>0.0751655286694804</v>
      </c>
      <c r="O1694" s="53" t="n">
        <f aca="false">SUM(J1694:N1694)</f>
        <v>-2.77176684706581</v>
      </c>
    </row>
    <row r="1695" customFormat="false" ht="15" hidden="false" customHeight="false" outlineLevel="0" collapsed="false">
      <c r="A1695" s="2" t="n">
        <v>1687</v>
      </c>
      <c r="B1695" s="53" t="n">
        <f aca="true">NORMINV(RAND(),0,B$7)</f>
        <v>0.280624522625939</v>
      </c>
      <c r="C1695" s="53" t="n">
        <f aca="true">NORMINV(RAND(),0,C$7)</f>
        <v>2.51335484430451</v>
      </c>
      <c r="D1695" s="53" t="n">
        <f aca="true">NORMINV(RAND(),0,D$7)</f>
        <v>1.65292897438247</v>
      </c>
      <c r="E1695" s="53" t="n">
        <f aca="true">NORMINV(RAND(),0,E$7)</f>
        <v>-0.167494285518718</v>
      </c>
      <c r="F1695" s="53" t="n">
        <f aca="true">NORMINV(RAND(),0,F$7)</f>
        <v>-0.0696301559271561</v>
      </c>
      <c r="G1695" s="53" t="n">
        <f aca="true">NORMINV(RAND(),0,G$7)</f>
        <v>0.818553945557097</v>
      </c>
      <c r="H1695" s="53" t="n">
        <f aca="true">NORMINV(RAND(),0,H$7)</f>
        <v>-0.0530281464912284</v>
      </c>
      <c r="I1695" s="53" t="n">
        <f aca="false">SUM(B1695:H1695)</f>
        <v>4.97530969893291</v>
      </c>
      <c r="J1695" s="53" t="n">
        <f aca="true">NORMINV(RAND(),0,J$7)</f>
        <v>1.57259773597779</v>
      </c>
      <c r="K1695" s="53" t="n">
        <f aca="true">NORMINV(RAND(),0,K$7)</f>
        <v>1.49790801856432</v>
      </c>
      <c r="L1695" s="53" t="n">
        <f aca="true">NORMINV(RAND(),0,L$7)</f>
        <v>0.0872699877612599</v>
      </c>
      <c r="M1695" s="53" t="n">
        <f aca="true">NORMINV(RAND(),0,M$7)</f>
        <v>-0.0983893357963505</v>
      </c>
      <c r="N1695" s="53" t="n">
        <f aca="true">NORMINV(RAND(),0,N$7)</f>
        <v>-0.42978166274468</v>
      </c>
      <c r="O1695" s="53" t="n">
        <f aca="false">SUM(J1695:N1695)</f>
        <v>2.62960474376234</v>
      </c>
    </row>
    <row r="1696" customFormat="false" ht="15" hidden="false" customHeight="false" outlineLevel="0" collapsed="false">
      <c r="A1696" s="2" t="n">
        <v>1688</v>
      </c>
      <c r="B1696" s="53" t="n">
        <f aca="true">NORMINV(RAND(),0,B$7)</f>
        <v>1.41855396595029</v>
      </c>
      <c r="C1696" s="53" t="n">
        <f aca="true">NORMINV(RAND(),0,C$7)</f>
        <v>2.07310303927439</v>
      </c>
      <c r="D1696" s="53" t="n">
        <f aca="true">NORMINV(RAND(),0,D$7)</f>
        <v>-1.25425328327632</v>
      </c>
      <c r="E1696" s="53" t="n">
        <f aca="true">NORMINV(RAND(),0,E$7)</f>
        <v>-0.219942008995087</v>
      </c>
      <c r="F1696" s="53" t="n">
        <f aca="true">NORMINV(RAND(),0,F$7)</f>
        <v>0.19844449293184</v>
      </c>
      <c r="G1696" s="53" t="n">
        <f aca="true">NORMINV(RAND(),0,G$7)</f>
        <v>-0.875678719589631</v>
      </c>
      <c r="H1696" s="53" t="n">
        <f aca="true">NORMINV(RAND(),0,H$7)</f>
        <v>0.144671801510512</v>
      </c>
      <c r="I1696" s="53" t="n">
        <f aca="false">SUM(B1696:H1696)</f>
        <v>1.48489928780599</v>
      </c>
      <c r="J1696" s="53" t="n">
        <f aca="true">NORMINV(RAND(),0,J$7)</f>
        <v>-2.55531218783903</v>
      </c>
      <c r="K1696" s="53" t="n">
        <f aca="true">NORMINV(RAND(),0,K$7)</f>
        <v>-0.621801059553871</v>
      </c>
      <c r="L1696" s="53" t="n">
        <f aca="true">NORMINV(RAND(),0,L$7)</f>
        <v>-0.222077280787083</v>
      </c>
      <c r="M1696" s="53" t="n">
        <f aca="true">NORMINV(RAND(),0,M$7)</f>
        <v>0.320323050880377</v>
      </c>
      <c r="N1696" s="53" t="n">
        <f aca="true">NORMINV(RAND(),0,N$7)</f>
        <v>-0.351488130387143</v>
      </c>
      <c r="O1696" s="53" t="n">
        <f aca="false">SUM(J1696:N1696)</f>
        <v>-3.43035560768675</v>
      </c>
    </row>
    <row r="1697" customFormat="false" ht="15" hidden="false" customHeight="false" outlineLevel="0" collapsed="false">
      <c r="A1697" s="2" t="n">
        <v>1689</v>
      </c>
      <c r="B1697" s="53" t="n">
        <f aca="true">NORMINV(RAND(),0,B$7)</f>
        <v>-1.49264250788925</v>
      </c>
      <c r="C1697" s="53" t="n">
        <f aca="true">NORMINV(RAND(),0,C$7)</f>
        <v>-2.57270196578788</v>
      </c>
      <c r="D1697" s="53" t="n">
        <f aca="true">NORMINV(RAND(),0,D$7)</f>
        <v>0.763163306083437</v>
      </c>
      <c r="E1697" s="53" t="n">
        <f aca="true">NORMINV(RAND(),0,E$7)</f>
        <v>0.117090250771719</v>
      </c>
      <c r="F1697" s="53" t="n">
        <f aca="true">NORMINV(RAND(),0,F$7)</f>
        <v>0.292341023829663</v>
      </c>
      <c r="G1697" s="53" t="n">
        <f aca="true">NORMINV(RAND(),0,G$7)</f>
        <v>-2.26600054807081</v>
      </c>
      <c r="H1697" s="53" t="n">
        <f aca="true">NORMINV(RAND(),0,H$7)</f>
        <v>0.256703902711197</v>
      </c>
      <c r="I1697" s="53" t="n">
        <f aca="false">SUM(B1697:H1697)</f>
        <v>-4.90204653835193</v>
      </c>
      <c r="J1697" s="53" t="n">
        <f aca="true">NORMINV(RAND(),0,J$7)</f>
        <v>-0.952057369867741</v>
      </c>
      <c r="K1697" s="53" t="n">
        <f aca="true">NORMINV(RAND(),0,K$7)</f>
        <v>0.235551052994247</v>
      </c>
      <c r="L1697" s="53" t="n">
        <f aca="true">NORMINV(RAND(),0,L$7)</f>
        <v>-0.00024222467085026</v>
      </c>
      <c r="M1697" s="53" t="n">
        <f aca="true">NORMINV(RAND(),0,M$7)</f>
        <v>0.182279458240585</v>
      </c>
      <c r="N1697" s="53" t="n">
        <f aca="true">NORMINV(RAND(),0,N$7)</f>
        <v>0.0493299269406402</v>
      </c>
      <c r="O1697" s="53" t="n">
        <f aca="false">SUM(J1697:N1697)</f>
        <v>-0.485139156363118</v>
      </c>
    </row>
    <row r="1698" customFormat="false" ht="15" hidden="false" customHeight="false" outlineLevel="0" collapsed="false">
      <c r="A1698" s="2" t="n">
        <v>1690</v>
      </c>
      <c r="B1698" s="53" t="n">
        <f aca="true">NORMINV(RAND(),0,B$7)</f>
        <v>0.0233430683085173</v>
      </c>
      <c r="C1698" s="53" t="n">
        <f aca="true">NORMINV(RAND(),0,C$7)</f>
        <v>-1.01048060399834</v>
      </c>
      <c r="D1698" s="53" t="n">
        <f aca="true">NORMINV(RAND(),0,D$7)</f>
        <v>-0.36767630101579</v>
      </c>
      <c r="E1698" s="53" t="n">
        <f aca="true">NORMINV(RAND(),0,E$7)</f>
        <v>-0.0237950360648574</v>
      </c>
      <c r="F1698" s="53" t="n">
        <f aca="true">NORMINV(RAND(),0,F$7)</f>
        <v>0.215335563880256</v>
      </c>
      <c r="G1698" s="53" t="n">
        <f aca="true">NORMINV(RAND(),0,G$7)</f>
        <v>4.65950707936134</v>
      </c>
      <c r="H1698" s="53" t="n">
        <f aca="true">NORMINV(RAND(),0,H$7)</f>
        <v>0.619185489079878</v>
      </c>
      <c r="I1698" s="53" t="n">
        <f aca="false">SUM(B1698:H1698)</f>
        <v>4.11541925955101</v>
      </c>
      <c r="J1698" s="53" t="n">
        <f aca="true">NORMINV(RAND(),0,J$7)</f>
        <v>-0.826710177374818</v>
      </c>
      <c r="K1698" s="53" t="n">
        <f aca="true">NORMINV(RAND(),0,K$7)</f>
        <v>-0.0112079765533099</v>
      </c>
      <c r="L1698" s="53" t="n">
        <f aca="true">NORMINV(RAND(),0,L$7)</f>
        <v>-0.0214307222729097</v>
      </c>
      <c r="M1698" s="53" t="n">
        <f aca="true">NORMINV(RAND(),0,M$7)</f>
        <v>-0.0273675543712726</v>
      </c>
      <c r="N1698" s="53" t="n">
        <f aca="true">NORMINV(RAND(),0,N$7)</f>
        <v>0.15081124660627</v>
      </c>
      <c r="O1698" s="53" t="n">
        <f aca="false">SUM(J1698:N1698)</f>
        <v>-0.73590518396604</v>
      </c>
    </row>
    <row r="1699" customFormat="false" ht="15" hidden="false" customHeight="false" outlineLevel="0" collapsed="false">
      <c r="A1699" s="2" t="n">
        <v>1691</v>
      </c>
      <c r="B1699" s="53" t="n">
        <f aca="true">NORMINV(RAND(),0,B$7)</f>
        <v>0.339859546504405</v>
      </c>
      <c r="C1699" s="53" t="n">
        <f aca="true">NORMINV(RAND(),0,C$7)</f>
        <v>-1.54516792017283</v>
      </c>
      <c r="D1699" s="53" t="n">
        <f aca="true">NORMINV(RAND(),0,D$7)</f>
        <v>0.568939341219551</v>
      </c>
      <c r="E1699" s="53" t="n">
        <f aca="true">NORMINV(RAND(),0,E$7)</f>
        <v>-0.0437277701451916</v>
      </c>
      <c r="F1699" s="53" t="n">
        <f aca="true">NORMINV(RAND(),0,F$7)</f>
        <v>-0.236461277934801</v>
      </c>
      <c r="G1699" s="53" t="n">
        <f aca="true">NORMINV(RAND(),0,G$7)</f>
        <v>0.322041896501676</v>
      </c>
      <c r="H1699" s="53" t="n">
        <f aca="true">NORMINV(RAND(),0,H$7)</f>
        <v>0.144400918642514</v>
      </c>
      <c r="I1699" s="53" t="n">
        <f aca="false">SUM(B1699:H1699)</f>
        <v>-0.450115265384677</v>
      </c>
      <c r="J1699" s="53" t="n">
        <f aca="true">NORMINV(RAND(),0,J$7)</f>
        <v>-1.74793039858515</v>
      </c>
      <c r="K1699" s="53" t="n">
        <f aca="true">NORMINV(RAND(),0,K$7)</f>
        <v>-1.56614485460066</v>
      </c>
      <c r="L1699" s="53" t="n">
        <f aca="true">NORMINV(RAND(),0,L$7)</f>
        <v>0.203224924032311</v>
      </c>
      <c r="M1699" s="53" t="n">
        <f aca="true">NORMINV(RAND(),0,M$7)</f>
        <v>-0.138669547667044</v>
      </c>
      <c r="N1699" s="53" t="n">
        <f aca="true">NORMINV(RAND(),0,N$7)</f>
        <v>0.202429942785487</v>
      </c>
      <c r="O1699" s="53" t="n">
        <f aca="false">SUM(J1699:N1699)</f>
        <v>-3.04708993403505</v>
      </c>
    </row>
    <row r="1700" customFormat="false" ht="15" hidden="false" customHeight="false" outlineLevel="0" collapsed="false">
      <c r="A1700" s="2" t="n">
        <v>1692</v>
      </c>
      <c r="B1700" s="53" t="n">
        <f aca="true">NORMINV(RAND(),0,B$7)</f>
        <v>0.633351519315339</v>
      </c>
      <c r="C1700" s="53" t="n">
        <f aca="true">NORMINV(RAND(),0,C$7)</f>
        <v>0.325336991941655</v>
      </c>
      <c r="D1700" s="53" t="n">
        <f aca="true">NORMINV(RAND(),0,D$7)</f>
        <v>-0.554348976708308</v>
      </c>
      <c r="E1700" s="53" t="n">
        <f aca="true">NORMINV(RAND(),0,E$7)</f>
        <v>-0.326528432182789</v>
      </c>
      <c r="F1700" s="53" t="n">
        <f aca="true">NORMINV(RAND(),0,F$7)</f>
        <v>-0.442491693181944</v>
      </c>
      <c r="G1700" s="53" t="n">
        <f aca="true">NORMINV(RAND(),0,G$7)</f>
        <v>-1.28852225906515</v>
      </c>
      <c r="H1700" s="53" t="n">
        <f aca="true">NORMINV(RAND(),0,H$7)</f>
        <v>0.0268745475512845</v>
      </c>
      <c r="I1700" s="53" t="n">
        <f aca="false">SUM(B1700:H1700)</f>
        <v>-1.62632830232991</v>
      </c>
      <c r="J1700" s="53" t="n">
        <f aca="true">NORMINV(RAND(),0,J$7)</f>
        <v>-0.711487766581037</v>
      </c>
      <c r="K1700" s="53" t="n">
        <f aca="true">NORMINV(RAND(),0,K$7)</f>
        <v>0.322569891940727</v>
      </c>
      <c r="L1700" s="53" t="n">
        <f aca="true">NORMINV(RAND(),0,L$7)</f>
        <v>-0.121627832944857</v>
      </c>
      <c r="M1700" s="53" t="n">
        <f aca="true">NORMINV(RAND(),0,M$7)</f>
        <v>-0.0443008460348916</v>
      </c>
      <c r="N1700" s="53" t="n">
        <f aca="true">NORMINV(RAND(),0,N$7)</f>
        <v>-0.249105195469605</v>
      </c>
      <c r="O1700" s="53" t="n">
        <f aca="false">SUM(J1700:N1700)</f>
        <v>-0.803951749089663</v>
      </c>
    </row>
    <row r="1701" customFormat="false" ht="15" hidden="false" customHeight="false" outlineLevel="0" collapsed="false">
      <c r="A1701" s="2" t="n">
        <v>1693</v>
      </c>
      <c r="B1701" s="53" t="n">
        <f aca="true">NORMINV(RAND(),0,B$7)</f>
        <v>-0.485304464226218</v>
      </c>
      <c r="C1701" s="53" t="n">
        <f aca="true">NORMINV(RAND(),0,C$7)</f>
        <v>1.03010569282068</v>
      </c>
      <c r="D1701" s="53" t="n">
        <f aca="true">NORMINV(RAND(),0,D$7)</f>
        <v>0.450851861168236</v>
      </c>
      <c r="E1701" s="53" t="n">
        <f aca="true">NORMINV(RAND(),0,E$7)</f>
        <v>0.104328582613677</v>
      </c>
      <c r="F1701" s="53" t="n">
        <f aca="true">NORMINV(RAND(),0,F$7)</f>
        <v>0.259429587691953</v>
      </c>
      <c r="G1701" s="53" t="n">
        <f aca="true">NORMINV(RAND(),0,G$7)</f>
        <v>-0.141888850130296</v>
      </c>
      <c r="H1701" s="53" t="n">
        <f aca="true">NORMINV(RAND(),0,H$7)</f>
        <v>0.360482568055975</v>
      </c>
      <c r="I1701" s="53" t="n">
        <f aca="false">SUM(B1701:H1701)</f>
        <v>1.57800497799401</v>
      </c>
      <c r="J1701" s="53" t="n">
        <f aca="true">NORMINV(RAND(),0,J$7)</f>
        <v>2.24805688508127</v>
      </c>
      <c r="K1701" s="53" t="n">
        <f aca="true">NORMINV(RAND(),0,K$7)</f>
        <v>-0.67473558068881</v>
      </c>
      <c r="L1701" s="53" t="n">
        <f aca="true">NORMINV(RAND(),0,L$7)</f>
        <v>0.417784780762249</v>
      </c>
      <c r="M1701" s="53" t="n">
        <f aca="true">NORMINV(RAND(),0,M$7)</f>
        <v>0.194630183309822</v>
      </c>
      <c r="N1701" s="53" t="n">
        <f aca="true">NORMINV(RAND(),0,N$7)</f>
        <v>-0.158223020683459</v>
      </c>
      <c r="O1701" s="53" t="n">
        <f aca="false">SUM(J1701:N1701)</f>
        <v>2.02751324778107</v>
      </c>
    </row>
    <row r="1702" customFormat="false" ht="15" hidden="false" customHeight="false" outlineLevel="0" collapsed="false">
      <c r="A1702" s="2" t="n">
        <v>1694</v>
      </c>
      <c r="B1702" s="53" t="n">
        <f aca="true">NORMINV(RAND(),0,B$7)</f>
        <v>-1.46590138193458</v>
      </c>
      <c r="C1702" s="53" t="n">
        <f aca="true">NORMINV(RAND(),0,C$7)</f>
        <v>-1.76884326349739</v>
      </c>
      <c r="D1702" s="53" t="n">
        <f aca="true">NORMINV(RAND(),0,D$7)</f>
        <v>-0.105636240636744</v>
      </c>
      <c r="E1702" s="53" t="n">
        <f aca="true">NORMINV(RAND(),0,E$7)</f>
        <v>-0.0231290548690252</v>
      </c>
      <c r="F1702" s="53" t="n">
        <f aca="true">NORMINV(RAND(),0,F$7)</f>
        <v>0.306371487545076</v>
      </c>
      <c r="G1702" s="53" t="n">
        <f aca="true">NORMINV(RAND(),0,G$7)</f>
        <v>-0.353337562284518</v>
      </c>
      <c r="H1702" s="53" t="n">
        <f aca="true">NORMINV(RAND(),0,H$7)</f>
        <v>0.358519438041456</v>
      </c>
      <c r="I1702" s="53" t="n">
        <f aca="false">SUM(B1702:H1702)</f>
        <v>-3.05195657763572</v>
      </c>
      <c r="J1702" s="53" t="n">
        <f aca="true">NORMINV(RAND(),0,J$7)</f>
        <v>-1.40463950698372</v>
      </c>
      <c r="K1702" s="53" t="n">
        <f aca="true">NORMINV(RAND(),0,K$7)</f>
        <v>-0.90623747880998</v>
      </c>
      <c r="L1702" s="53" t="n">
        <f aca="true">NORMINV(RAND(),0,L$7)</f>
        <v>-0.21346575861805</v>
      </c>
      <c r="M1702" s="53" t="n">
        <f aca="true">NORMINV(RAND(),0,M$7)</f>
        <v>-0.312942922693159</v>
      </c>
      <c r="N1702" s="53" t="n">
        <f aca="true">NORMINV(RAND(),0,N$7)</f>
        <v>-0.100415262023114</v>
      </c>
      <c r="O1702" s="53" t="n">
        <f aca="false">SUM(J1702:N1702)</f>
        <v>-2.93770092912802</v>
      </c>
    </row>
    <row r="1703" customFormat="false" ht="15" hidden="false" customHeight="false" outlineLevel="0" collapsed="false">
      <c r="A1703" s="2" t="n">
        <v>1695</v>
      </c>
      <c r="B1703" s="53" t="n">
        <f aca="true">NORMINV(RAND(),0,B$7)</f>
        <v>-2.25299148391673</v>
      </c>
      <c r="C1703" s="53" t="n">
        <f aca="true">NORMINV(RAND(),0,C$7)</f>
        <v>-0.48935131201574</v>
      </c>
      <c r="D1703" s="53" t="n">
        <f aca="true">NORMINV(RAND(),0,D$7)</f>
        <v>4.54502465916076</v>
      </c>
      <c r="E1703" s="53" t="n">
        <f aca="true">NORMINV(RAND(),0,E$7)</f>
        <v>0.470732340536291</v>
      </c>
      <c r="F1703" s="53" t="n">
        <f aca="true">NORMINV(RAND(),0,F$7)</f>
        <v>0.276058990453544</v>
      </c>
      <c r="G1703" s="53" t="n">
        <f aca="true">NORMINV(RAND(),0,G$7)</f>
        <v>-2.10884066498889</v>
      </c>
      <c r="H1703" s="53" t="n">
        <f aca="true">NORMINV(RAND(),0,H$7)</f>
        <v>-0.148682785771293</v>
      </c>
      <c r="I1703" s="53" t="n">
        <f aca="false">SUM(B1703:H1703)</f>
        <v>0.291949743457934</v>
      </c>
      <c r="J1703" s="53" t="n">
        <f aca="true">NORMINV(RAND(),0,J$7)</f>
        <v>-2.06700976819019</v>
      </c>
      <c r="K1703" s="53" t="n">
        <f aca="true">NORMINV(RAND(),0,K$7)</f>
        <v>0.0609678894896877</v>
      </c>
      <c r="L1703" s="53" t="n">
        <f aca="true">NORMINV(RAND(),0,L$7)</f>
        <v>-0.465045151532158</v>
      </c>
      <c r="M1703" s="53" t="n">
        <f aca="true">NORMINV(RAND(),0,M$7)</f>
        <v>0.431238782771788</v>
      </c>
      <c r="N1703" s="53" t="n">
        <f aca="true">NORMINV(RAND(),0,N$7)</f>
        <v>0.170979799230292</v>
      </c>
      <c r="O1703" s="53" t="n">
        <f aca="false">SUM(J1703:N1703)</f>
        <v>-1.86886844823058</v>
      </c>
    </row>
    <row r="1704" customFormat="false" ht="15" hidden="false" customHeight="false" outlineLevel="0" collapsed="false">
      <c r="A1704" s="2" t="n">
        <v>1696</v>
      </c>
      <c r="B1704" s="53" t="n">
        <f aca="true">NORMINV(RAND(),0,B$7)</f>
        <v>1.56330010624009</v>
      </c>
      <c r="C1704" s="53" t="n">
        <f aca="true">NORMINV(RAND(),0,C$7)</f>
        <v>0.353557633353117</v>
      </c>
      <c r="D1704" s="53" t="n">
        <f aca="true">NORMINV(RAND(),0,D$7)</f>
        <v>0.717132037436586</v>
      </c>
      <c r="E1704" s="53" t="n">
        <f aca="true">NORMINV(RAND(),0,E$7)</f>
        <v>0.464403502991201</v>
      </c>
      <c r="F1704" s="53" t="n">
        <f aca="true">NORMINV(RAND(),0,F$7)</f>
        <v>0.0938583600790254</v>
      </c>
      <c r="G1704" s="53" t="n">
        <f aca="true">NORMINV(RAND(),0,G$7)</f>
        <v>3.81994028556931</v>
      </c>
      <c r="H1704" s="53" t="n">
        <f aca="true">NORMINV(RAND(),0,H$7)</f>
        <v>-0.115163201623676</v>
      </c>
      <c r="I1704" s="53" t="n">
        <f aca="false">SUM(B1704:H1704)</f>
        <v>6.89702872404566</v>
      </c>
      <c r="J1704" s="53" t="n">
        <f aca="true">NORMINV(RAND(),0,J$7)</f>
        <v>-1.28974048928282</v>
      </c>
      <c r="K1704" s="53" t="n">
        <f aca="true">NORMINV(RAND(),0,K$7)</f>
        <v>-0.0525221968172162</v>
      </c>
      <c r="L1704" s="53" t="n">
        <f aca="true">NORMINV(RAND(),0,L$7)</f>
        <v>0.170835502600923</v>
      </c>
      <c r="M1704" s="53" t="n">
        <f aca="true">NORMINV(RAND(),0,M$7)</f>
        <v>-0.0560248882697803</v>
      </c>
      <c r="N1704" s="53" t="n">
        <f aca="true">NORMINV(RAND(),0,N$7)</f>
        <v>0.124720639032083</v>
      </c>
      <c r="O1704" s="53" t="n">
        <f aca="false">SUM(J1704:N1704)</f>
        <v>-1.10273143273681</v>
      </c>
    </row>
    <row r="1705" customFormat="false" ht="15" hidden="false" customHeight="false" outlineLevel="0" collapsed="false">
      <c r="A1705" s="2" t="n">
        <v>1697</v>
      </c>
      <c r="B1705" s="53" t="n">
        <f aca="true">NORMINV(RAND(),0,B$7)</f>
        <v>-0.762222060855691</v>
      </c>
      <c r="C1705" s="53" t="n">
        <f aca="true">NORMINV(RAND(),0,C$7)</f>
        <v>-1.05378527414238</v>
      </c>
      <c r="D1705" s="53" t="n">
        <f aca="true">NORMINV(RAND(),0,D$7)</f>
        <v>1.20968866093545</v>
      </c>
      <c r="E1705" s="53" t="n">
        <f aca="true">NORMINV(RAND(),0,E$7)</f>
        <v>-0.118369030045794</v>
      </c>
      <c r="F1705" s="53" t="n">
        <f aca="true">NORMINV(RAND(),0,F$7)</f>
        <v>-0.0125191325360245</v>
      </c>
      <c r="G1705" s="53" t="n">
        <f aca="true">NORMINV(RAND(),0,G$7)</f>
        <v>-0.47955327092301</v>
      </c>
      <c r="H1705" s="53" t="n">
        <f aca="true">NORMINV(RAND(),0,H$7)</f>
        <v>0.427054601718814</v>
      </c>
      <c r="I1705" s="53" t="n">
        <f aca="false">SUM(B1705:H1705)</f>
        <v>-0.789705505848635</v>
      </c>
      <c r="J1705" s="53" t="n">
        <f aca="true">NORMINV(RAND(),0,J$7)</f>
        <v>-3.89314987854733</v>
      </c>
      <c r="K1705" s="53" t="n">
        <f aca="true">NORMINV(RAND(),0,K$7)</f>
        <v>-0.358831488812537</v>
      </c>
      <c r="L1705" s="53" t="n">
        <f aca="true">NORMINV(RAND(),0,L$7)</f>
        <v>-0.0180219699190726</v>
      </c>
      <c r="M1705" s="53" t="n">
        <f aca="true">NORMINV(RAND(),0,M$7)</f>
        <v>-0.0363886744202428</v>
      </c>
      <c r="N1705" s="53" t="n">
        <f aca="true">NORMINV(RAND(),0,N$7)</f>
        <v>-0.188367559982139</v>
      </c>
      <c r="O1705" s="53" t="n">
        <f aca="false">SUM(J1705:N1705)</f>
        <v>-4.49475957168132</v>
      </c>
    </row>
    <row r="1706" customFormat="false" ht="15" hidden="false" customHeight="false" outlineLevel="0" collapsed="false">
      <c r="A1706" s="2" t="n">
        <v>1698</v>
      </c>
      <c r="B1706" s="53" t="n">
        <f aca="true">NORMINV(RAND(),0,B$7)</f>
        <v>-0.167037989917245</v>
      </c>
      <c r="C1706" s="53" t="n">
        <f aca="true">NORMINV(RAND(),0,C$7)</f>
        <v>0.710679710754061</v>
      </c>
      <c r="D1706" s="53" t="n">
        <f aca="true">NORMINV(RAND(),0,D$7)</f>
        <v>1.48939754533747</v>
      </c>
      <c r="E1706" s="53" t="n">
        <f aca="true">NORMINV(RAND(),0,E$7)</f>
        <v>0.299276456474649</v>
      </c>
      <c r="F1706" s="53" t="n">
        <f aca="true">NORMINV(RAND(),0,F$7)</f>
        <v>-0.600919414125281</v>
      </c>
      <c r="G1706" s="53" t="n">
        <f aca="true">NORMINV(RAND(),0,G$7)</f>
        <v>0.617320286417291</v>
      </c>
      <c r="H1706" s="53" t="n">
        <f aca="true">NORMINV(RAND(),0,H$7)</f>
        <v>0.269506228491628</v>
      </c>
      <c r="I1706" s="53" t="n">
        <f aca="false">SUM(B1706:H1706)</f>
        <v>2.61822282343257</v>
      </c>
      <c r="J1706" s="53" t="n">
        <f aca="true">NORMINV(RAND(),0,J$7)</f>
        <v>0.654336692511324</v>
      </c>
      <c r="K1706" s="53" t="n">
        <f aca="true">NORMINV(RAND(),0,K$7)</f>
        <v>0.298705327167358</v>
      </c>
      <c r="L1706" s="53" t="n">
        <f aca="true">NORMINV(RAND(),0,L$7)</f>
        <v>-0.451547098094843</v>
      </c>
      <c r="M1706" s="53" t="n">
        <f aca="true">NORMINV(RAND(),0,M$7)</f>
        <v>0.0353111718546479</v>
      </c>
      <c r="N1706" s="53" t="n">
        <f aca="true">NORMINV(RAND(),0,N$7)</f>
        <v>0.187238752972178</v>
      </c>
      <c r="O1706" s="53" t="n">
        <f aca="false">SUM(J1706:N1706)</f>
        <v>0.724044846410664</v>
      </c>
    </row>
    <row r="1707" customFormat="false" ht="15" hidden="false" customHeight="false" outlineLevel="0" collapsed="false">
      <c r="A1707" s="2" t="n">
        <v>1699</v>
      </c>
      <c r="B1707" s="53" t="n">
        <f aca="true">NORMINV(RAND(),0,B$7)</f>
        <v>1.05258362685417</v>
      </c>
      <c r="C1707" s="53" t="n">
        <f aca="true">NORMINV(RAND(),0,C$7)</f>
        <v>-0.216181204879965</v>
      </c>
      <c r="D1707" s="53" t="n">
        <f aca="true">NORMINV(RAND(),0,D$7)</f>
        <v>-0.891627416002635</v>
      </c>
      <c r="E1707" s="53" t="n">
        <f aca="true">NORMINV(RAND(),0,E$7)</f>
        <v>-0.0295893179476515</v>
      </c>
      <c r="F1707" s="53" t="n">
        <f aca="true">NORMINV(RAND(),0,F$7)</f>
        <v>0.00698692017892911</v>
      </c>
      <c r="G1707" s="53" t="n">
        <f aca="true">NORMINV(RAND(),0,G$7)</f>
        <v>0.412377224360107</v>
      </c>
      <c r="H1707" s="53" t="n">
        <f aca="true">NORMINV(RAND(),0,H$7)</f>
        <v>-0.0379723012214256</v>
      </c>
      <c r="I1707" s="53" t="n">
        <f aca="false">SUM(B1707:H1707)</f>
        <v>0.29657753134153</v>
      </c>
      <c r="J1707" s="53" t="n">
        <f aca="true">NORMINV(RAND(),0,J$7)</f>
        <v>-1.67547324794016</v>
      </c>
      <c r="K1707" s="53" t="n">
        <f aca="true">NORMINV(RAND(),0,K$7)</f>
        <v>0.0610153588476477</v>
      </c>
      <c r="L1707" s="53" t="n">
        <f aca="true">NORMINV(RAND(),0,L$7)</f>
        <v>-0.261007195650175</v>
      </c>
      <c r="M1707" s="53" t="n">
        <f aca="true">NORMINV(RAND(),0,M$7)</f>
        <v>-0.287894377915064</v>
      </c>
      <c r="N1707" s="53" t="n">
        <f aca="true">NORMINV(RAND(),0,N$7)</f>
        <v>0.173636677102156</v>
      </c>
      <c r="O1707" s="53" t="n">
        <f aca="false">SUM(J1707:N1707)</f>
        <v>-1.98972278555559</v>
      </c>
    </row>
    <row r="1708" customFormat="false" ht="15" hidden="false" customHeight="false" outlineLevel="0" collapsed="false">
      <c r="A1708" s="2" t="n">
        <v>1700</v>
      </c>
      <c r="B1708" s="53" t="n">
        <f aca="true">NORMINV(RAND(),0,B$7)</f>
        <v>0.71393916438734</v>
      </c>
      <c r="C1708" s="53" t="n">
        <f aca="true">NORMINV(RAND(),0,C$7)</f>
        <v>-1.28080651807865</v>
      </c>
      <c r="D1708" s="53" t="n">
        <f aca="true">NORMINV(RAND(),0,D$7)</f>
        <v>0.248468974051172</v>
      </c>
      <c r="E1708" s="53" t="n">
        <f aca="true">NORMINV(RAND(),0,E$7)</f>
        <v>-0.118462883243044</v>
      </c>
      <c r="F1708" s="53" t="n">
        <f aca="true">NORMINV(RAND(),0,F$7)</f>
        <v>-0.334274497406274</v>
      </c>
      <c r="G1708" s="53" t="n">
        <f aca="true">NORMINV(RAND(),0,G$7)</f>
        <v>-1.1262742079849</v>
      </c>
      <c r="H1708" s="53" t="n">
        <f aca="true">NORMINV(RAND(),0,H$7)</f>
        <v>0.308699769363434</v>
      </c>
      <c r="I1708" s="53" t="n">
        <f aca="false">SUM(B1708:H1708)</f>
        <v>-1.58871019891092</v>
      </c>
      <c r="J1708" s="53" t="n">
        <f aca="true">NORMINV(RAND(),0,J$7)</f>
        <v>-1.37125015668919</v>
      </c>
      <c r="K1708" s="53" t="n">
        <f aca="true">NORMINV(RAND(),0,K$7)</f>
        <v>-0.516649632295112</v>
      </c>
      <c r="L1708" s="53" t="n">
        <f aca="true">NORMINV(RAND(),0,L$7)</f>
        <v>-0.479056557469546</v>
      </c>
      <c r="M1708" s="53" t="n">
        <f aca="true">NORMINV(RAND(),0,M$7)</f>
        <v>0.239262265658532</v>
      </c>
      <c r="N1708" s="53" t="n">
        <f aca="true">NORMINV(RAND(),0,N$7)</f>
        <v>-0.141382439901816</v>
      </c>
      <c r="O1708" s="53" t="n">
        <f aca="false">SUM(J1708:N1708)</f>
        <v>-2.26907652069713</v>
      </c>
    </row>
    <row r="1709" customFormat="false" ht="15" hidden="false" customHeight="false" outlineLevel="0" collapsed="false">
      <c r="A1709" s="2" t="n">
        <v>1701</v>
      </c>
      <c r="B1709" s="53" t="n">
        <f aca="true">NORMINV(RAND(),0,B$7)</f>
        <v>1.33976395092099</v>
      </c>
      <c r="C1709" s="53" t="n">
        <f aca="true">NORMINV(RAND(),0,C$7)</f>
        <v>1.05767640837672</v>
      </c>
      <c r="D1709" s="53" t="n">
        <f aca="true">NORMINV(RAND(),0,D$7)</f>
        <v>2.15364856082904</v>
      </c>
      <c r="E1709" s="53" t="n">
        <f aca="true">NORMINV(RAND(),0,E$7)</f>
        <v>0.0768266084791816</v>
      </c>
      <c r="F1709" s="53" t="n">
        <f aca="true">NORMINV(RAND(),0,F$7)</f>
        <v>-0.108208004084757</v>
      </c>
      <c r="G1709" s="53" t="n">
        <f aca="true">NORMINV(RAND(),0,G$7)</f>
        <v>-1.2083008132353</v>
      </c>
      <c r="H1709" s="53" t="n">
        <f aca="true">NORMINV(RAND(),0,H$7)</f>
        <v>-0.173342751624194</v>
      </c>
      <c r="I1709" s="53" t="n">
        <f aca="false">SUM(B1709:H1709)</f>
        <v>3.13806395966168</v>
      </c>
      <c r="J1709" s="53" t="n">
        <f aca="true">NORMINV(RAND(),0,J$7)</f>
        <v>0.302638005106184</v>
      </c>
      <c r="K1709" s="53" t="n">
        <f aca="true">NORMINV(RAND(),0,K$7)</f>
        <v>-0.0644651113507168</v>
      </c>
      <c r="L1709" s="53" t="n">
        <f aca="true">NORMINV(RAND(),0,L$7)</f>
        <v>0.459290151018095</v>
      </c>
      <c r="M1709" s="53" t="n">
        <f aca="true">NORMINV(RAND(),0,M$7)</f>
        <v>-0.37141873039714</v>
      </c>
      <c r="N1709" s="53" t="n">
        <f aca="true">NORMINV(RAND(),0,N$7)</f>
        <v>-0.126064939149204</v>
      </c>
      <c r="O1709" s="53" t="n">
        <f aca="false">SUM(J1709:N1709)</f>
        <v>0.199979375227219</v>
      </c>
    </row>
    <row r="1710" customFormat="false" ht="15" hidden="false" customHeight="false" outlineLevel="0" collapsed="false">
      <c r="A1710" s="2" t="n">
        <v>1702</v>
      </c>
      <c r="B1710" s="53" t="n">
        <f aca="true">NORMINV(RAND(),0,B$7)</f>
        <v>-0.79851357715028</v>
      </c>
      <c r="C1710" s="53" t="n">
        <f aca="true">NORMINV(RAND(),0,C$7)</f>
        <v>1.46945348612316</v>
      </c>
      <c r="D1710" s="53" t="n">
        <f aca="true">NORMINV(RAND(),0,D$7)</f>
        <v>-1.03709965123159</v>
      </c>
      <c r="E1710" s="53" t="n">
        <f aca="true">NORMINV(RAND(),0,E$7)</f>
        <v>-0.252741861509016</v>
      </c>
      <c r="F1710" s="53" t="n">
        <f aca="true">NORMINV(RAND(),0,F$7)</f>
        <v>-0.527972480652791</v>
      </c>
      <c r="G1710" s="53" t="n">
        <f aca="true">NORMINV(RAND(),0,G$7)</f>
        <v>-1.9544444613732</v>
      </c>
      <c r="H1710" s="53" t="n">
        <f aca="true">NORMINV(RAND(),0,H$7)</f>
        <v>-0.279074566308035</v>
      </c>
      <c r="I1710" s="53" t="n">
        <f aca="false">SUM(B1710:H1710)</f>
        <v>-3.38039311210176</v>
      </c>
      <c r="J1710" s="53" t="n">
        <f aca="true">NORMINV(RAND(),0,J$7)</f>
        <v>-2.79020715847879</v>
      </c>
      <c r="K1710" s="53" t="n">
        <f aca="true">NORMINV(RAND(),0,K$7)</f>
        <v>0.83920551154761</v>
      </c>
      <c r="L1710" s="53" t="n">
        <f aca="true">NORMINV(RAND(),0,L$7)</f>
        <v>0.175027930243435</v>
      </c>
      <c r="M1710" s="53" t="n">
        <f aca="true">NORMINV(RAND(),0,M$7)</f>
        <v>0.0303345339743765</v>
      </c>
      <c r="N1710" s="53" t="n">
        <f aca="true">NORMINV(RAND(),0,N$7)</f>
        <v>0.343501774218898</v>
      </c>
      <c r="O1710" s="53" t="n">
        <f aca="false">SUM(J1710:N1710)</f>
        <v>-1.40213740849447</v>
      </c>
    </row>
    <row r="1711" customFormat="false" ht="15" hidden="false" customHeight="false" outlineLevel="0" collapsed="false">
      <c r="A1711" s="2" t="n">
        <v>1703</v>
      </c>
      <c r="B1711" s="53" t="n">
        <f aca="true">NORMINV(RAND(),0,B$7)</f>
        <v>-0.25169837361699</v>
      </c>
      <c r="C1711" s="53" t="n">
        <f aca="true">NORMINV(RAND(),0,C$7)</f>
        <v>0.556412402719659</v>
      </c>
      <c r="D1711" s="53" t="n">
        <f aca="true">NORMINV(RAND(),0,D$7)</f>
        <v>0.0918074913992138</v>
      </c>
      <c r="E1711" s="53" t="n">
        <f aca="true">NORMINV(RAND(),0,E$7)</f>
        <v>-0.560516583109668</v>
      </c>
      <c r="F1711" s="53" t="n">
        <f aca="true">NORMINV(RAND(),0,F$7)</f>
        <v>0.435934715607368</v>
      </c>
      <c r="G1711" s="53" t="n">
        <f aca="true">NORMINV(RAND(),0,G$7)</f>
        <v>0.106546957955359</v>
      </c>
      <c r="H1711" s="53" t="n">
        <f aca="true">NORMINV(RAND(),0,H$7)</f>
        <v>0.297655983058174</v>
      </c>
      <c r="I1711" s="53" t="n">
        <f aca="false">SUM(B1711:H1711)</f>
        <v>0.676142594013116</v>
      </c>
      <c r="J1711" s="53" t="n">
        <f aca="true">NORMINV(RAND(),0,J$7)</f>
        <v>1.28941325608893</v>
      </c>
      <c r="K1711" s="53" t="n">
        <f aca="true">NORMINV(RAND(),0,K$7)</f>
        <v>-0.626272572762598</v>
      </c>
      <c r="L1711" s="53" t="n">
        <f aca="true">NORMINV(RAND(),0,L$7)</f>
        <v>-0.395198801708094</v>
      </c>
      <c r="M1711" s="53" t="n">
        <f aca="true">NORMINV(RAND(),0,M$7)</f>
        <v>-0.0544578786424984</v>
      </c>
      <c r="N1711" s="53" t="n">
        <f aca="true">NORMINV(RAND(),0,N$7)</f>
        <v>0.65879738264662</v>
      </c>
      <c r="O1711" s="53" t="n">
        <f aca="false">SUM(J1711:N1711)</f>
        <v>0.87228138562236</v>
      </c>
    </row>
    <row r="1712" customFormat="false" ht="15" hidden="false" customHeight="false" outlineLevel="0" collapsed="false">
      <c r="A1712" s="2" t="n">
        <v>1704</v>
      </c>
      <c r="B1712" s="53" t="n">
        <f aca="true">NORMINV(RAND(),0,B$7)</f>
        <v>1.99335327863374</v>
      </c>
      <c r="C1712" s="53" t="n">
        <f aca="true">NORMINV(RAND(),0,C$7)</f>
        <v>1.93115342948104</v>
      </c>
      <c r="D1712" s="53" t="n">
        <f aca="true">NORMINV(RAND(),0,D$7)</f>
        <v>-0.174364691878405</v>
      </c>
      <c r="E1712" s="53" t="n">
        <f aca="true">NORMINV(RAND(),0,E$7)</f>
        <v>0.494419338893798</v>
      </c>
      <c r="F1712" s="53" t="n">
        <f aca="true">NORMINV(RAND(),0,F$7)</f>
        <v>-0.191753132749784</v>
      </c>
      <c r="G1712" s="53" t="n">
        <f aca="true">NORMINV(RAND(),0,G$7)</f>
        <v>1.27840328476925</v>
      </c>
      <c r="H1712" s="53" t="n">
        <f aca="true">NORMINV(RAND(),0,H$7)</f>
        <v>0.0132762877036515</v>
      </c>
      <c r="I1712" s="53" t="n">
        <f aca="false">SUM(B1712:H1712)</f>
        <v>5.34448779485328</v>
      </c>
      <c r="J1712" s="53" t="n">
        <f aca="true">NORMINV(RAND(),0,J$7)</f>
        <v>-0.212218187292884</v>
      </c>
      <c r="K1712" s="53" t="n">
        <f aca="true">NORMINV(RAND(),0,K$7)</f>
        <v>0.629535451609144</v>
      </c>
      <c r="L1712" s="53" t="n">
        <f aca="true">NORMINV(RAND(),0,L$7)</f>
        <v>0.354664935900328</v>
      </c>
      <c r="M1712" s="53" t="n">
        <f aca="true">NORMINV(RAND(),0,M$7)</f>
        <v>-0.490901897144768</v>
      </c>
      <c r="N1712" s="53" t="n">
        <f aca="true">NORMINV(RAND(),0,N$7)</f>
        <v>0.26675639899103</v>
      </c>
      <c r="O1712" s="53" t="n">
        <f aca="false">SUM(J1712:N1712)</f>
        <v>0.54783670206285</v>
      </c>
    </row>
    <row r="1713" customFormat="false" ht="15" hidden="false" customHeight="false" outlineLevel="0" collapsed="false">
      <c r="A1713" s="2" t="n">
        <v>1705</v>
      </c>
      <c r="B1713" s="53" t="n">
        <f aca="true">NORMINV(RAND(),0,B$7)</f>
        <v>1.55644805106302</v>
      </c>
      <c r="C1713" s="53" t="n">
        <f aca="true">NORMINV(RAND(),0,C$7)</f>
        <v>-0.472564950141022</v>
      </c>
      <c r="D1713" s="53" t="n">
        <f aca="true">NORMINV(RAND(),0,D$7)</f>
        <v>-1.47731880011017</v>
      </c>
      <c r="E1713" s="53" t="n">
        <f aca="true">NORMINV(RAND(),0,E$7)</f>
        <v>-0.515052464469006</v>
      </c>
      <c r="F1713" s="53" t="n">
        <f aca="true">NORMINV(RAND(),0,F$7)</f>
        <v>0.231296914916044</v>
      </c>
      <c r="G1713" s="53" t="n">
        <f aca="true">NORMINV(RAND(),0,G$7)</f>
        <v>0.768273216127616</v>
      </c>
      <c r="H1713" s="53" t="n">
        <f aca="true">NORMINV(RAND(),0,H$7)</f>
        <v>0.453806736017067</v>
      </c>
      <c r="I1713" s="53" t="n">
        <f aca="false">SUM(B1713:H1713)</f>
        <v>0.544888703403546</v>
      </c>
      <c r="J1713" s="53" t="n">
        <f aca="true">NORMINV(RAND(),0,J$7)</f>
        <v>-0.525020022907279</v>
      </c>
      <c r="K1713" s="53" t="n">
        <f aca="true">NORMINV(RAND(),0,K$7)</f>
        <v>0.0280883919790507</v>
      </c>
      <c r="L1713" s="53" t="n">
        <f aca="true">NORMINV(RAND(),0,L$7)</f>
        <v>0.618988859679848</v>
      </c>
      <c r="M1713" s="53" t="n">
        <f aca="true">NORMINV(RAND(),0,M$7)</f>
        <v>0.161043920784195</v>
      </c>
      <c r="N1713" s="53" t="n">
        <f aca="true">NORMINV(RAND(),0,N$7)</f>
        <v>-0.419107618999059</v>
      </c>
      <c r="O1713" s="53" t="n">
        <f aca="false">SUM(J1713:N1713)</f>
        <v>-0.136006469463245</v>
      </c>
    </row>
    <row r="1714" customFormat="false" ht="15" hidden="false" customHeight="false" outlineLevel="0" collapsed="false">
      <c r="A1714" s="2" t="n">
        <v>1706</v>
      </c>
      <c r="B1714" s="53" t="n">
        <f aca="true">NORMINV(RAND(),0,B$7)</f>
        <v>-4.92594500567359</v>
      </c>
      <c r="C1714" s="53" t="n">
        <f aca="true">NORMINV(RAND(),0,C$7)</f>
        <v>-1.6398962357604</v>
      </c>
      <c r="D1714" s="53" t="n">
        <f aca="true">NORMINV(RAND(),0,D$7)</f>
        <v>0.348326585815648</v>
      </c>
      <c r="E1714" s="53" t="n">
        <f aca="true">NORMINV(RAND(),0,E$7)</f>
        <v>-0.0078353398670871</v>
      </c>
      <c r="F1714" s="53" t="n">
        <f aca="true">NORMINV(RAND(),0,F$7)</f>
        <v>0.133863305442324</v>
      </c>
      <c r="G1714" s="53" t="n">
        <f aca="true">NORMINV(RAND(),0,G$7)</f>
        <v>-1.02926738308003</v>
      </c>
      <c r="H1714" s="53" t="n">
        <f aca="true">NORMINV(RAND(),0,H$7)</f>
        <v>0.151189314556386</v>
      </c>
      <c r="I1714" s="53" t="n">
        <f aca="false">SUM(B1714:H1714)</f>
        <v>-6.96956475856675</v>
      </c>
      <c r="J1714" s="53" t="n">
        <f aca="true">NORMINV(RAND(),0,J$7)</f>
        <v>-2.08770719837415</v>
      </c>
      <c r="K1714" s="53" t="n">
        <f aca="true">NORMINV(RAND(),0,K$7)</f>
        <v>-0.661707836412875</v>
      </c>
      <c r="L1714" s="53" t="n">
        <f aca="true">NORMINV(RAND(),0,L$7)</f>
        <v>-0.391254302829688</v>
      </c>
      <c r="M1714" s="53" t="n">
        <f aca="true">NORMINV(RAND(),0,M$7)</f>
        <v>0.0912516976305197</v>
      </c>
      <c r="N1714" s="53" t="n">
        <f aca="true">NORMINV(RAND(),0,N$7)</f>
        <v>-0.366103651000973</v>
      </c>
      <c r="O1714" s="53" t="n">
        <f aca="false">SUM(J1714:N1714)</f>
        <v>-3.41552129098717</v>
      </c>
    </row>
    <row r="1715" customFormat="false" ht="15" hidden="false" customHeight="false" outlineLevel="0" collapsed="false">
      <c r="A1715" s="2" t="n">
        <v>1707</v>
      </c>
      <c r="B1715" s="53" t="n">
        <f aca="true">NORMINV(RAND(),0,B$7)</f>
        <v>-0.560291516166828</v>
      </c>
      <c r="C1715" s="53" t="n">
        <f aca="true">NORMINV(RAND(),0,C$7)</f>
        <v>1.44134859591429</v>
      </c>
      <c r="D1715" s="53" t="n">
        <f aca="true">NORMINV(RAND(),0,D$7)</f>
        <v>-0.313280306468955</v>
      </c>
      <c r="E1715" s="53" t="n">
        <f aca="true">NORMINV(RAND(),0,E$7)</f>
        <v>-0.146927759258119</v>
      </c>
      <c r="F1715" s="53" t="n">
        <f aca="true">NORMINV(RAND(),0,F$7)</f>
        <v>0.223103749529258</v>
      </c>
      <c r="G1715" s="53" t="n">
        <f aca="true">NORMINV(RAND(),0,G$7)</f>
        <v>-0.0317994697135037</v>
      </c>
      <c r="H1715" s="53" t="n">
        <f aca="true">NORMINV(RAND(),0,H$7)</f>
        <v>0.304130991974257</v>
      </c>
      <c r="I1715" s="53" t="n">
        <f aca="false">SUM(B1715:H1715)</f>
        <v>0.916284285810397</v>
      </c>
      <c r="J1715" s="53" t="n">
        <f aca="true">NORMINV(RAND(),0,J$7)</f>
        <v>-0.702261820254673</v>
      </c>
      <c r="K1715" s="53" t="n">
        <f aca="true">NORMINV(RAND(),0,K$7)</f>
        <v>-0.252887725703137</v>
      </c>
      <c r="L1715" s="53" t="n">
        <f aca="true">NORMINV(RAND(),0,L$7)</f>
        <v>0.416837895795826</v>
      </c>
      <c r="M1715" s="53" t="n">
        <f aca="true">NORMINV(RAND(),0,M$7)</f>
        <v>-0.0383208497589866</v>
      </c>
      <c r="N1715" s="53" t="n">
        <f aca="true">NORMINV(RAND(),0,N$7)</f>
        <v>-0.217802362909855</v>
      </c>
      <c r="O1715" s="53" t="n">
        <f aca="false">SUM(J1715:N1715)</f>
        <v>-0.794434862830825</v>
      </c>
    </row>
    <row r="1716" customFormat="false" ht="15" hidden="false" customHeight="false" outlineLevel="0" collapsed="false">
      <c r="A1716" s="2" t="n">
        <v>1708</v>
      </c>
      <c r="B1716" s="53" t="n">
        <f aca="true">NORMINV(RAND(),0,B$7)</f>
        <v>-0.870539030087927</v>
      </c>
      <c r="C1716" s="53" t="n">
        <f aca="true">NORMINV(RAND(),0,C$7)</f>
        <v>1.41088960711292</v>
      </c>
      <c r="D1716" s="53" t="n">
        <f aca="true">NORMINV(RAND(),0,D$7)</f>
        <v>1.31831456800348</v>
      </c>
      <c r="E1716" s="53" t="n">
        <f aca="true">NORMINV(RAND(),0,E$7)</f>
        <v>0.0773904491244944</v>
      </c>
      <c r="F1716" s="53" t="n">
        <f aca="true">NORMINV(RAND(),0,F$7)</f>
        <v>-0.137896962093883</v>
      </c>
      <c r="G1716" s="53" t="n">
        <f aca="true">NORMINV(RAND(),0,G$7)</f>
        <v>1.05462492150227</v>
      </c>
      <c r="H1716" s="53" t="n">
        <f aca="true">NORMINV(RAND(),0,H$7)</f>
        <v>-0.0856188564041161</v>
      </c>
      <c r="I1716" s="53" t="n">
        <f aca="false">SUM(B1716:H1716)</f>
        <v>2.76716469715724</v>
      </c>
      <c r="J1716" s="53" t="n">
        <f aca="true">NORMINV(RAND(),0,J$7)</f>
        <v>0.18889108291264</v>
      </c>
      <c r="K1716" s="53" t="n">
        <f aca="true">NORMINV(RAND(),0,K$7)</f>
        <v>0.285240702633163</v>
      </c>
      <c r="L1716" s="53" t="n">
        <f aca="true">NORMINV(RAND(),0,L$7)</f>
        <v>-0.446437865060309</v>
      </c>
      <c r="M1716" s="53" t="n">
        <f aca="true">NORMINV(RAND(),0,M$7)</f>
        <v>-0.0563733531767362</v>
      </c>
      <c r="N1716" s="53" t="n">
        <f aca="true">NORMINV(RAND(),0,N$7)</f>
        <v>0.688320854542432</v>
      </c>
      <c r="O1716" s="53" t="n">
        <f aca="false">SUM(J1716:N1716)</f>
        <v>0.65964142185119</v>
      </c>
    </row>
    <row r="1717" customFormat="false" ht="15" hidden="false" customHeight="false" outlineLevel="0" collapsed="false">
      <c r="A1717" s="2" t="n">
        <v>1709</v>
      </c>
      <c r="B1717" s="53" t="n">
        <f aca="true">NORMINV(RAND(),0,B$7)</f>
        <v>-0.99885889596939</v>
      </c>
      <c r="C1717" s="53" t="n">
        <f aca="true">NORMINV(RAND(),0,C$7)</f>
        <v>-1.67964828246691</v>
      </c>
      <c r="D1717" s="53" t="n">
        <f aca="true">NORMINV(RAND(),0,D$7)</f>
        <v>-0.592753679374715</v>
      </c>
      <c r="E1717" s="53" t="n">
        <f aca="true">NORMINV(RAND(),0,E$7)</f>
        <v>0.340024682994852</v>
      </c>
      <c r="F1717" s="53" t="n">
        <f aca="true">NORMINV(RAND(),0,F$7)</f>
        <v>-0.0386048801151142</v>
      </c>
      <c r="G1717" s="53" t="n">
        <f aca="true">NORMINV(RAND(),0,G$7)</f>
        <v>1.57771534044959</v>
      </c>
      <c r="H1717" s="53" t="n">
        <f aca="true">NORMINV(RAND(),0,H$7)</f>
        <v>0.0548057906065308</v>
      </c>
      <c r="I1717" s="53" t="n">
        <f aca="false">SUM(B1717:H1717)</f>
        <v>-1.33731992387515</v>
      </c>
      <c r="J1717" s="53" t="n">
        <f aca="true">NORMINV(RAND(),0,J$7)</f>
        <v>0.628077360442771</v>
      </c>
      <c r="K1717" s="53" t="n">
        <f aca="true">NORMINV(RAND(),0,K$7)</f>
        <v>0.110506733034742</v>
      </c>
      <c r="L1717" s="53" t="n">
        <f aca="true">NORMINV(RAND(),0,L$7)</f>
        <v>-0.171201243799303</v>
      </c>
      <c r="M1717" s="53" t="n">
        <f aca="true">NORMINV(RAND(),0,M$7)</f>
        <v>0.0281776656632012</v>
      </c>
      <c r="N1717" s="53" t="n">
        <f aca="true">NORMINV(RAND(),0,N$7)</f>
        <v>-0.0706152953563143</v>
      </c>
      <c r="O1717" s="53" t="n">
        <f aca="false">SUM(J1717:N1717)</f>
        <v>0.524945219985098</v>
      </c>
    </row>
    <row r="1718" customFormat="false" ht="15" hidden="false" customHeight="false" outlineLevel="0" collapsed="false">
      <c r="A1718" s="2" t="n">
        <v>1710</v>
      </c>
      <c r="B1718" s="53" t="n">
        <f aca="true">NORMINV(RAND(),0,B$7)</f>
        <v>0.468206888995943</v>
      </c>
      <c r="C1718" s="53" t="n">
        <f aca="true">NORMINV(RAND(),0,C$7)</f>
        <v>-0.409427262433692</v>
      </c>
      <c r="D1718" s="53" t="n">
        <f aca="true">NORMINV(RAND(),0,D$7)</f>
        <v>-4.43224786885866</v>
      </c>
      <c r="E1718" s="53" t="n">
        <f aca="true">NORMINV(RAND(),0,E$7)</f>
        <v>0.0985561905563323</v>
      </c>
      <c r="F1718" s="53" t="n">
        <f aca="true">NORMINV(RAND(),0,F$7)</f>
        <v>0.226850572711618</v>
      </c>
      <c r="G1718" s="53" t="n">
        <f aca="true">NORMINV(RAND(),0,G$7)</f>
        <v>0.101853693606724</v>
      </c>
      <c r="H1718" s="53" t="n">
        <f aca="true">NORMINV(RAND(),0,H$7)</f>
        <v>0.0622085571410918</v>
      </c>
      <c r="I1718" s="53" t="n">
        <f aca="false">SUM(B1718:H1718)</f>
        <v>-3.88399922828064</v>
      </c>
      <c r="J1718" s="53" t="n">
        <f aca="true">NORMINV(RAND(),0,J$7)</f>
        <v>-0.433809086219913</v>
      </c>
      <c r="K1718" s="53" t="n">
        <f aca="true">NORMINV(RAND(),0,K$7)</f>
        <v>-0.635808177472927</v>
      </c>
      <c r="L1718" s="53" t="n">
        <f aca="true">NORMINV(RAND(),0,L$7)</f>
        <v>0.468111427055125</v>
      </c>
      <c r="M1718" s="53" t="n">
        <f aca="true">NORMINV(RAND(),0,M$7)</f>
        <v>-0.165686538167331</v>
      </c>
      <c r="N1718" s="53" t="n">
        <f aca="true">NORMINV(RAND(),0,N$7)</f>
        <v>-0.492036613121714</v>
      </c>
      <c r="O1718" s="53" t="n">
        <f aca="false">SUM(J1718:N1718)</f>
        <v>-1.25922898792676</v>
      </c>
    </row>
    <row r="1719" customFormat="false" ht="15" hidden="false" customHeight="false" outlineLevel="0" collapsed="false">
      <c r="A1719" s="2" t="n">
        <v>1711</v>
      </c>
      <c r="B1719" s="53" t="n">
        <f aca="true">NORMINV(RAND(),0,B$7)</f>
        <v>-1.69854637933025</v>
      </c>
      <c r="C1719" s="53" t="n">
        <f aca="true">NORMINV(RAND(),0,C$7)</f>
        <v>-0.084054113826878</v>
      </c>
      <c r="D1719" s="53" t="n">
        <f aca="true">NORMINV(RAND(),0,D$7)</f>
        <v>-0.431084564854235</v>
      </c>
      <c r="E1719" s="53" t="n">
        <f aca="true">NORMINV(RAND(),0,E$7)</f>
        <v>0.0337323407186636</v>
      </c>
      <c r="F1719" s="53" t="n">
        <f aca="true">NORMINV(RAND(),0,F$7)</f>
        <v>-0.299065096817945</v>
      </c>
      <c r="G1719" s="53" t="n">
        <f aca="true">NORMINV(RAND(),0,G$7)</f>
        <v>0.798511544306667</v>
      </c>
      <c r="H1719" s="53" t="n">
        <f aca="true">NORMINV(RAND(),0,H$7)</f>
        <v>-0.451712578707666</v>
      </c>
      <c r="I1719" s="53" t="n">
        <f aca="false">SUM(B1719:H1719)</f>
        <v>-2.13221884851164</v>
      </c>
      <c r="J1719" s="53" t="n">
        <f aca="true">NORMINV(RAND(),0,J$7)</f>
        <v>2.08577253969275</v>
      </c>
      <c r="K1719" s="53" t="n">
        <f aca="true">NORMINV(RAND(),0,K$7)</f>
        <v>0.183205948498499</v>
      </c>
      <c r="L1719" s="53" t="n">
        <f aca="true">NORMINV(RAND(),0,L$7)</f>
        <v>0.868428986368976</v>
      </c>
      <c r="M1719" s="53" t="n">
        <f aca="true">NORMINV(RAND(),0,M$7)</f>
        <v>-0.0581527380877999</v>
      </c>
      <c r="N1719" s="53" t="n">
        <f aca="true">NORMINV(RAND(),0,N$7)</f>
        <v>-0.561777799274312</v>
      </c>
      <c r="O1719" s="53" t="n">
        <f aca="false">SUM(J1719:N1719)</f>
        <v>2.51747693719811</v>
      </c>
    </row>
    <row r="1720" customFormat="false" ht="15" hidden="false" customHeight="false" outlineLevel="0" collapsed="false">
      <c r="A1720" s="2" t="n">
        <v>1712</v>
      </c>
      <c r="B1720" s="53" t="n">
        <f aca="true">NORMINV(RAND(),0,B$7)</f>
        <v>-1.64969611700993</v>
      </c>
      <c r="C1720" s="53" t="n">
        <f aca="true">NORMINV(RAND(),0,C$7)</f>
        <v>-3.79215292334461</v>
      </c>
      <c r="D1720" s="53" t="n">
        <f aca="true">NORMINV(RAND(),0,D$7)</f>
        <v>0.945313693533051</v>
      </c>
      <c r="E1720" s="53" t="n">
        <f aca="true">NORMINV(RAND(),0,E$7)</f>
        <v>-0.754789626524142</v>
      </c>
      <c r="F1720" s="53" t="n">
        <f aca="true">NORMINV(RAND(),0,F$7)</f>
        <v>-0.2774394057622</v>
      </c>
      <c r="G1720" s="53" t="n">
        <f aca="true">NORMINV(RAND(),0,G$7)</f>
        <v>1.37135249284164</v>
      </c>
      <c r="H1720" s="53" t="n">
        <f aca="true">NORMINV(RAND(),0,H$7)</f>
        <v>-0.415815975118237</v>
      </c>
      <c r="I1720" s="53" t="n">
        <f aca="false">SUM(B1720:H1720)</f>
        <v>-4.57322786138442</v>
      </c>
      <c r="J1720" s="53" t="n">
        <f aca="true">NORMINV(RAND(),0,J$7)</f>
        <v>0.727119070478793</v>
      </c>
      <c r="K1720" s="53" t="n">
        <f aca="true">NORMINV(RAND(),0,K$7)</f>
        <v>0.653231105932782</v>
      </c>
      <c r="L1720" s="53" t="n">
        <f aca="true">NORMINV(RAND(),0,L$7)</f>
        <v>-0.207617563855008</v>
      </c>
      <c r="M1720" s="53" t="n">
        <f aca="true">NORMINV(RAND(),0,M$7)</f>
        <v>0.319192742683111</v>
      </c>
      <c r="N1720" s="53" t="n">
        <f aca="true">NORMINV(RAND(),0,N$7)</f>
        <v>0.181003107857626</v>
      </c>
      <c r="O1720" s="53" t="n">
        <f aca="false">SUM(J1720:N1720)</f>
        <v>1.6729284630973</v>
      </c>
    </row>
    <row r="1721" customFormat="false" ht="15" hidden="false" customHeight="false" outlineLevel="0" collapsed="false">
      <c r="A1721" s="2" t="n">
        <v>1713</v>
      </c>
      <c r="B1721" s="53" t="n">
        <f aca="true">NORMINV(RAND(),0,B$7)</f>
        <v>1.85467660348517</v>
      </c>
      <c r="C1721" s="53" t="n">
        <f aca="true">NORMINV(RAND(),0,C$7)</f>
        <v>-0.000308447108752024</v>
      </c>
      <c r="D1721" s="53" t="n">
        <f aca="true">NORMINV(RAND(),0,D$7)</f>
        <v>-0.64249863465403</v>
      </c>
      <c r="E1721" s="53" t="n">
        <f aca="true">NORMINV(RAND(),0,E$7)</f>
        <v>-0.0243353623875263</v>
      </c>
      <c r="F1721" s="53" t="n">
        <f aca="true">NORMINV(RAND(),0,F$7)</f>
        <v>-0.329436735404211</v>
      </c>
      <c r="G1721" s="53" t="n">
        <f aca="true">NORMINV(RAND(),0,G$7)</f>
        <v>2.00332463253273</v>
      </c>
      <c r="H1721" s="53" t="n">
        <f aca="true">NORMINV(RAND(),0,H$7)</f>
        <v>-0.038388687132159</v>
      </c>
      <c r="I1721" s="53" t="n">
        <f aca="false">SUM(B1721:H1721)</f>
        <v>2.82303336933122</v>
      </c>
      <c r="J1721" s="53" t="n">
        <f aca="true">NORMINV(RAND(),0,J$7)</f>
        <v>-2.03454104098389</v>
      </c>
      <c r="K1721" s="53" t="n">
        <f aca="true">NORMINV(RAND(),0,K$7)</f>
        <v>-0.254325097815743</v>
      </c>
      <c r="L1721" s="53" t="n">
        <f aca="true">NORMINV(RAND(),0,L$7)</f>
        <v>0.736261872716398</v>
      </c>
      <c r="M1721" s="53" t="n">
        <f aca="true">NORMINV(RAND(),0,M$7)</f>
        <v>0.217346271426275</v>
      </c>
      <c r="N1721" s="53" t="n">
        <f aca="true">NORMINV(RAND(),0,N$7)</f>
        <v>-0.501492124888691</v>
      </c>
      <c r="O1721" s="53" t="n">
        <f aca="false">SUM(J1721:N1721)</f>
        <v>-1.83675011954565</v>
      </c>
    </row>
    <row r="1722" customFormat="false" ht="15" hidden="false" customHeight="false" outlineLevel="0" collapsed="false">
      <c r="A1722" s="2" t="n">
        <v>1714</v>
      </c>
      <c r="B1722" s="53" t="n">
        <f aca="true">NORMINV(RAND(),0,B$7)</f>
        <v>-0.684987675883032</v>
      </c>
      <c r="C1722" s="53" t="n">
        <f aca="true">NORMINV(RAND(),0,C$7)</f>
        <v>-0.902228529511452</v>
      </c>
      <c r="D1722" s="53" t="n">
        <f aca="true">NORMINV(RAND(),0,D$7)</f>
        <v>1.98651715877228</v>
      </c>
      <c r="E1722" s="53" t="n">
        <f aca="true">NORMINV(RAND(),0,E$7)</f>
        <v>-0.435547647663177</v>
      </c>
      <c r="F1722" s="53" t="n">
        <f aca="true">NORMINV(RAND(),0,F$7)</f>
        <v>0.292431923556487</v>
      </c>
      <c r="G1722" s="53" t="n">
        <f aca="true">NORMINV(RAND(),0,G$7)</f>
        <v>0.657175986517847</v>
      </c>
      <c r="H1722" s="53" t="n">
        <f aca="true">NORMINV(RAND(),0,H$7)</f>
        <v>-0.273418870823543</v>
      </c>
      <c r="I1722" s="53" t="n">
        <f aca="false">SUM(B1722:H1722)</f>
        <v>0.639942344965412</v>
      </c>
      <c r="J1722" s="53" t="n">
        <f aca="true">NORMINV(RAND(),0,J$7)</f>
        <v>1.90457371620933</v>
      </c>
      <c r="K1722" s="53" t="n">
        <f aca="true">NORMINV(RAND(),0,K$7)</f>
        <v>-0.237117174861307</v>
      </c>
      <c r="L1722" s="53" t="n">
        <f aca="true">NORMINV(RAND(),0,L$7)</f>
        <v>-0.288551799644544</v>
      </c>
      <c r="M1722" s="53" t="n">
        <f aca="true">NORMINV(RAND(),0,M$7)</f>
        <v>-0.104368928565258</v>
      </c>
      <c r="N1722" s="53" t="n">
        <f aca="true">NORMINV(RAND(),0,N$7)</f>
        <v>0.143622199303322</v>
      </c>
      <c r="O1722" s="53" t="n">
        <f aca="false">SUM(J1722:N1722)</f>
        <v>1.41815801244154</v>
      </c>
    </row>
    <row r="1723" customFormat="false" ht="15" hidden="false" customHeight="false" outlineLevel="0" collapsed="false">
      <c r="A1723" s="2" t="n">
        <v>1715</v>
      </c>
      <c r="B1723" s="53" t="n">
        <f aca="true">NORMINV(RAND(),0,B$7)</f>
        <v>-0.685708832138964</v>
      </c>
      <c r="C1723" s="53" t="n">
        <f aca="true">NORMINV(RAND(),0,C$7)</f>
        <v>-0.363187687090072</v>
      </c>
      <c r="D1723" s="53" t="n">
        <f aca="true">NORMINV(RAND(),0,D$7)</f>
        <v>2.73034388001326</v>
      </c>
      <c r="E1723" s="53" t="n">
        <f aca="true">NORMINV(RAND(),0,E$7)</f>
        <v>0.404607134953771</v>
      </c>
      <c r="F1723" s="53" t="n">
        <f aca="true">NORMINV(RAND(),0,F$7)</f>
        <v>-0.452871749221277</v>
      </c>
      <c r="G1723" s="53" t="n">
        <f aca="true">NORMINV(RAND(),0,G$7)</f>
        <v>-1.37934902181633</v>
      </c>
      <c r="H1723" s="53" t="n">
        <f aca="true">NORMINV(RAND(),0,H$7)</f>
        <v>0.114913172012088</v>
      </c>
      <c r="I1723" s="53" t="n">
        <f aca="false">SUM(B1723:H1723)</f>
        <v>0.368746896712484</v>
      </c>
      <c r="J1723" s="53" t="n">
        <f aca="true">NORMINV(RAND(),0,J$7)</f>
        <v>0.157708044740862</v>
      </c>
      <c r="K1723" s="53" t="n">
        <f aca="true">NORMINV(RAND(),0,K$7)</f>
        <v>-1.16820323623688</v>
      </c>
      <c r="L1723" s="53" t="n">
        <f aca="true">NORMINV(RAND(),0,L$7)</f>
        <v>-0.0346502624726098</v>
      </c>
      <c r="M1723" s="53" t="n">
        <f aca="true">NORMINV(RAND(),0,M$7)</f>
        <v>0.0231864738093765</v>
      </c>
      <c r="N1723" s="53" t="n">
        <f aca="true">NORMINV(RAND(),0,N$7)</f>
        <v>0.119515261404012</v>
      </c>
      <c r="O1723" s="53" t="n">
        <f aca="false">SUM(J1723:N1723)</f>
        <v>-0.90244371875524</v>
      </c>
    </row>
    <row r="1724" customFormat="false" ht="15" hidden="false" customHeight="false" outlineLevel="0" collapsed="false">
      <c r="A1724" s="2" t="n">
        <v>1716</v>
      </c>
      <c r="B1724" s="53" t="n">
        <f aca="true">NORMINV(RAND(),0,B$7)</f>
        <v>0.375107896534909</v>
      </c>
      <c r="C1724" s="53" t="n">
        <f aca="true">NORMINV(RAND(),0,C$7)</f>
        <v>0.410794137659773</v>
      </c>
      <c r="D1724" s="53" t="n">
        <f aca="true">NORMINV(RAND(),0,D$7)</f>
        <v>-1.49643909585822</v>
      </c>
      <c r="E1724" s="53" t="n">
        <f aca="true">NORMINV(RAND(),0,E$7)</f>
        <v>-0.014984349502994</v>
      </c>
      <c r="F1724" s="53" t="n">
        <f aca="true">NORMINV(RAND(),0,F$7)</f>
        <v>-0.51214612977678</v>
      </c>
      <c r="G1724" s="53" t="n">
        <f aca="true">NORMINV(RAND(),0,G$7)</f>
        <v>1.52719223093912</v>
      </c>
      <c r="H1724" s="53" t="n">
        <f aca="true">NORMINV(RAND(),0,H$7)</f>
        <v>-0.503978969007476</v>
      </c>
      <c r="I1724" s="53" t="n">
        <f aca="false">SUM(B1724:H1724)</f>
        <v>-0.214454279011667</v>
      </c>
      <c r="J1724" s="53" t="n">
        <f aca="true">NORMINV(RAND(),0,J$7)</f>
        <v>2.37646177303308</v>
      </c>
      <c r="K1724" s="53" t="n">
        <f aca="true">NORMINV(RAND(),0,K$7)</f>
        <v>-0.0909322451525373</v>
      </c>
      <c r="L1724" s="53" t="n">
        <f aca="true">NORMINV(RAND(),0,L$7)</f>
        <v>0.0139840254149106</v>
      </c>
      <c r="M1724" s="53" t="n">
        <f aca="true">NORMINV(RAND(),0,M$7)</f>
        <v>-0.055242291636002</v>
      </c>
      <c r="N1724" s="53" t="n">
        <f aca="true">NORMINV(RAND(),0,N$7)</f>
        <v>0.218843225278858</v>
      </c>
      <c r="O1724" s="53" t="n">
        <f aca="false">SUM(J1724:N1724)</f>
        <v>2.46311448693831</v>
      </c>
    </row>
    <row r="1725" customFormat="false" ht="15" hidden="false" customHeight="false" outlineLevel="0" collapsed="false">
      <c r="A1725" s="2" t="n">
        <v>1717</v>
      </c>
      <c r="B1725" s="53" t="n">
        <f aca="true">NORMINV(RAND(),0,B$7)</f>
        <v>0.736037022145684</v>
      </c>
      <c r="C1725" s="53" t="n">
        <f aca="true">NORMINV(RAND(),0,C$7)</f>
        <v>0.97503114074635</v>
      </c>
      <c r="D1725" s="53" t="n">
        <f aca="true">NORMINV(RAND(),0,D$7)</f>
        <v>4.2327482186531</v>
      </c>
      <c r="E1725" s="53" t="n">
        <f aca="true">NORMINV(RAND(),0,E$7)</f>
        <v>-0.113953694326511</v>
      </c>
      <c r="F1725" s="53" t="n">
        <f aca="true">NORMINV(RAND(),0,F$7)</f>
        <v>0.272091250395213</v>
      </c>
      <c r="G1725" s="53" t="n">
        <f aca="true">NORMINV(RAND(),0,G$7)</f>
        <v>-1.46062831340615</v>
      </c>
      <c r="H1725" s="53" t="n">
        <f aca="true">NORMINV(RAND(),0,H$7)</f>
        <v>0.338287629368638</v>
      </c>
      <c r="I1725" s="53" t="n">
        <f aca="false">SUM(B1725:H1725)</f>
        <v>4.97961325357632</v>
      </c>
      <c r="J1725" s="53" t="n">
        <f aca="true">NORMINV(RAND(),0,J$7)</f>
        <v>0.125140033620673</v>
      </c>
      <c r="K1725" s="53" t="n">
        <f aca="true">NORMINV(RAND(),0,K$7)</f>
        <v>-0.354062013030445</v>
      </c>
      <c r="L1725" s="53" t="n">
        <f aca="true">NORMINV(RAND(),0,L$7)</f>
        <v>-0.678258479560158</v>
      </c>
      <c r="M1725" s="53" t="n">
        <f aca="true">NORMINV(RAND(),0,M$7)</f>
        <v>-0.291090121868002</v>
      </c>
      <c r="N1725" s="53" t="n">
        <f aca="true">NORMINV(RAND(),0,N$7)</f>
        <v>-0.0987219981669092</v>
      </c>
      <c r="O1725" s="53" t="n">
        <f aca="false">SUM(J1725:N1725)</f>
        <v>-1.29699257900484</v>
      </c>
    </row>
    <row r="1726" customFormat="false" ht="15" hidden="false" customHeight="false" outlineLevel="0" collapsed="false">
      <c r="A1726" s="2" t="n">
        <v>1718</v>
      </c>
      <c r="B1726" s="53" t="n">
        <f aca="true">NORMINV(RAND(),0,B$7)</f>
        <v>3.23024408730867</v>
      </c>
      <c r="C1726" s="53" t="n">
        <f aca="true">NORMINV(RAND(),0,C$7)</f>
        <v>-1.52827619852075</v>
      </c>
      <c r="D1726" s="53" t="n">
        <f aca="true">NORMINV(RAND(),0,D$7)</f>
        <v>0.790378067371461</v>
      </c>
      <c r="E1726" s="53" t="n">
        <f aca="true">NORMINV(RAND(),0,E$7)</f>
        <v>-0.491236633726406</v>
      </c>
      <c r="F1726" s="53" t="n">
        <f aca="true">NORMINV(RAND(),0,F$7)</f>
        <v>0.361259517902343</v>
      </c>
      <c r="G1726" s="53" t="n">
        <f aca="true">NORMINV(RAND(),0,G$7)</f>
        <v>0.05685152000326</v>
      </c>
      <c r="H1726" s="53" t="n">
        <f aca="true">NORMINV(RAND(),0,H$7)</f>
        <v>0.600597117177258</v>
      </c>
      <c r="I1726" s="53" t="n">
        <f aca="false">SUM(B1726:H1726)</f>
        <v>3.01981747751584</v>
      </c>
      <c r="J1726" s="53" t="n">
        <f aca="true">NORMINV(RAND(),0,J$7)</f>
        <v>-0.64908802164002</v>
      </c>
      <c r="K1726" s="53" t="n">
        <f aca="true">NORMINV(RAND(),0,K$7)</f>
        <v>0.945684892037171</v>
      </c>
      <c r="L1726" s="53" t="n">
        <f aca="true">NORMINV(RAND(),0,L$7)</f>
        <v>-0.198323432384339</v>
      </c>
      <c r="M1726" s="53" t="n">
        <f aca="true">NORMINV(RAND(),0,M$7)</f>
        <v>0.0899654051707068</v>
      </c>
      <c r="N1726" s="53" t="n">
        <f aca="true">NORMINV(RAND(),0,N$7)</f>
        <v>-1.01179831898623</v>
      </c>
      <c r="O1726" s="53" t="n">
        <f aca="false">SUM(J1726:N1726)</f>
        <v>-0.823559475802715</v>
      </c>
    </row>
    <row r="1727" customFormat="false" ht="15" hidden="false" customHeight="false" outlineLevel="0" collapsed="false">
      <c r="A1727" s="2" t="n">
        <v>1719</v>
      </c>
      <c r="B1727" s="53" t="n">
        <f aca="true">NORMINV(RAND(),0,B$7)</f>
        <v>2.79784991487563</v>
      </c>
      <c r="C1727" s="53" t="n">
        <f aca="true">NORMINV(RAND(),0,C$7)</f>
        <v>-1.61620705442483</v>
      </c>
      <c r="D1727" s="53" t="n">
        <f aca="true">NORMINV(RAND(),0,D$7)</f>
        <v>1.41249016882885</v>
      </c>
      <c r="E1727" s="53" t="n">
        <f aca="true">NORMINV(RAND(),0,E$7)</f>
        <v>-0.0310450586156186</v>
      </c>
      <c r="F1727" s="53" t="n">
        <f aca="true">NORMINV(RAND(),0,F$7)</f>
        <v>-0.698702666268279</v>
      </c>
      <c r="G1727" s="53" t="n">
        <f aca="true">NORMINV(RAND(),0,G$7)</f>
        <v>1.33363240007399</v>
      </c>
      <c r="H1727" s="53" t="n">
        <f aca="true">NORMINV(RAND(),0,H$7)</f>
        <v>0.144534527491786</v>
      </c>
      <c r="I1727" s="53" t="n">
        <f aca="false">SUM(B1727:H1727)</f>
        <v>3.34255223196153</v>
      </c>
      <c r="J1727" s="53" t="n">
        <f aca="true">NORMINV(RAND(),0,J$7)</f>
        <v>1.20356938551252</v>
      </c>
      <c r="K1727" s="53" t="n">
        <f aca="true">NORMINV(RAND(),0,K$7)</f>
        <v>-0.657596841838515</v>
      </c>
      <c r="L1727" s="53" t="n">
        <f aca="true">NORMINV(RAND(),0,L$7)</f>
        <v>0.104222273788329</v>
      </c>
      <c r="M1727" s="53" t="n">
        <f aca="true">NORMINV(RAND(),0,M$7)</f>
        <v>0.00707302415451199</v>
      </c>
      <c r="N1727" s="53" t="n">
        <f aca="true">NORMINV(RAND(),0,N$7)</f>
        <v>-0.581321218969866</v>
      </c>
      <c r="O1727" s="53" t="n">
        <f aca="false">SUM(J1727:N1727)</f>
        <v>0.0759466226469807</v>
      </c>
    </row>
    <row r="1728" customFormat="false" ht="15" hidden="false" customHeight="false" outlineLevel="0" collapsed="false">
      <c r="A1728" s="2" t="n">
        <v>1720</v>
      </c>
      <c r="B1728" s="53" t="n">
        <f aca="true">NORMINV(RAND(),0,B$7)</f>
        <v>2.40643757171413</v>
      </c>
      <c r="C1728" s="53" t="n">
        <f aca="true">NORMINV(RAND(),0,C$7)</f>
        <v>-2.42718321663809</v>
      </c>
      <c r="D1728" s="53" t="n">
        <f aca="true">NORMINV(RAND(),0,D$7)</f>
        <v>0.874563605213751</v>
      </c>
      <c r="E1728" s="53" t="n">
        <f aca="true">NORMINV(RAND(),0,E$7)</f>
        <v>-0.0804518375501352</v>
      </c>
      <c r="F1728" s="53" t="n">
        <f aca="true">NORMINV(RAND(),0,F$7)</f>
        <v>-0.158963004253651</v>
      </c>
      <c r="G1728" s="53" t="n">
        <f aca="true">NORMINV(RAND(),0,G$7)</f>
        <v>-0.415487644950225</v>
      </c>
      <c r="H1728" s="53" t="n">
        <f aca="true">NORMINV(RAND(),0,H$7)</f>
        <v>0.064443081272125</v>
      </c>
      <c r="I1728" s="53" t="n">
        <f aca="false">SUM(B1728:H1728)</f>
        <v>0.263358554807908</v>
      </c>
      <c r="J1728" s="53" t="n">
        <f aca="true">NORMINV(RAND(),0,J$7)</f>
        <v>3.10382534818002</v>
      </c>
      <c r="K1728" s="53" t="n">
        <f aca="true">NORMINV(RAND(),0,K$7)</f>
        <v>0.0274276595980334</v>
      </c>
      <c r="L1728" s="53" t="n">
        <f aca="true">NORMINV(RAND(),0,L$7)</f>
        <v>-0.166725984276417</v>
      </c>
      <c r="M1728" s="53" t="n">
        <f aca="true">NORMINV(RAND(),0,M$7)</f>
        <v>0.0463403616508837</v>
      </c>
      <c r="N1728" s="53" t="n">
        <f aca="true">NORMINV(RAND(),0,N$7)</f>
        <v>0.155280659105597</v>
      </c>
      <c r="O1728" s="53" t="n">
        <f aca="false">SUM(J1728:N1728)</f>
        <v>3.16614804425812</v>
      </c>
    </row>
    <row r="1729" customFormat="false" ht="15" hidden="false" customHeight="false" outlineLevel="0" collapsed="false">
      <c r="A1729" s="2" t="n">
        <v>1721</v>
      </c>
      <c r="B1729" s="53" t="n">
        <f aca="true">NORMINV(RAND(),0,B$7)</f>
        <v>-0.385418697750981</v>
      </c>
      <c r="C1729" s="53" t="n">
        <f aca="true">NORMINV(RAND(),0,C$7)</f>
        <v>-0.565496027845889</v>
      </c>
      <c r="D1729" s="53" t="n">
        <f aca="true">NORMINV(RAND(),0,D$7)</f>
        <v>-0.312218271122223</v>
      </c>
      <c r="E1729" s="53" t="n">
        <f aca="true">NORMINV(RAND(),0,E$7)</f>
        <v>-0.197337834083241</v>
      </c>
      <c r="F1729" s="53" t="n">
        <f aca="true">NORMINV(RAND(),0,F$7)</f>
        <v>-0.0179317928370979</v>
      </c>
      <c r="G1729" s="53" t="n">
        <f aca="true">NORMINV(RAND(),0,G$7)</f>
        <v>-0.544087426044477</v>
      </c>
      <c r="H1729" s="53" t="n">
        <f aca="true">NORMINV(RAND(),0,H$7)</f>
        <v>-0.126446854552846</v>
      </c>
      <c r="I1729" s="53" t="n">
        <f aca="false">SUM(B1729:H1729)</f>
        <v>-2.14893690423675</v>
      </c>
      <c r="J1729" s="53" t="n">
        <f aca="true">NORMINV(RAND(),0,J$7)</f>
        <v>3.02280605728554</v>
      </c>
      <c r="K1729" s="53" t="n">
        <f aca="true">NORMINV(RAND(),0,K$7)</f>
        <v>0.939918868471417</v>
      </c>
      <c r="L1729" s="53" t="n">
        <f aca="true">NORMINV(RAND(),0,L$7)</f>
        <v>0.121137523288114</v>
      </c>
      <c r="M1729" s="53" t="n">
        <f aca="true">NORMINV(RAND(),0,M$7)</f>
        <v>0.243855853716061</v>
      </c>
      <c r="N1729" s="53" t="n">
        <f aca="true">NORMINV(RAND(),0,N$7)</f>
        <v>0.232019359481639</v>
      </c>
      <c r="O1729" s="53" t="n">
        <f aca="false">SUM(J1729:N1729)</f>
        <v>4.55973766224277</v>
      </c>
    </row>
    <row r="1730" customFormat="false" ht="15" hidden="false" customHeight="false" outlineLevel="0" collapsed="false">
      <c r="A1730" s="2" t="n">
        <v>1722</v>
      </c>
      <c r="B1730" s="53" t="n">
        <f aca="true">NORMINV(RAND(),0,B$7)</f>
        <v>1.25303541160577</v>
      </c>
      <c r="C1730" s="53" t="n">
        <f aca="true">NORMINV(RAND(),0,C$7)</f>
        <v>0.547716486490809</v>
      </c>
      <c r="D1730" s="53" t="n">
        <f aca="true">NORMINV(RAND(),0,D$7)</f>
        <v>0.431003856990324</v>
      </c>
      <c r="E1730" s="53" t="n">
        <f aca="true">NORMINV(RAND(),0,E$7)</f>
        <v>-0.534937257864335</v>
      </c>
      <c r="F1730" s="53" t="n">
        <f aca="true">NORMINV(RAND(),0,F$7)</f>
        <v>0.408537875364963</v>
      </c>
      <c r="G1730" s="53" t="n">
        <f aca="true">NORMINV(RAND(),0,G$7)</f>
        <v>0.479530693237256</v>
      </c>
      <c r="H1730" s="53" t="n">
        <f aca="true">NORMINV(RAND(),0,H$7)</f>
        <v>-0.594475611420548</v>
      </c>
      <c r="I1730" s="53" t="n">
        <f aca="false">SUM(B1730:H1730)</f>
        <v>1.99041145440424</v>
      </c>
      <c r="J1730" s="53" t="n">
        <f aca="true">NORMINV(RAND(),0,J$7)</f>
        <v>2.84749733267873</v>
      </c>
      <c r="K1730" s="53" t="n">
        <f aca="true">NORMINV(RAND(),0,K$7)</f>
        <v>-0.272810218236678</v>
      </c>
      <c r="L1730" s="53" t="n">
        <f aca="true">NORMINV(RAND(),0,L$7)</f>
        <v>-0.138626366853687</v>
      </c>
      <c r="M1730" s="53" t="n">
        <f aca="true">NORMINV(RAND(),0,M$7)</f>
        <v>-0.167168622360667</v>
      </c>
      <c r="N1730" s="53" t="n">
        <f aca="true">NORMINV(RAND(),0,N$7)</f>
        <v>0.263452330858773</v>
      </c>
      <c r="O1730" s="53" t="n">
        <f aca="false">SUM(J1730:N1730)</f>
        <v>2.53234445608647</v>
      </c>
    </row>
    <row r="1731" customFormat="false" ht="15" hidden="false" customHeight="false" outlineLevel="0" collapsed="false">
      <c r="A1731" s="2" t="n">
        <v>1723</v>
      </c>
      <c r="B1731" s="53" t="n">
        <f aca="true">NORMINV(RAND(),0,B$7)</f>
        <v>-2.00576746933865</v>
      </c>
      <c r="C1731" s="53" t="n">
        <f aca="true">NORMINV(RAND(),0,C$7)</f>
        <v>1.2224027194151</v>
      </c>
      <c r="D1731" s="53" t="n">
        <f aca="true">NORMINV(RAND(),0,D$7)</f>
        <v>-1.77639852274597</v>
      </c>
      <c r="E1731" s="53" t="n">
        <f aca="true">NORMINV(RAND(),0,E$7)</f>
        <v>-0.386811178440717</v>
      </c>
      <c r="F1731" s="53" t="n">
        <f aca="true">NORMINV(RAND(),0,F$7)</f>
        <v>-0.464793446235398</v>
      </c>
      <c r="G1731" s="53" t="n">
        <f aca="true">NORMINV(RAND(),0,G$7)</f>
        <v>-0.107350179298404</v>
      </c>
      <c r="H1731" s="53" t="n">
        <f aca="true">NORMINV(RAND(),0,H$7)</f>
        <v>0.26152516191834</v>
      </c>
      <c r="I1731" s="53" t="n">
        <f aca="false">SUM(B1731:H1731)</f>
        <v>-3.2571929147257</v>
      </c>
      <c r="J1731" s="53" t="n">
        <f aca="true">NORMINV(RAND(),0,J$7)</f>
        <v>-3.07825187855481</v>
      </c>
      <c r="K1731" s="53" t="n">
        <f aca="true">NORMINV(RAND(),0,K$7)</f>
        <v>2.22265906357573</v>
      </c>
      <c r="L1731" s="53" t="n">
        <f aca="true">NORMINV(RAND(),0,L$7)</f>
        <v>0.267084456124166</v>
      </c>
      <c r="M1731" s="53" t="n">
        <f aca="true">NORMINV(RAND(),0,M$7)</f>
        <v>-0.0912442267987089</v>
      </c>
      <c r="N1731" s="53" t="n">
        <f aca="true">NORMINV(RAND(),0,N$7)</f>
        <v>0.00622918767366697</v>
      </c>
      <c r="O1731" s="53" t="n">
        <f aca="false">SUM(J1731:N1731)</f>
        <v>-0.673523397979956</v>
      </c>
    </row>
    <row r="1732" customFormat="false" ht="15" hidden="false" customHeight="false" outlineLevel="0" collapsed="false">
      <c r="A1732" s="2" t="n">
        <v>1724</v>
      </c>
      <c r="B1732" s="53" t="n">
        <f aca="true">NORMINV(RAND(),0,B$7)</f>
        <v>-0.283894604501418</v>
      </c>
      <c r="C1732" s="53" t="n">
        <f aca="true">NORMINV(RAND(),0,C$7)</f>
        <v>-0.212696399914851</v>
      </c>
      <c r="D1732" s="53" t="n">
        <f aca="true">NORMINV(RAND(),0,D$7)</f>
        <v>-2.22633727866481</v>
      </c>
      <c r="E1732" s="53" t="n">
        <f aca="true">NORMINV(RAND(),0,E$7)</f>
        <v>-0.104538906246586</v>
      </c>
      <c r="F1732" s="53" t="n">
        <f aca="true">NORMINV(RAND(),0,F$7)</f>
        <v>0.045402557796371</v>
      </c>
      <c r="G1732" s="53" t="n">
        <f aca="true">NORMINV(RAND(),0,G$7)</f>
        <v>2.27105322607906</v>
      </c>
      <c r="H1732" s="53" t="n">
        <f aca="true">NORMINV(RAND(),0,H$7)</f>
        <v>-0.239261743518021</v>
      </c>
      <c r="I1732" s="53" t="n">
        <f aca="false">SUM(B1732:H1732)</f>
        <v>-0.750273148970255</v>
      </c>
      <c r="J1732" s="53" t="n">
        <f aca="true">NORMINV(RAND(),0,J$7)</f>
        <v>-1.82515522131043</v>
      </c>
      <c r="K1732" s="53" t="n">
        <f aca="true">NORMINV(RAND(),0,K$7)</f>
        <v>-0.0179832426354782</v>
      </c>
      <c r="L1732" s="53" t="n">
        <f aca="true">NORMINV(RAND(),0,L$7)</f>
        <v>-0.116522693420856</v>
      </c>
      <c r="M1732" s="53" t="n">
        <f aca="true">NORMINV(RAND(),0,M$7)</f>
        <v>-0.330145889956977</v>
      </c>
      <c r="N1732" s="53" t="n">
        <f aca="true">NORMINV(RAND(),0,N$7)</f>
        <v>-0.357242998321437</v>
      </c>
      <c r="O1732" s="53" t="n">
        <f aca="false">SUM(J1732:N1732)</f>
        <v>-2.64705004564518</v>
      </c>
    </row>
    <row r="1733" customFormat="false" ht="15" hidden="false" customHeight="false" outlineLevel="0" collapsed="false">
      <c r="A1733" s="2" t="n">
        <v>1725</v>
      </c>
      <c r="B1733" s="53" t="n">
        <f aca="true">NORMINV(RAND(),0,B$7)</f>
        <v>-0.538720783560004</v>
      </c>
      <c r="C1733" s="53" t="n">
        <f aca="true">NORMINV(RAND(),0,C$7)</f>
        <v>-2.07640505701914</v>
      </c>
      <c r="D1733" s="53" t="n">
        <f aca="true">NORMINV(RAND(),0,D$7)</f>
        <v>-0.829995586016453</v>
      </c>
      <c r="E1733" s="53" t="n">
        <f aca="true">NORMINV(RAND(),0,E$7)</f>
        <v>0.220057854937518</v>
      </c>
      <c r="F1733" s="53" t="n">
        <f aca="true">NORMINV(RAND(),0,F$7)</f>
        <v>-0.195838027881675</v>
      </c>
      <c r="G1733" s="53" t="n">
        <f aca="true">NORMINV(RAND(),0,G$7)</f>
        <v>1.15156788917868</v>
      </c>
      <c r="H1733" s="53" t="n">
        <f aca="true">NORMINV(RAND(),0,H$7)</f>
        <v>0.386588917065252</v>
      </c>
      <c r="I1733" s="53" t="n">
        <f aca="false">SUM(B1733:H1733)</f>
        <v>-1.88274479329582</v>
      </c>
      <c r="J1733" s="53" t="n">
        <f aca="true">NORMINV(RAND(),0,J$7)</f>
        <v>5.28592795180094</v>
      </c>
      <c r="K1733" s="53" t="n">
        <f aca="true">NORMINV(RAND(),0,K$7)</f>
        <v>-0.356265210309354</v>
      </c>
      <c r="L1733" s="53" t="n">
        <f aca="true">NORMINV(RAND(),0,L$7)</f>
        <v>0.135172630142941</v>
      </c>
      <c r="M1733" s="53" t="n">
        <f aca="true">NORMINV(RAND(),0,M$7)</f>
        <v>0.0438253833301444</v>
      </c>
      <c r="N1733" s="53" t="n">
        <f aca="true">NORMINV(RAND(),0,N$7)</f>
        <v>0.383022741114518</v>
      </c>
      <c r="O1733" s="53" t="n">
        <f aca="false">SUM(J1733:N1733)</f>
        <v>5.49168349607919</v>
      </c>
    </row>
    <row r="1734" customFormat="false" ht="15" hidden="false" customHeight="false" outlineLevel="0" collapsed="false">
      <c r="A1734" s="2" t="n">
        <v>1726</v>
      </c>
      <c r="B1734" s="53" t="n">
        <f aca="true">NORMINV(RAND(),0,B$7)</f>
        <v>0.210832260922904</v>
      </c>
      <c r="C1734" s="53" t="n">
        <f aca="true">NORMINV(RAND(),0,C$7)</f>
        <v>0.358901489474373</v>
      </c>
      <c r="D1734" s="53" t="n">
        <f aca="true">NORMINV(RAND(),0,D$7)</f>
        <v>1.81982379810152</v>
      </c>
      <c r="E1734" s="53" t="n">
        <f aca="true">NORMINV(RAND(),0,E$7)</f>
        <v>-0.193523725672969</v>
      </c>
      <c r="F1734" s="53" t="n">
        <f aca="true">NORMINV(RAND(),0,F$7)</f>
        <v>-0.0988539587750257</v>
      </c>
      <c r="G1734" s="53" t="n">
        <f aca="true">NORMINV(RAND(),0,G$7)</f>
        <v>1.02490674597985</v>
      </c>
      <c r="H1734" s="53" t="n">
        <f aca="true">NORMINV(RAND(),0,H$7)</f>
        <v>0.744652433110813</v>
      </c>
      <c r="I1734" s="53" t="n">
        <f aca="false">SUM(B1734:H1734)</f>
        <v>3.86673904314146</v>
      </c>
      <c r="J1734" s="53" t="n">
        <f aca="true">NORMINV(RAND(),0,J$7)</f>
        <v>-1.49579111394848</v>
      </c>
      <c r="K1734" s="53" t="n">
        <f aca="true">NORMINV(RAND(),0,K$7)</f>
        <v>-0.57359258720867</v>
      </c>
      <c r="L1734" s="53" t="n">
        <f aca="true">NORMINV(RAND(),0,L$7)</f>
        <v>0.586310410262862</v>
      </c>
      <c r="M1734" s="53" t="n">
        <f aca="true">NORMINV(RAND(),0,M$7)</f>
        <v>-0.0483968215907782</v>
      </c>
      <c r="N1734" s="53" t="n">
        <f aca="true">NORMINV(RAND(),0,N$7)</f>
        <v>-0.085132635022502</v>
      </c>
      <c r="O1734" s="53" t="n">
        <f aca="false">SUM(J1734:N1734)</f>
        <v>-1.61660274750757</v>
      </c>
    </row>
    <row r="1735" customFormat="false" ht="15" hidden="false" customHeight="false" outlineLevel="0" collapsed="false">
      <c r="A1735" s="2" t="n">
        <v>1727</v>
      </c>
      <c r="B1735" s="53" t="n">
        <f aca="true">NORMINV(RAND(),0,B$7)</f>
        <v>-1.16730502876891</v>
      </c>
      <c r="C1735" s="53" t="n">
        <f aca="true">NORMINV(RAND(),0,C$7)</f>
        <v>0.991031843474698</v>
      </c>
      <c r="D1735" s="53" t="n">
        <f aca="true">NORMINV(RAND(),0,D$7)</f>
        <v>0.457576377024069</v>
      </c>
      <c r="E1735" s="53" t="n">
        <f aca="true">NORMINV(RAND(),0,E$7)</f>
        <v>0.033398554194978</v>
      </c>
      <c r="F1735" s="53" t="n">
        <f aca="true">NORMINV(RAND(),0,F$7)</f>
        <v>0.00312579618310134</v>
      </c>
      <c r="G1735" s="53" t="n">
        <f aca="true">NORMINV(RAND(),0,G$7)</f>
        <v>0.368786272973783</v>
      </c>
      <c r="H1735" s="53" t="n">
        <f aca="true">NORMINV(RAND(),0,H$7)</f>
        <v>-0.215834455739586</v>
      </c>
      <c r="I1735" s="53" t="n">
        <f aca="false">SUM(B1735:H1735)</f>
        <v>0.470779359342128</v>
      </c>
      <c r="J1735" s="53" t="n">
        <f aca="true">NORMINV(RAND(),0,J$7)</f>
        <v>-0.610368216698344</v>
      </c>
      <c r="K1735" s="53" t="n">
        <f aca="true">NORMINV(RAND(),0,K$7)</f>
        <v>-0.331439372872438</v>
      </c>
      <c r="L1735" s="53" t="n">
        <f aca="true">NORMINV(RAND(),0,L$7)</f>
        <v>-0.321714738147821</v>
      </c>
      <c r="M1735" s="53" t="n">
        <f aca="true">NORMINV(RAND(),0,M$7)</f>
        <v>0.367215444341241</v>
      </c>
      <c r="N1735" s="53" t="n">
        <f aca="true">NORMINV(RAND(),0,N$7)</f>
        <v>-0.164180664032062</v>
      </c>
      <c r="O1735" s="53" t="n">
        <f aca="false">SUM(J1735:N1735)</f>
        <v>-1.06048754740942</v>
      </c>
    </row>
    <row r="1736" customFormat="false" ht="15" hidden="false" customHeight="false" outlineLevel="0" collapsed="false">
      <c r="A1736" s="2" t="n">
        <v>1728</v>
      </c>
      <c r="B1736" s="53" t="n">
        <f aca="true">NORMINV(RAND(),0,B$7)</f>
        <v>-2.70121775334766</v>
      </c>
      <c r="C1736" s="53" t="n">
        <f aca="true">NORMINV(RAND(),0,C$7)</f>
        <v>-0.6660699724494</v>
      </c>
      <c r="D1736" s="53" t="n">
        <f aca="true">NORMINV(RAND(),0,D$7)</f>
        <v>-1.06429083604175</v>
      </c>
      <c r="E1736" s="53" t="n">
        <f aca="true">NORMINV(RAND(),0,E$7)</f>
        <v>0.267511311526492</v>
      </c>
      <c r="F1736" s="53" t="n">
        <f aca="true">NORMINV(RAND(),0,F$7)</f>
        <v>0.316047788904495</v>
      </c>
      <c r="G1736" s="53" t="n">
        <f aca="true">NORMINV(RAND(),0,G$7)</f>
        <v>-0.664307356836263</v>
      </c>
      <c r="H1736" s="53" t="n">
        <f aca="true">NORMINV(RAND(),0,H$7)</f>
        <v>0.23445641123172</v>
      </c>
      <c r="I1736" s="53" t="n">
        <f aca="false">SUM(B1736:H1736)</f>
        <v>-4.27787040701237</v>
      </c>
      <c r="J1736" s="53" t="n">
        <f aca="true">NORMINV(RAND(),0,J$7)</f>
        <v>-1.97709359934623</v>
      </c>
      <c r="K1736" s="53" t="n">
        <f aca="true">NORMINV(RAND(),0,K$7)</f>
        <v>0.73201902705084</v>
      </c>
      <c r="L1736" s="53" t="n">
        <f aca="true">NORMINV(RAND(),0,L$7)</f>
        <v>0.243857430528979</v>
      </c>
      <c r="M1736" s="53" t="n">
        <f aca="true">NORMINV(RAND(),0,M$7)</f>
        <v>-0.150244689321458</v>
      </c>
      <c r="N1736" s="53" t="n">
        <f aca="true">NORMINV(RAND(),0,N$7)</f>
        <v>0.326396506276264</v>
      </c>
      <c r="O1736" s="53" t="n">
        <f aca="false">SUM(J1736:N1736)</f>
        <v>-0.825065324811607</v>
      </c>
    </row>
    <row r="1737" customFormat="false" ht="15" hidden="false" customHeight="false" outlineLevel="0" collapsed="false">
      <c r="A1737" s="2" t="n">
        <v>1729</v>
      </c>
      <c r="B1737" s="53" t="n">
        <f aca="true">NORMINV(RAND(),0,B$7)</f>
        <v>-0.48011837694556</v>
      </c>
      <c r="C1737" s="53" t="n">
        <f aca="true">NORMINV(RAND(),0,C$7)</f>
        <v>-0.704946651322521</v>
      </c>
      <c r="D1737" s="53" t="n">
        <f aca="true">NORMINV(RAND(),0,D$7)</f>
        <v>1.72553442128364</v>
      </c>
      <c r="E1737" s="53" t="n">
        <f aca="true">NORMINV(RAND(),0,E$7)</f>
        <v>0.284904408050691</v>
      </c>
      <c r="F1737" s="53" t="n">
        <f aca="true">NORMINV(RAND(),0,F$7)</f>
        <v>-0.285927031753547</v>
      </c>
      <c r="G1737" s="53" t="n">
        <f aca="true">NORMINV(RAND(),0,G$7)</f>
        <v>-0.830076411199617</v>
      </c>
      <c r="H1737" s="53" t="n">
        <f aca="true">NORMINV(RAND(),0,H$7)</f>
        <v>-0.1250716811209</v>
      </c>
      <c r="I1737" s="53" t="n">
        <f aca="false">SUM(B1737:H1737)</f>
        <v>-0.415701323007817</v>
      </c>
      <c r="J1737" s="53" t="n">
        <f aca="true">NORMINV(RAND(),0,J$7)</f>
        <v>-2.21629918879525</v>
      </c>
      <c r="K1737" s="53" t="n">
        <f aca="true">NORMINV(RAND(),0,K$7)</f>
        <v>-1.36169607337028</v>
      </c>
      <c r="L1737" s="53" t="n">
        <f aca="true">NORMINV(RAND(),0,L$7)</f>
        <v>0.0636373970414036</v>
      </c>
      <c r="M1737" s="53" t="n">
        <f aca="true">NORMINV(RAND(),0,M$7)</f>
        <v>-0.165190385720495</v>
      </c>
      <c r="N1737" s="53" t="n">
        <f aca="true">NORMINV(RAND(),0,N$7)</f>
        <v>0.614833168281828</v>
      </c>
      <c r="O1737" s="53" t="n">
        <f aca="false">SUM(J1737:N1737)</f>
        <v>-3.0647150825628</v>
      </c>
    </row>
    <row r="1738" customFormat="false" ht="15" hidden="false" customHeight="false" outlineLevel="0" collapsed="false">
      <c r="A1738" s="2" t="n">
        <v>1730</v>
      </c>
      <c r="B1738" s="53" t="n">
        <f aca="true">NORMINV(RAND(),0,B$7)</f>
        <v>3.18533461325443</v>
      </c>
      <c r="C1738" s="53" t="n">
        <f aca="true">NORMINV(RAND(),0,C$7)</f>
        <v>-0.356374393957836</v>
      </c>
      <c r="D1738" s="53" t="n">
        <f aca="true">NORMINV(RAND(),0,D$7)</f>
        <v>1.46392345290893</v>
      </c>
      <c r="E1738" s="53" t="n">
        <f aca="true">NORMINV(RAND(),0,E$7)</f>
        <v>-0.0452446414972756</v>
      </c>
      <c r="F1738" s="53" t="n">
        <f aca="true">NORMINV(RAND(),0,F$7)</f>
        <v>-0.462797025942485</v>
      </c>
      <c r="G1738" s="53" t="n">
        <f aca="true">NORMINV(RAND(),0,G$7)</f>
        <v>-1.87042798147173</v>
      </c>
      <c r="H1738" s="53" t="n">
        <f aca="true">NORMINV(RAND(),0,H$7)</f>
        <v>-0.240933547691369</v>
      </c>
      <c r="I1738" s="53" t="n">
        <f aca="false">SUM(B1738:H1738)</f>
        <v>1.67348047560266</v>
      </c>
      <c r="J1738" s="53" t="n">
        <f aca="true">NORMINV(RAND(),0,J$7)</f>
        <v>1.0526073909009</v>
      </c>
      <c r="K1738" s="53" t="n">
        <f aca="true">NORMINV(RAND(),0,K$7)</f>
        <v>0.202715445140369</v>
      </c>
      <c r="L1738" s="53" t="n">
        <f aca="true">NORMINV(RAND(),0,L$7)</f>
        <v>0.185845427411934</v>
      </c>
      <c r="M1738" s="53" t="n">
        <f aca="true">NORMINV(RAND(),0,M$7)</f>
        <v>0.0361921638811274</v>
      </c>
      <c r="N1738" s="53" t="n">
        <f aca="true">NORMINV(RAND(),0,N$7)</f>
        <v>-0.214060468519839</v>
      </c>
      <c r="O1738" s="53" t="n">
        <f aca="false">SUM(J1738:N1738)</f>
        <v>1.26329995881449</v>
      </c>
    </row>
    <row r="1739" customFormat="false" ht="15" hidden="false" customHeight="false" outlineLevel="0" collapsed="false">
      <c r="A1739" s="2" t="n">
        <v>1731</v>
      </c>
      <c r="B1739" s="53" t="n">
        <f aca="true">NORMINV(RAND(),0,B$7)</f>
        <v>-0.257000148770328</v>
      </c>
      <c r="C1739" s="53" t="n">
        <f aca="true">NORMINV(RAND(),0,C$7)</f>
        <v>2.40654227317906</v>
      </c>
      <c r="D1739" s="53" t="n">
        <f aca="true">NORMINV(RAND(),0,D$7)</f>
        <v>0.450533055751377</v>
      </c>
      <c r="E1739" s="53" t="n">
        <f aca="true">NORMINV(RAND(),0,E$7)</f>
        <v>0.271761198999214</v>
      </c>
      <c r="F1739" s="53" t="n">
        <f aca="true">NORMINV(RAND(),0,F$7)</f>
        <v>0.491166044336291</v>
      </c>
      <c r="G1739" s="53" t="n">
        <f aca="true">NORMINV(RAND(),0,G$7)</f>
        <v>2.12456699729128</v>
      </c>
      <c r="H1739" s="53" t="n">
        <f aca="true">NORMINV(RAND(),0,H$7)</f>
        <v>-0.159070204732793</v>
      </c>
      <c r="I1739" s="53" t="n">
        <f aca="false">SUM(B1739:H1739)</f>
        <v>5.32849921605411</v>
      </c>
      <c r="J1739" s="53" t="n">
        <f aca="true">NORMINV(RAND(),0,J$7)</f>
        <v>0.146992095694584</v>
      </c>
      <c r="K1739" s="53" t="n">
        <f aca="true">NORMINV(RAND(),0,K$7)</f>
        <v>-0.260942932059048</v>
      </c>
      <c r="L1739" s="53" t="n">
        <f aca="true">NORMINV(RAND(),0,L$7)</f>
        <v>0.173982491508273</v>
      </c>
      <c r="M1739" s="53" t="n">
        <f aca="true">NORMINV(RAND(),0,M$7)</f>
        <v>0.0303866409822929</v>
      </c>
      <c r="N1739" s="53" t="n">
        <f aca="true">NORMINV(RAND(),0,N$7)</f>
        <v>0.310501462641063</v>
      </c>
      <c r="O1739" s="53" t="n">
        <f aca="false">SUM(J1739:N1739)</f>
        <v>0.400919758767166</v>
      </c>
    </row>
    <row r="1740" customFormat="false" ht="15" hidden="false" customHeight="false" outlineLevel="0" collapsed="false">
      <c r="A1740" s="2" t="n">
        <v>1732</v>
      </c>
      <c r="B1740" s="53" t="n">
        <f aca="true">NORMINV(RAND(),0,B$7)</f>
        <v>0.0786941326424709</v>
      </c>
      <c r="C1740" s="53" t="n">
        <f aca="true">NORMINV(RAND(),0,C$7)</f>
        <v>-1.12947000538567</v>
      </c>
      <c r="D1740" s="53" t="n">
        <f aca="true">NORMINV(RAND(),0,D$7)</f>
        <v>1.03390712104057</v>
      </c>
      <c r="E1740" s="53" t="n">
        <f aca="true">NORMINV(RAND(),0,E$7)</f>
        <v>0.547438195925598</v>
      </c>
      <c r="F1740" s="53" t="n">
        <f aca="true">NORMINV(RAND(),0,F$7)</f>
        <v>-0.150536539015334</v>
      </c>
      <c r="G1740" s="53" t="n">
        <f aca="true">NORMINV(RAND(),0,G$7)</f>
        <v>1.6182686422334</v>
      </c>
      <c r="H1740" s="53" t="n">
        <f aca="true">NORMINV(RAND(),0,H$7)</f>
        <v>-0.538196744306863</v>
      </c>
      <c r="I1740" s="53" t="n">
        <f aca="false">SUM(B1740:H1740)</f>
        <v>1.46010480313417</v>
      </c>
      <c r="J1740" s="53" t="n">
        <f aca="true">NORMINV(RAND(),0,J$7)</f>
        <v>-0.729770291605449</v>
      </c>
      <c r="K1740" s="53" t="n">
        <f aca="true">NORMINV(RAND(),0,K$7)</f>
        <v>-0.17219726153525</v>
      </c>
      <c r="L1740" s="53" t="n">
        <f aca="true">NORMINV(RAND(),0,L$7)</f>
        <v>-0.176196472619602</v>
      </c>
      <c r="M1740" s="53" t="n">
        <f aca="true">NORMINV(RAND(),0,M$7)</f>
        <v>-0.0432207569903822</v>
      </c>
      <c r="N1740" s="53" t="n">
        <f aca="true">NORMINV(RAND(),0,N$7)</f>
        <v>0.163753570310424</v>
      </c>
      <c r="O1740" s="53" t="n">
        <f aca="false">SUM(J1740:N1740)</f>
        <v>-0.95763121244026</v>
      </c>
    </row>
    <row r="1741" customFormat="false" ht="15" hidden="false" customHeight="false" outlineLevel="0" collapsed="false">
      <c r="A1741" s="2" t="n">
        <v>1733</v>
      </c>
      <c r="B1741" s="53" t="n">
        <f aca="true">NORMINV(RAND(),0,B$7)</f>
        <v>-0.281264696315013</v>
      </c>
      <c r="C1741" s="53" t="n">
        <f aca="true">NORMINV(RAND(),0,C$7)</f>
        <v>-0.637711644420193</v>
      </c>
      <c r="D1741" s="53" t="n">
        <f aca="true">NORMINV(RAND(),0,D$7)</f>
        <v>-0.322730817434705</v>
      </c>
      <c r="E1741" s="53" t="n">
        <f aca="true">NORMINV(RAND(),0,E$7)</f>
        <v>-0.0553426688123293</v>
      </c>
      <c r="F1741" s="53" t="n">
        <f aca="true">NORMINV(RAND(),0,F$7)</f>
        <v>0.319710217190436</v>
      </c>
      <c r="G1741" s="53" t="n">
        <f aca="true">NORMINV(RAND(),0,G$7)</f>
        <v>0.954425010219655</v>
      </c>
      <c r="H1741" s="53" t="n">
        <f aca="true">NORMINV(RAND(),0,H$7)</f>
        <v>-0.171447546588738</v>
      </c>
      <c r="I1741" s="53" t="n">
        <f aca="false">SUM(B1741:H1741)</f>
        <v>-0.194362146160887</v>
      </c>
      <c r="J1741" s="53" t="n">
        <f aca="true">NORMINV(RAND(),0,J$7)</f>
        <v>0.351299670180228</v>
      </c>
      <c r="K1741" s="53" t="n">
        <f aca="true">NORMINV(RAND(),0,K$7)</f>
        <v>1.22996423763936</v>
      </c>
      <c r="L1741" s="53" t="n">
        <f aca="true">NORMINV(RAND(),0,L$7)</f>
        <v>-0.146662891812161</v>
      </c>
      <c r="M1741" s="53" t="n">
        <f aca="true">NORMINV(RAND(),0,M$7)</f>
        <v>-0.105409716946025</v>
      </c>
      <c r="N1741" s="53" t="n">
        <f aca="true">NORMINV(RAND(),0,N$7)</f>
        <v>-0.513452275084003</v>
      </c>
      <c r="O1741" s="53" t="n">
        <f aca="false">SUM(J1741:N1741)</f>
        <v>0.815739023977395</v>
      </c>
    </row>
    <row r="1742" customFormat="false" ht="15" hidden="false" customHeight="false" outlineLevel="0" collapsed="false">
      <c r="A1742" s="2" t="n">
        <v>1734</v>
      </c>
      <c r="B1742" s="53" t="n">
        <f aca="true">NORMINV(RAND(),0,B$7)</f>
        <v>1.0835148842224</v>
      </c>
      <c r="C1742" s="53" t="n">
        <f aca="true">NORMINV(RAND(),0,C$7)</f>
        <v>1.13205017190035</v>
      </c>
      <c r="D1742" s="53" t="n">
        <f aca="true">NORMINV(RAND(),0,D$7)</f>
        <v>0.570448040355322</v>
      </c>
      <c r="E1742" s="53" t="n">
        <f aca="true">NORMINV(RAND(),0,E$7)</f>
        <v>-0.11845046647729</v>
      </c>
      <c r="F1742" s="53" t="n">
        <f aca="true">NORMINV(RAND(),0,F$7)</f>
        <v>0.0829746937283329</v>
      </c>
      <c r="G1742" s="53" t="n">
        <f aca="true">NORMINV(RAND(),0,G$7)</f>
        <v>0.195886303006693</v>
      </c>
      <c r="H1742" s="53" t="n">
        <f aca="true">NORMINV(RAND(),0,H$7)</f>
        <v>-0.147567706718647</v>
      </c>
      <c r="I1742" s="53" t="n">
        <f aca="false">SUM(B1742:H1742)</f>
        <v>2.79885592001716</v>
      </c>
      <c r="J1742" s="53" t="n">
        <f aca="true">NORMINV(RAND(),0,J$7)</f>
        <v>-0.308170931365533</v>
      </c>
      <c r="K1742" s="53" t="n">
        <f aca="true">NORMINV(RAND(),0,K$7)</f>
        <v>0.225690963073344</v>
      </c>
      <c r="L1742" s="53" t="n">
        <f aca="true">NORMINV(RAND(),0,L$7)</f>
        <v>-0.158071946396152</v>
      </c>
      <c r="M1742" s="53" t="n">
        <f aca="true">NORMINV(RAND(),0,M$7)</f>
        <v>0.316908111473011</v>
      </c>
      <c r="N1742" s="53" t="n">
        <f aca="true">NORMINV(RAND(),0,N$7)</f>
        <v>-0.306677146867746</v>
      </c>
      <c r="O1742" s="53" t="n">
        <f aca="false">SUM(J1742:N1742)</f>
        <v>-0.230320950083076</v>
      </c>
    </row>
    <row r="1743" customFormat="false" ht="15" hidden="false" customHeight="false" outlineLevel="0" collapsed="false">
      <c r="A1743" s="2" t="n">
        <v>1735</v>
      </c>
      <c r="B1743" s="53" t="n">
        <f aca="true">NORMINV(RAND(),0,B$7)</f>
        <v>0.626188539098394</v>
      </c>
      <c r="C1743" s="53" t="n">
        <f aca="true">NORMINV(RAND(),0,C$7)</f>
        <v>1.42307386346111</v>
      </c>
      <c r="D1743" s="53" t="n">
        <f aca="true">NORMINV(RAND(),0,D$7)</f>
        <v>-0.681190232626341</v>
      </c>
      <c r="E1743" s="53" t="n">
        <f aca="true">NORMINV(RAND(),0,E$7)</f>
        <v>-0.259680311926016</v>
      </c>
      <c r="F1743" s="53" t="n">
        <f aca="true">NORMINV(RAND(),0,F$7)</f>
        <v>-0.53859386629812</v>
      </c>
      <c r="G1743" s="53" t="n">
        <f aca="true">NORMINV(RAND(),0,G$7)</f>
        <v>0.842327933743647</v>
      </c>
      <c r="H1743" s="53" t="n">
        <f aca="true">NORMINV(RAND(),0,H$7)</f>
        <v>0.381165254062228</v>
      </c>
      <c r="I1743" s="53" t="n">
        <f aca="false">SUM(B1743:H1743)</f>
        <v>1.79329117951491</v>
      </c>
      <c r="J1743" s="53" t="n">
        <f aca="true">NORMINV(RAND(),0,J$7)</f>
        <v>1.3251026532347</v>
      </c>
      <c r="K1743" s="53" t="n">
        <f aca="true">NORMINV(RAND(),0,K$7)</f>
        <v>0.398239045109622</v>
      </c>
      <c r="L1743" s="53" t="n">
        <f aca="true">NORMINV(RAND(),0,L$7)</f>
        <v>-0.394707337828701</v>
      </c>
      <c r="M1743" s="53" t="n">
        <f aca="true">NORMINV(RAND(),0,M$7)</f>
        <v>0.284880480722037</v>
      </c>
      <c r="N1743" s="53" t="n">
        <f aca="true">NORMINV(RAND(),0,N$7)</f>
        <v>0.252101160239709</v>
      </c>
      <c r="O1743" s="53" t="n">
        <f aca="false">SUM(J1743:N1743)</f>
        <v>1.86561600147736</v>
      </c>
    </row>
    <row r="1744" customFormat="false" ht="15" hidden="false" customHeight="false" outlineLevel="0" collapsed="false">
      <c r="A1744" s="2" t="n">
        <v>1736</v>
      </c>
      <c r="B1744" s="53" t="n">
        <f aca="true">NORMINV(RAND(),0,B$7)</f>
        <v>0.081686128445752</v>
      </c>
      <c r="C1744" s="53" t="n">
        <f aca="true">NORMINV(RAND(),0,C$7)</f>
        <v>2.10029495674288</v>
      </c>
      <c r="D1744" s="53" t="n">
        <f aca="true">NORMINV(RAND(),0,D$7)</f>
        <v>1.38787242117187</v>
      </c>
      <c r="E1744" s="53" t="n">
        <f aca="true">NORMINV(RAND(),0,E$7)</f>
        <v>-0.136674212521497</v>
      </c>
      <c r="F1744" s="53" t="n">
        <f aca="true">NORMINV(RAND(),0,F$7)</f>
        <v>0.0704460709228915</v>
      </c>
      <c r="G1744" s="53" t="n">
        <f aca="true">NORMINV(RAND(),0,G$7)</f>
        <v>0.236148206635115</v>
      </c>
      <c r="H1744" s="53" t="n">
        <f aca="true">NORMINV(RAND(),0,H$7)</f>
        <v>0.418968198240444</v>
      </c>
      <c r="I1744" s="53" t="n">
        <f aca="false">SUM(B1744:H1744)</f>
        <v>4.15874176963746</v>
      </c>
      <c r="J1744" s="53" t="n">
        <f aca="true">NORMINV(RAND(),0,J$7)</f>
        <v>-1.16517683453745</v>
      </c>
      <c r="K1744" s="53" t="n">
        <f aca="true">NORMINV(RAND(),0,K$7)</f>
        <v>-0.663296083614025</v>
      </c>
      <c r="L1744" s="53" t="n">
        <f aca="true">NORMINV(RAND(),0,L$7)</f>
        <v>0.204600652262217</v>
      </c>
      <c r="M1744" s="53" t="n">
        <f aca="true">NORMINV(RAND(),0,M$7)</f>
        <v>0.0889701947898928</v>
      </c>
      <c r="N1744" s="53" t="n">
        <f aca="true">NORMINV(RAND(),0,N$7)</f>
        <v>-0.0470642148276018</v>
      </c>
      <c r="O1744" s="53" t="n">
        <f aca="false">SUM(J1744:N1744)</f>
        <v>-1.58196628592696</v>
      </c>
    </row>
    <row r="1745" customFormat="false" ht="15" hidden="false" customHeight="false" outlineLevel="0" collapsed="false">
      <c r="A1745" s="2" t="n">
        <v>1737</v>
      </c>
      <c r="B1745" s="53" t="n">
        <f aca="true">NORMINV(RAND(),0,B$7)</f>
        <v>-0.603149961027438</v>
      </c>
      <c r="C1745" s="53" t="n">
        <f aca="true">NORMINV(RAND(),0,C$7)</f>
        <v>-0.633626137474014</v>
      </c>
      <c r="D1745" s="53" t="n">
        <f aca="true">NORMINV(RAND(),0,D$7)</f>
        <v>2.11159209094328</v>
      </c>
      <c r="E1745" s="53" t="n">
        <f aca="true">NORMINV(RAND(),0,E$7)</f>
        <v>-0.340639072839547</v>
      </c>
      <c r="F1745" s="53" t="n">
        <f aca="true">NORMINV(RAND(),0,F$7)</f>
        <v>-0.101393719304221</v>
      </c>
      <c r="G1745" s="53" t="n">
        <f aca="true">NORMINV(RAND(),0,G$7)</f>
        <v>2.16807284677365</v>
      </c>
      <c r="H1745" s="53" t="n">
        <f aca="true">NORMINV(RAND(),0,H$7)</f>
        <v>-0.0495092242847132</v>
      </c>
      <c r="I1745" s="53" t="n">
        <f aca="false">SUM(B1745:H1745)</f>
        <v>2.55134682278701</v>
      </c>
      <c r="J1745" s="53" t="n">
        <f aca="true">NORMINV(RAND(),0,J$7)</f>
        <v>2.02633294372024</v>
      </c>
      <c r="K1745" s="53" t="n">
        <f aca="true">NORMINV(RAND(),0,K$7)</f>
        <v>1.66331044425743</v>
      </c>
      <c r="L1745" s="53" t="n">
        <f aca="true">NORMINV(RAND(),0,L$7)</f>
        <v>0.653988766434284</v>
      </c>
      <c r="M1745" s="53" t="n">
        <f aca="true">NORMINV(RAND(),0,M$7)</f>
        <v>-0.323221908162582</v>
      </c>
      <c r="N1745" s="53" t="n">
        <f aca="true">NORMINV(RAND(),0,N$7)</f>
        <v>0.0604300067415634</v>
      </c>
      <c r="O1745" s="53" t="n">
        <f aca="false">SUM(J1745:N1745)</f>
        <v>4.08084025299094</v>
      </c>
    </row>
    <row r="1746" customFormat="false" ht="15" hidden="false" customHeight="false" outlineLevel="0" collapsed="false">
      <c r="A1746" s="2" t="n">
        <v>1738</v>
      </c>
      <c r="B1746" s="53" t="n">
        <f aca="true">NORMINV(RAND(),0,B$7)</f>
        <v>-1.41597095837721</v>
      </c>
      <c r="C1746" s="53" t="n">
        <f aca="true">NORMINV(RAND(),0,C$7)</f>
        <v>-0.333287018643435</v>
      </c>
      <c r="D1746" s="53" t="n">
        <f aca="true">NORMINV(RAND(),0,D$7)</f>
        <v>1.1572594840567</v>
      </c>
      <c r="E1746" s="53" t="n">
        <f aca="true">NORMINV(RAND(),0,E$7)</f>
        <v>-0.398019618339034</v>
      </c>
      <c r="F1746" s="53" t="n">
        <f aca="true">NORMINV(RAND(),0,F$7)</f>
        <v>-0.203055035595967</v>
      </c>
      <c r="G1746" s="53" t="n">
        <f aca="true">NORMINV(RAND(),0,G$7)</f>
        <v>-0.128912037495665</v>
      </c>
      <c r="H1746" s="53" t="n">
        <f aca="true">NORMINV(RAND(),0,H$7)</f>
        <v>0.0712312678147155</v>
      </c>
      <c r="I1746" s="53" t="n">
        <f aca="false">SUM(B1746:H1746)</f>
        <v>-1.25075391657989</v>
      </c>
      <c r="J1746" s="53" t="n">
        <f aca="true">NORMINV(RAND(),0,J$7)</f>
        <v>0.21799464484905</v>
      </c>
      <c r="K1746" s="53" t="n">
        <f aca="true">NORMINV(RAND(),0,K$7)</f>
        <v>-0.678755500048295</v>
      </c>
      <c r="L1746" s="53" t="n">
        <f aca="true">NORMINV(RAND(),0,L$7)</f>
        <v>-0.431380255938092</v>
      </c>
      <c r="M1746" s="53" t="n">
        <f aca="true">NORMINV(RAND(),0,M$7)</f>
        <v>0.0492882362335927</v>
      </c>
      <c r="N1746" s="53" t="n">
        <f aca="true">NORMINV(RAND(),0,N$7)</f>
        <v>0.372496075643606</v>
      </c>
      <c r="O1746" s="53" t="n">
        <f aca="false">SUM(J1746:N1746)</f>
        <v>-0.470356799260139</v>
      </c>
    </row>
    <row r="1747" customFormat="false" ht="15" hidden="false" customHeight="false" outlineLevel="0" collapsed="false">
      <c r="A1747" s="2" t="n">
        <v>1739</v>
      </c>
      <c r="B1747" s="53" t="n">
        <f aca="true">NORMINV(RAND(),0,B$7)</f>
        <v>1.89072592848854</v>
      </c>
      <c r="C1747" s="53" t="n">
        <f aca="true">NORMINV(RAND(),0,C$7)</f>
        <v>2.28220305852919</v>
      </c>
      <c r="D1747" s="53" t="n">
        <f aca="true">NORMINV(RAND(),0,D$7)</f>
        <v>3.22181667014775</v>
      </c>
      <c r="E1747" s="53" t="n">
        <f aca="true">NORMINV(RAND(),0,E$7)</f>
        <v>-0.171807254466892</v>
      </c>
      <c r="F1747" s="53" t="n">
        <f aca="true">NORMINV(RAND(),0,F$7)</f>
        <v>-0.104090899187672</v>
      </c>
      <c r="G1747" s="53" t="n">
        <f aca="true">NORMINV(RAND(),0,G$7)</f>
        <v>0.174476212781614</v>
      </c>
      <c r="H1747" s="53" t="n">
        <f aca="true">NORMINV(RAND(),0,H$7)</f>
        <v>-0.162700213161782</v>
      </c>
      <c r="I1747" s="53" t="n">
        <f aca="false">SUM(B1747:H1747)</f>
        <v>7.13062350313075</v>
      </c>
      <c r="J1747" s="53" t="n">
        <f aca="true">NORMINV(RAND(),0,J$7)</f>
        <v>-1.45655639569472</v>
      </c>
      <c r="K1747" s="53" t="n">
        <f aca="true">NORMINV(RAND(),0,K$7)</f>
        <v>-0.22969248449212</v>
      </c>
      <c r="L1747" s="53" t="n">
        <f aca="true">NORMINV(RAND(),0,L$7)</f>
        <v>0.138970718909581</v>
      </c>
      <c r="M1747" s="53" t="n">
        <f aca="true">NORMINV(RAND(),0,M$7)</f>
        <v>-0.336442894674715</v>
      </c>
      <c r="N1747" s="53" t="n">
        <f aca="true">NORMINV(RAND(),0,N$7)</f>
        <v>0.104495817946391</v>
      </c>
      <c r="O1747" s="53" t="n">
        <f aca="false">SUM(J1747:N1747)</f>
        <v>-1.77922523800558</v>
      </c>
    </row>
    <row r="1748" customFormat="false" ht="15" hidden="false" customHeight="false" outlineLevel="0" collapsed="false">
      <c r="A1748" s="2" t="n">
        <v>1740</v>
      </c>
      <c r="B1748" s="53" t="n">
        <f aca="true">NORMINV(RAND(),0,B$7)</f>
        <v>-4.15025598266196</v>
      </c>
      <c r="C1748" s="53" t="n">
        <f aca="true">NORMINV(RAND(),0,C$7)</f>
        <v>-2.4099079405321</v>
      </c>
      <c r="D1748" s="53" t="n">
        <f aca="true">NORMINV(RAND(),0,D$7)</f>
        <v>-1.82694630369386</v>
      </c>
      <c r="E1748" s="53" t="n">
        <f aca="true">NORMINV(RAND(),0,E$7)</f>
        <v>-0.471416263318421</v>
      </c>
      <c r="F1748" s="53" t="n">
        <f aca="true">NORMINV(RAND(),0,F$7)</f>
        <v>0.0127227414179304</v>
      </c>
      <c r="G1748" s="53" t="n">
        <f aca="true">NORMINV(RAND(),0,G$7)</f>
        <v>1.42365287381597</v>
      </c>
      <c r="H1748" s="53" t="n">
        <f aca="true">NORMINV(RAND(),0,H$7)</f>
        <v>0.669081236910514</v>
      </c>
      <c r="I1748" s="53" t="n">
        <f aca="false">SUM(B1748:H1748)</f>
        <v>-6.75306963806193</v>
      </c>
      <c r="J1748" s="53" t="n">
        <f aca="true">NORMINV(RAND(),0,J$7)</f>
        <v>-4.63707018482166</v>
      </c>
      <c r="K1748" s="53" t="n">
        <f aca="true">NORMINV(RAND(),0,K$7)</f>
        <v>0.380348513643937</v>
      </c>
      <c r="L1748" s="53" t="n">
        <f aca="true">NORMINV(RAND(),0,L$7)</f>
        <v>0.152833787425524</v>
      </c>
      <c r="M1748" s="53" t="n">
        <f aca="true">NORMINV(RAND(),0,M$7)</f>
        <v>0.135186558918465</v>
      </c>
      <c r="N1748" s="53" t="n">
        <f aca="true">NORMINV(RAND(),0,N$7)</f>
        <v>0.0221595275976448</v>
      </c>
      <c r="O1748" s="53" t="n">
        <f aca="false">SUM(J1748:N1748)</f>
        <v>-3.94654179723609</v>
      </c>
    </row>
    <row r="1749" customFormat="false" ht="15" hidden="false" customHeight="false" outlineLevel="0" collapsed="false">
      <c r="A1749" s="2" t="n">
        <v>1741</v>
      </c>
      <c r="B1749" s="53" t="n">
        <f aca="true">NORMINV(RAND(),0,B$7)</f>
        <v>-1.13061995161543</v>
      </c>
      <c r="C1749" s="53" t="n">
        <f aca="true">NORMINV(RAND(),0,C$7)</f>
        <v>1.69655230529603</v>
      </c>
      <c r="D1749" s="53" t="n">
        <f aca="true">NORMINV(RAND(),0,D$7)</f>
        <v>-2.80244308811108</v>
      </c>
      <c r="E1749" s="53" t="n">
        <f aca="true">NORMINV(RAND(),0,E$7)</f>
        <v>0.198605099343277</v>
      </c>
      <c r="F1749" s="53" t="n">
        <f aca="true">NORMINV(RAND(),0,F$7)</f>
        <v>-0.513332235837043</v>
      </c>
      <c r="G1749" s="53" t="n">
        <f aca="true">NORMINV(RAND(),0,G$7)</f>
        <v>1.5197834650099</v>
      </c>
      <c r="H1749" s="53" t="n">
        <f aca="true">NORMINV(RAND(),0,H$7)</f>
        <v>-0.571758150796633</v>
      </c>
      <c r="I1749" s="53" t="n">
        <f aca="false">SUM(B1749:H1749)</f>
        <v>-1.60321255671098</v>
      </c>
      <c r="J1749" s="53" t="n">
        <f aca="true">NORMINV(RAND(),0,J$7)</f>
        <v>-0.225177565348799</v>
      </c>
      <c r="K1749" s="53" t="n">
        <f aca="true">NORMINV(RAND(),0,K$7)</f>
        <v>0.772699370046799</v>
      </c>
      <c r="L1749" s="53" t="n">
        <f aca="true">NORMINV(RAND(),0,L$7)</f>
        <v>0.60340816008959</v>
      </c>
      <c r="M1749" s="53" t="n">
        <f aca="true">NORMINV(RAND(),0,M$7)</f>
        <v>0.199395516638243</v>
      </c>
      <c r="N1749" s="53" t="n">
        <f aca="true">NORMINV(RAND(),0,N$7)</f>
        <v>-0.119024851215565</v>
      </c>
      <c r="O1749" s="53" t="n">
        <f aca="false">SUM(J1749:N1749)</f>
        <v>1.23130063021027</v>
      </c>
    </row>
    <row r="1750" customFormat="false" ht="15" hidden="false" customHeight="false" outlineLevel="0" collapsed="false">
      <c r="A1750" s="2" t="n">
        <v>1742</v>
      </c>
      <c r="B1750" s="53" t="n">
        <f aca="true">NORMINV(RAND(),0,B$7)</f>
        <v>1.12292069831881</v>
      </c>
      <c r="C1750" s="53" t="n">
        <f aca="true">NORMINV(RAND(),0,C$7)</f>
        <v>-2.7514570281301</v>
      </c>
      <c r="D1750" s="53" t="n">
        <f aca="true">NORMINV(RAND(),0,D$7)</f>
        <v>-3.07785821099992</v>
      </c>
      <c r="E1750" s="53" t="n">
        <f aca="true">NORMINV(RAND(),0,E$7)</f>
        <v>-0.114280675382727</v>
      </c>
      <c r="F1750" s="53" t="n">
        <f aca="true">NORMINV(RAND(),0,F$7)</f>
        <v>-0.536909676119312</v>
      </c>
      <c r="G1750" s="53" t="n">
        <f aca="true">NORMINV(RAND(),0,G$7)</f>
        <v>-0.855568939842848</v>
      </c>
      <c r="H1750" s="53" t="n">
        <f aca="true">NORMINV(RAND(),0,H$7)</f>
        <v>-0.401040203630528</v>
      </c>
      <c r="I1750" s="53" t="n">
        <f aca="false">SUM(B1750:H1750)</f>
        <v>-6.61419403578663</v>
      </c>
      <c r="J1750" s="53" t="n">
        <f aca="true">NORMINV(RAND(),0,J$7)</f>
        <v>-1.10042362567121</v>
      </c>
      <c r="K1750" s="53" t="n">
        <f aca="true">NORMINV(RAND(),0,K$7)</f>
        <v>0.16418515609935</v>
      </c>
      <c r="L1750" s="53" t="n">
        <f aca="true">NORMINV(RAND(),0,L$7)</f>
        <v>0.339786025171684</v>
      </c>
      <c r="M1750" s="53" t="n">
        <f aca="true">NORMINV(RAND(),0,M$7)</f>
        <v>0.328120485115349</v>
      </c>
      <c r="N1750" s="53" t="n">
        <f aca="true">NORMINV(RAND(),0,N$7)</f>
        <v>-0.171301621931136</v>
      </c>
      <c r="O1750" s="53" t="n">
        <f aca="false">SUM(J1750:N1750)</f>
        <v>-0.439633581215961</v>
      </c>
    </row>
    <row r="1751" customFormat="false" ht="15" hidden="false" customHeight="false" outlineLevel="0" collapsed="false">
      <c r="A1751" s="2" t="n">
        <v>1743</v>
      </c>
      <c r="B1751" s="53" t="n">
        <f aca="true">NORMINV(RAND(),0,B$7)</f>
        <v>-2.21657847037218</v>
      </c>
      <c r="C1751" s="53" t="n">
        <f aca="true">NORMINV(RAND(),0,C$7)</f>
        <v>-1.07853129009258</v>
      </c>
      <c r="D1751" s="53" t="n">
        <f aca="true">NORMINV(RAND(),0,D$7)</f>
        <v>0.866103021790441</v>
      </c>
      <c r="E1751" s="53" t="n">
        <f aca="true">NORMINV(RAND(),0,E$7)</f>
        <v>0.408071099045819</v>
      </c>
      <c r="F1751" s="53" t="n">
        <f aca="true">NORMINV(RAND(),0,F$7)</f>
        <v>-0.103821580451096</v>
      </c>
      <c r="G1751" s="53" t="n">
        <f aca="true">NORMINV(RAND(),0,G$7)</f>
        <v>-0.436417178930563</v>
      </c>
      <c r="H1751" s="53" t="n">
        <f aca="true">NORMINV(RAND(),0,H$7)</f>
        <v>0.128346488260213</v>
      </c>
      <c r="I1751" s="53" t="n">
        <f aca="false">SUM(B1751:H1751)</f>
        <v>-2.43282791074995</v>
      </c>
      <c r="J1751" s="53" t="n">
        <f aca="true">NORMINV(RAND(),0,J$7)</f>
        <v>3.77011106072284</v>
      </c>
      <c r="K1751" s="53" t="n">
        <f aca="true">NORMINV(RAND(),0,K$7)</f>
        <v>-0.74469487027671</v>
      </c>
      <c r="L1751" s="53" t="n">
        <f aca="true">NORMINV(RAND(),0,L$7)</f>
        <v>0.540435464458399</v>
      </c>
      <c r="M1751" s="53" t="n">
        <f aca="true">NORMINV(RAND(),0,M$7)</f>
        <v>0.420767185125071</v>
      </c>
      <c r="N1751" s="53" t="n">
        <f aca="true">NORMINV(RAND(),0,N$7)</f>
        <v>-0.161106649017607</v>
      </c>
      <c r="O1751" s="53" t="n">
        <f aca="false">SUM(J1751:N1751)</f>
        <v>3.82551219101199</v>
      </c>
    </row>
    <row r="1752" customFormat="false" ht="15" hidden="false" customHeight="false" outlineLevel="0" collapsed="false">
      <c r="A1752" s="2" t="n">
        <v>1744</v>
      </c>
      <c r="B1752" s="53" t="n">
        <f aca="true">NORMINV(RAND(),0,B$7)</f>
        <v>-2.97421599943219</v>
      </c>
      <c r="C1752" s="53" t="n">
        <f aca="true">NORMINV(RAND(),0,C$7)</f>
        <v>-0.371886586217642</v>
      </c>
      <c r="D1752" s="53" t="n">
        <f aca="true">NORMINV(RAND(),0,D$7)</f>
        <v>0.781487168200888</v>
      </c>
      <c r="E1752" s="53" t="n">
        <f aca="true">NORMINV(RAND(),0,E$7)</f>
        <v>0.0468852979620896</v>
      </c>
      <c r="F1752" s="53" t="n">
        <f aca="true">NORMINV(RAND(),0,F$7)</f>
        <v>0.00329405326701265</v>
      </c>
      <c r="G1752" s="53" t="n">
        <f aca="true">NORMINV(RAND(),0,G$7)</f>
        <v>-2.0340498708688</v>
      </c>
      <c r="H1752" s="53" t="n">
        <f aca="true">NORMINV(RAND(),0,H$7)</f>
        <v>0.500980209756014</v>
      </c>
      <c r="I1752" s="53" t="n">
        <f aca="false">SUM(B1752:H1752)</f>
        <v>-4.04750572733262</v>
      </c>
      <c r="J1752" s="53" t="n">
        <f aca="true">NORMINV(RAND(),0,J$7)</f>
        <v>-0.925415284231485</v>
      </c>
      <c r="K1752" s="53" t="n">
        <f aca="true">NORMINV(RAND(),0,K$7)</f>
        <v>0.199233210511634</v>
      </c>
      <c r="L1752" s="53" t="n">
        <f aca="true">NORMINV(RAND(),0,L$7)</f>
        <v>-0.283339296118038</v>
      </c>
      <c r="M1752" s="53" t="n">
        <f aca="true">NORMINV(RAND(),0,M$7)</f>
        <v>-0.168335463409589</v>
      </c>
      <c r="N1752" s="53" t="n">
        <f aca="true">NORMINV(RAND(),0,N$7)</f>
        <v>0.300316312713955</v>
      </c>
      <c r="O1752" s="53" t="n">
        <f aca="false">SUM(J1752:N1752)</f>
        <v>-0.877540520533523</v>
      </c>
    </row>
    <row r="1753" customFormat="false" ht="15" hidden="false" customHeight="false" outlineLevel="0" collapsed="false">
      <c r="A1753" s="2" t="n">
        <v>1745</v>
      </c>
      <c r="B1753" s="53" t="n">
        <f aca="true">NORMINV(RAND(),0,B$7)</f>
        <v>0.840618334613436</v>
      </c>
      <c r="C1753" s="53" t="n">
        <f aca="true">NORMINV(RAND(),0,C$7)</f>
        <v>-0.731365449133874</v>
      </c>
      <c r="D1753" s="53" t="n">
        <f aca="true">NORMINV(RAND(),0,D$7)</f>
        <v>-1.65438270540605</v>
      </c>
      <c r="E1753" s="53" t="n">
        <f aca="true">NORMINV(RAND(),0,E$7)</f>
        <v>0.0126580868574203</v>
      </c>
      <c r="F1753" s="53" t="n">
        <f aca="true">NORMINV(RAND(),0,F$7)</f>
        <v>-0.182914430178002</v>
      </c>
      <c r="G1753" s="53" t="n">
        <f aca="true">NORMINV(RAND(),0,G$7)</f>
        <v>1.38174599079685</v>
      </c>
      <c r="H1753" s="53" t="n">
        <f aca="true">NORMINV(RAND(),0,H$7)</f>
        <v>0.25082615268092</v>
      </c>
      <c r="I1753" s="53" t="n">
        <f aca="false">SUM(B1753:H1753)</f>
        <v>-0.0828140197692972</v>
      </c>
      <c r="J1753" s="53" t="n">
        <f aca="true">NORMINV(RAND(),0,J$7)</f>
        <v>-0.572341907548947</v>
      </c>
      <c r="K1753" s="53" t="n">
        <f aca="true">NORMINV(RAND(),0,K$7)</f>
        <v>-0.470973956600824</v>
      </c>
      <c r="L1753" s="53" t="n">
        <f aca="true">NORMINV(RAND(),0,L$7)</f>
        <v>0.223539970774868</v>
      </c>
      <c r="M1753" s="53" t="n">
        <f aca="true">NORMINV(RAND(),0,M$7)</f>
        <v>0.247779133788583</v>
      </c>
      <c r="N1753" s="53" t="n">
        <f aca="true">NORMINV(RAND(),0,N$7)</f>
        <v>-0.0948807285599075</v>
      </c>
      <c r="O1753" s="53" t="n">
        <f aca="false">SUM(J1753:N1753)</f>
        <v>-0.666877488146228</v>
      </c>
    </row>
    <row r="1754" customFormat="false" ht="15" hidden="false" customHeight="false" outlineLevel="0" collapsed="false">
      <c r="A1754" s="2" t="n">
        <v>1746</v>
      </c>
      <c r="B1754" s="53" t="n">
        <f aca="true">NORMINV(RAND(),0,B$7)</f>
        <v>0.387087300791807</v>
      </c>
      <c r="C1754" s="53" t="n">
        <f aca="true">NORMINV(RAND(),0,C$7)</f>
        <v>-1.51929486037667</v>
      </c>
      <c r="D1754" s="53" t="n">
        <f aca="true">NORMINV(RAND(),0,D$7)</f>
        <v>2.49475990973178</v>
      </c>
      <c r="E1754" s="53" t="n">
        <f aca="true">NORMINV(RAND(),0,E$7)</f>
        <v>-0.0128886094604664</v>
      </c>
      <c r="F1754" s="53" t="n">
        <f aca="true">NORMINV(RAND(),0,F$7)</f>
        <v>0.323639299926025</v>
      </c>
      <c r="G1754" s="53" t="n">
        <f aca="true">NORMINV(RAND(),0,G$7)</f>
        <v>-0.326158437947111</v>
      </c>
      <c r="H1754" s="53" t="n">
        <f aca="true">NORMINV(RAND(),0,H$7)</f>
        <v>-0.237171968250794</v>
      </c>
      <c r="I1754" s="53" t="n">
        <f aca="false">SUM(B1754:H1754)</f>
        <v>1.10997263441456</v>
      </c>
      <c r="J1754" s="53" t="n">
        <f aca="true">NORMINV(RAND(),0,J$7)</f>
        <v>0.666241084438373</v>
      </c>
      <c r="K1754" s="53" t="n">
        <f aca="true">NORMINV(RAND(),0,K$7)</f>
        <v>-0.021977850226539</v>
      </c>
      <c r="L1754" s="53" t="n">
        <f aca="true">NORMINV(RAND(),0,L$7)</f>
        <v>0.444617474683525</v>
      </c>
      <c r="M1754" s="53" t="n">
        <f aca="true">NORMINV(RAND(),0,M$7)</f>
        <v>-0.141269522994507</v>
      </c>
      <c r="N1754" s="53" t="n">
        <f aca="true">NORMINV(RAND(),0,N$7)</f>
        <v>-0.00108755730820738</v>
      </c>
      <c r="O1754" s="53" t="n">
        <f aca="false">SUM(J1754:N1754)</f>
        <v>0.946523628592645</v>
      </c>
    </row>
    <row r="1755" customFormat="false" ht="15" hidden="false" customHeight="false" outlineLevel="0" collapsed="false">
      <c r="A1755" s="2" t="n">
        <v>1747</v>
      </c>
      <c r="B1755" s="53" t="n">
        <f aca="true">NORMINV(RAND(),0,B$7)</f>
        <v>0.576574793247344</v>
      </c>
      <c r="C1755" s="53" t="n">
        <f aca="true">NORMINV(RAND(),0,C$7)</f>
        <v>0.498084703239353</v>
      </c>
      <c r="D1755" s="53" t="n">
        <f aca="true">NORMINV(RAND(),0,D$7)</f>
        <v>-1.45593222049731</v>
      </c>
      <c r="E1755" s="53" t="n">
        <f aca="true">NORMINV(RAND(),0,E$7)</f>
        <v>-0.657116279832798</v>
      </c>
      <c r="F1755" s="53" t="n">
        <f aca="true">NORMINV(RAND(),0,F$7)</f>
        <v>0.149557199598115</v>
      </c>
      <c r="G1755" s="53" t="n">
        <f aca="true">NORMINV(RAND(),0,G$7)</f>
        <v>-0.903718466288272</v>
      </c>
      <c r="H1755" s="53" t="n">
        <f aca="true">NORMINV(RAND(),0,H$7)</f>
        <v>-0.2397666479971</v>
      </c>
      <c r="I1755" s="53" t="n">
        <f aca="false">SUM(B1755:H1755)</f>
        <v>-2.03231691853067</v>
      </c>
      <c r="J1755" s="53" t="n">
        <f aca="true">NORMINV(RAND(),0,J$7)</f>
        <v>-2.01431398565217</v>
      </c>
      <c r="K1755" s="53" t="n">
        <f aca="true">NORMINV(RAND(),0,K$7)</f>
        <v>0.815606589654901</v>
      </c>
      <c r="L1755" s="53" t="n">
        <f aca="true">NORMINV(RAND(),0,L$7)</f>
        <v>0.101085811316687</v>
      </c>
      <c r="M1755" s="53" t="n">
        <f aca="true">NORMINV(RAND(),0,M$7)</f>
        <v>0.207748911190409</v>
      </c>
      <c r="N1755" s="53" t="n">
        <f aca="true">NORMINV(RAND(),0,N$7)</f>
        <v>-0.640317186329844</v>
      </c>
      <c r="O1755" s="53" t="n">
        <f aca="false">SUM(J1755:N1755)</f>
        <v>-1.53018985982002</v>
      </c>
    </row>
    <row r="1756" customFormat="false" ht="15" hidden="false" customHeight="false" outlineLevel="0" collapsed="false">
      <c r="A1756" s="2" t="n">
        <v>1748</v>
      </c>
      <c r="B1756" s="53" t="n">
        <f aca="true">NORMINV(RAND(),0,B$7)</f>
        <v>0.0666246812489155</v>
      </c>
      <c r="C1756" s="53" t="n">
        <f aca="true">NORMINV(RAND(),0,C$7)</f>
        <v>1.9259104945496</v>
      </c>
      <c r="D1756" s="53" t="n">
        <f aca="true">NORMINV(RAND(),0,D$7)</f>
        <v>-1.56470470106761</v>
      </c>
      <c r="E1756" s="53" t="n">
        <f aca="true">NORMINV(RAND(),0,E$7)</f>
        <v>-0.170237763137445</v>
      </c>
      <c r="F1756" s="53" t="n">
        <f aca="true">NORMINV(RAND(),0,F$7)</f>
        <v>0.0150780419189199</v>
      </c>
      <c r="G1756" s="53" t="n">
        <f aca="true">NORMINV(RAND(),0,G$7)</f>
        <v>-1.73984454685148</v>
      </c>
      <c r="H1756" s="53" t="n">
        <f aca="true">NORMINV(RAND(),0,H$7)</f>
        <v>-0.261336032770469</v>
      </c>
      <c r="I1756" s="53" t="n">
        <f aca="false">SUM(B1756:H1756)</f>
        <v>-1.72850982610956</v>
      </c>
      <c r="J1756" s="53" t="n">
        <f aca="true">NORMINV(RAND(),0,J$7)</f>
        <v>-0.573200570030362</v>
      </c>
      <c r="K1756" s="53" t="n">
        <f aca="true">NORMINV(RAND(),0,K$7)</f>
        <v>1.18475855162776</v>
      </c>
      <c r="L1756" s="53" t="n">
        <f aca="true">NORMINV(RAND(),0,L$7)</f>
        <v>0.250084171589258</v>
      </c>
      <c r="M1756" s="53" t="n">
        <f aca="true">NORMINV(RAND(),0,M$7)</f>
        <v>-0.126775138734172</v>
      </c>
      <c r="N1756" s="53" t="n">
        <f aca="true">NORMINV(RAND(),0,N$7)</f>
        <v>-0.0817125889017115</v>
      </c>
      <c r="O1756" s="53" t="n">
        <f aca="false">SUM(J1756:N1756)</f>
        <v>0.653154425550774</v>
      </c>
    </row>
    <row r="1757" customFormat="false" ht="15" hidden="false" customHeight="false" outlineLevel="0" collapsed="false">
      <c r="A1757" s="2" t="n">
        <v>1749</v>
      </c>
      <c r="B1757" s="53" t="n">
        <f aca="true">NORMINV(RAND(),0,B$7)</f>
        <v>-1.79719905736449</v>
      </c>
      <c r="C1757" s="53" t="n">
        <f aca="true">NORMINV(RAND(),0,C$7)</f>
        <v>-1.01168794317722</v>
      </c>
      <c r="D1757" s="53" t="n">
        <f aca="true">NORMINV(RAND(),0,D$7)</f>
        <v>0.83101357965917</v>
      </c>
      <c r="E1757" s="53" t="n">
        <f aca="true">NORMINV(RAND(),0,E$7)</f>
        <v>-0.0911700957461977</v>
      </c>
      <c r="F1757" s="53" t="n">
        <f aca="true">NORMINV(RAND(),0,F$7)</f>
        <v>-0.202106155004399</v>
      </c>
      <c r="G1757" s="53" t="n">
        <f aca="true">NORMINV(RAND(),0,G$7)</f>
        <v>-0.685186648332008</v>
      </c>
      <c r="H1757" s="53" t="n">
        <f aca="true">NORMINV(RAND(),0,H$7)</f>
        <v>-0.14307056239473</v>
      </c>
      <c r="I1757" s="53" t="n">
        <f aca="false">SUM(B1757:H1757)</f>
        <v>-3.09940688235987</v>
      </c>
      <c r="J1757" s="53" t="n">
        <f aca="true">NORMINV(RAND(),0,J$7)</f>
        <v>-1.73554983773523</v>
      </c>
      <c r="K1757" s="53" t="n">
        <f aca="true">NORMINV(RAND(),0,K$7)</f>
        <v>-0.654983875396712</v>
      </c>
      <c r="L1757" s="53" t="n">
        <f aca="true">NORMINV(RAND(),0,L$7)</f>
        <v>0.0494418252814634</v>
      </c>
      <c r="M1757" s="53" t="n">
        <f aca="true">NORMINV(RAND(),0,M$7)</f>
        <v>0.213080423942174</v>
      </c>
      <c r="N1757" s="53" t="n">
        <f aca="true">NORMINV(RAND(),0,N$7)</f>
        <v>-0.253669239900418</v>
      </c>
      <c r="O1757" s="53" t="n">
        <f aca="false">SUM(J1757:N1757)</f>
        <v>-2.38168070380872</v>
      </c>
    </row>
    <row r="1758" customFormat="false" ht="15" hidden="false" customHeight="false" outlineLevel="0" collapsed="false">
      <c r="A1758" s="2" t="n">
        <v>1750</v>
      </c>
      <c r="B1758" s="53" t="n">
        <f aca="true">NORMINV(RAND(),0,B$7)</f>
        <v>0.43106285503483</v>
      </c>
      <c r="C1758" s="53" t="n">
        <f aca="true">NORMINV(RAND(),0,C$7)</f>
        <v>0.92928199867587</v>
      </c>
      <c r="D1758" s="53" t="n">
        <f aca="true">NORMINV(RAND(),0,D$7)</f>
        <v>-0.626133547509439</v>
      </c>
      <c r="E1758" s="53" t="n">
        <f aca="true">NORMINV(RAND(),0,E$7)</f>
        <v>0.321682678306849</v>
      </c>
      <c r="F1758" s="53" t="n">
        <f aca="true">NORMINV(RAND(),0,F$7)</f>
        <v>0.431007697586496</v>
      </c>
      <c r="G1758" s="53" t="n">
        <f aca="true">NORMINV(RAND(),0,G$7)</f>
        <v>0.634819961398525</v>
      </c>
      <c r="H1758" s="53" t="n">
        <f aca="true">NORMINV(RAND(),0,H$7)</f>
        <v>-0.0826437736285243</v>
      </c>
      <c r="I1758" s="53" t="n">
        <f aca="false">SUM(B1758:H1758)</f>
        <v>2.03907786986461</v>
      </c>
      <c r="J1758" s="53" t="n">
        <f aca="true">NORMINV(RAND(),0,J$7)</f>
        <v>-0.692208777607616</v>
      </c>
      <c r="K1758" s="53" t="n">
        <f aca="true">NORMINV(RAND(),0,K$7)</f>
        <v>-0.434412132691814</v>
      </c>
      <c r="L1758" s="53" t="n">
        <f aca="true">NORMINV(RAND(),0,L$7)</f>
        <v>-0.375374039968472</v>
      </c>
      <c r="M1758" s="53" t="n">
        <f aca="true">NORMINV(RAND(),0,M$7)</f>
        <v>-0.116022468416948</v>
      </c>
      <c r="N1758" s="53" t="n">
        <f aca="true">NORMINV(RAND(),0,N$7)</f>
        <v>-0.124184540904073</v>
      </c>
      <c r="O1758" s="53" t="n">
        <f aca="false">SUM(J1758:N1758)</f>
        <v>-1.74220195958892</v>
      </c>
    </row>
    <row r="1759" customFormat="false" ht="15" hidden="false" customHeight="false" outlineLevel="0" collapsed="false">
      <c r="A1759" s="2" t="n">
        <v>1751</v>
      </c>
      <c r="B1759" s="53" t="n">
        <f aca="true">NORMINV(RAND(),0,B$7)</f>
        <v>2.36515794806309</v>
      </c>
      <c r="C1759" s="53" t="n">
        <f aca="true">NORMINV(RAND(),0,C$7)</f>
        <v>0.0294040456642569</v>
      </c>
      <c r="D1759" s="53" t="n">
        <f aca="true">NORMINV(RAND(),0,D$7)</f>
        <v>-3.16695269557143</v>
      </c>
      <c r="E1759" s="53" t="n">
        <f aca="true">NORMINV(RAND(),0,E$7)</f>
        <v>0.454381642869154</v>
      </c>
      <c r="F1759" s="53" t="n">
        <f aca="true">NORMINV(RAND(),0,F$7)</f>
        <v>0.0561276823183187</v>
      </c>
      <c r="G1759" s="53" t="n">
        <f aca="true">NORMINV(RAND(),0,G$7)</f>
        <v>1.23843228760155</v>
      </c>
      <c r="H1759" s="53" t="n">
        <f aca="true">NORMINV(RAND(),0,H$7)</f>
        <v>0.0428857413980344</v>
      </c>
      <c r="I1759" s="53" t="n">
        <f aca="false">SUM(B1759:H1759)</f>
        <v>1.01943665234297</v>
      </c>
      <c r="J1759" s="53" t="n">
        <f aca="true">NORMINV(RAND(),0,J$7)</f>
        <v>-4.88567923601318</v>
      </c>
      <c r="K1759" s="53" t="n">
        <f aca="true">NORMINV(RAND(),0,K$7)</f>
        <v>-0.392783987142899</v>
      </c>
      <c r="L1759" s="53" t="n">
        <f aca="true">NORMINV(RAND(),0,L$7)</f>
        <v>0.517827947716629</v>
      </c>
      <c r="M1759" s="53" t="n">
        <f aca="true">NORMINV(RAND(),0,M$7)</f>
        <v>-0.21956831892326</v>
      </c>
      <c r="N1759" s="53" t="n">
        <f aca="true">NORMINV(RAND(),0,N$7)</f>
        <v>0.622912173575766</v>
      </c>
      <c r="O1759" s="53" t="n">
        <f aca="false">SUM(J1759:N1759)</f>
        <v>-4.35729142078695</v>
      </c>
    </row>
    <row r="1760" customFormat="false" ht="15" hidden="false" customHeight="false" outlineLevel="0" collapsed="false">
      <c r="A1760" s="2" t="n">
        <v>1752</v>
      </c>
      <c r="B1760" s="53" t="n">
        <f aca="true">NORMINV(RAND(),0,B$7)</f>
        <v>-1.16487546269631</v>
      </c>
      <c r="C1760" s="53" t="n">
        <f aca="true">NORMINV(RAND(),0,C$7)</f>
        <v>-1.36805653577271</v>
      </c>
      <c r="D1760" s="53" t="n">
        <f aca="true">NORMINV(RAND(),0,D$7)</f>
        <v>-0.309251787244745</v>
      </c>
      <c r="E1760" s="53" t="n">
        <f aca="true">NORMINV(RAND(),0,E$7)</f>
        <v>0.0984920910897312</v>
      </c>
      <c r="F1760" s="53" t="n">
        <f aca="true">NORMINV(RAND(),0,F$7)</f>
        <v>0.656952092608453</v>
      </c>
      <c r="G1760" s="53" t="n">
        <f aca="true">NORMINV(RAND(),0,G$7)</f>
        <v>0.0721535774749094</v>
      </c>
      <c r="H1760" s="53" t="n">
        <f aca="true">NORMINV(RAND(),0,H$7)</f>
        <v>0.376390801459666</v>
      </c>
      <c r="I1760" s="53" t="n">
        <f aca="false">SUM(B1760:H1760)</f>
        <v>-1.63819522308101</v>
      </c>
      <c r="J1760" s="53" t="n">
        <f aca="true">NORMINV(RAND(),0,J$7)</f>
        <v>3.13184349383808</v>
      </c>
      <c r="K1760" s="53" t="n">
        <f aca="true">NORMINV(RAND(),0,K$7)</f>
        <v>0.55443345625389</v>
      </c>
      <c r="L1760" s="53" t="n">
        <f aca="true">NORMINV(RAND(),0,L$7)</f>
        <v>-0.39231000427479</v>
      </c>
      <c r="M1760" s="53" t="n">
        <f aca="true">NORMINV(RAND(),0,M$7)</f>
        <v>-0.184152591165279</v>
      </c>
      <c r="N1760" s="53" t="n">
        <f aca="true">NORMINV(RAND(),0,N$7)</f>
        <v>0.780864890388314</v>
      </c>
      <c r="O1760" s="53" t="n">
        <f aca="false">SUM(J1760:N1760)</f>
        <v>3.89067924504021</v>
      </c>
    </row>
    <row r="1761" customFormat="false" ht="15" hidden="false" customHeight="false" outlineLevel="0" collapsed="false">
      <c r="A1761" s="2" t="n">
        <v>1753</v>
      </c>
      <c r="B1761" s="53" t="n">
        <f aca="true">NORMINV(RAND(),0,B$7)</f>
        <v>-0.424879593402066</v>
      </c>
      <c r="C1761" s="53" t="n">
        <f aca="true">NORMINV(RAND(),0,C$7)</f>
        <v>-0.285855643239423</v>
      </c>
      <c r="D1761" s="53" t="n">
        <f aca="true">NORMINV(RAND(),0,D$7)</f>
        <v>-1.16497861900813</v>
      </c>
      <c r="E1761" s="53" t="n">
        <f aca="true">NORMINV(RAND(),0,E$7)</f>
        <v>0.252069348207091</v>
      </c>
      <c r="F1761" s="53" t="n">
        <f aca="true">NORMINV(RAND(),0,F$7)</f>
        <v>-0.124989175907213</v>
      </c>
      <c r="G1761" s="53" t="n">
        <f aca="true">NORMINV(RAND(),0,G$7)</f>
        <v>0.262281619803065</v>
      </c>
      <c r="H1761" s="53" t="n">
        <f aca="true">NORMINV(RAND(),0,H$7)</f>
        <v>0.222001165398658</v>
      </c>
      <c r="I1761" s="53" t="n">
        <f aca="false">SUM(B1761:H1761)</f>
        <v>-1.26435089814802</v>
      </c>
      <c r="J1761" s="53" t="n">
        <f aca="true">NORMINV(RAND(),0,J$7)</f>
        <v>-0.843506036114481</v>
      </c>
      <c r="K1761" s="53" t="n">
        <f aca="true">NORMINV(RAND(),0,K$7)</f>
        <v>-0.368480265275856</v>
      </c>
      <c r="L1761" s="53" t="n">
        <f aca="true">NORMINV(RAND(),0,L$7)</f>
        <v>-0.203922861187102</v>
      </c>
      <c r="M1761" s="53" t="n">
        <f aca="true">NORMINV(RAND(),0,M$7)</f>
        <v>-0.245767715909296</v>
      </c>
      <c r="N1761" s="53" t="n">
        <f aca="true">NORMINV(RAND(),0,N$7)</f>
        <v>0.314680284100148</v>
      </c>
      <c r="O1761" s="53" t="n">
        <f aca="false">SUM(J1761:N1761)</f>
        <v>-1.34699659438659</v>
      </c>
    </row>
    <row r="1762" customFormat="false" ht="15" hidden="false" customHeight="false" outlineLevel="0" collapsed="false">
      <c r="A1762" s="2" t="n">
        <v>1754</v>
      </c>
      <c r="B1762" s="53" t="n">
        <f aca="true">NORMINV(RAND(),0,B$7)</f>
        <v>-1.29055663638747</v>
      </c>
      <c r="C1762" s="53" t="n">
        <f aca="true">NORMINV(RAND(),0,C$7)</f>
        <v>-0.492913016344728</v>
      </c>
      <c r="D1762" s="53" t="n">
        <f aca="true">NORMINV(RAND(),0,D$7)</f>
        <v>1.38418292035913</v>
      </c>
      <c r="E1762" s="53" t="n">
        <f aca="true">NORMINV(RAND(),0,E$7)</f>
        <v>-0.560957199596029</v>
      </c>
      <c r="F1762" s="53" t="n">
        <f aca="true">NORMINV(RAND(),0,F$7)</f>
        <v>-0.309067760971039</v>
      </c>
      <c r="G1762" s="53" t="n">
        <f aca="true">NORMINV(RAND(),0,G$7)</f>
        <v>-1.37172067446966</v>
      </c>
      <c r="H1762" s="53" t="n">
        <f aca="true">NORMINV(RAND(),0,H$7)</f>
        <v>-0.417872358077681</v>
      </c>
      <c r="I1762" s="53" t="n">
        <f aca="false">SUM(B1762:H1762)</f>
        <v>-3.05890472548747</v>
      </c>
      <c r="J1762" s="53" t="n">
        <f aca="true">NORMINV(RAND(),0,J$7)</f>
        <v>-0.173507880935757</v>
      </c>
      <c r="K1762" s="53" t="n">
        <f aca="true">NORMINV(RAND(),0,K$7)</f>
        <v>-0.252549177385729</v>
      </c>
      <c r="L1762" s="53" t="n">
        <f aca="true">NORMINV(RAND(),0,L$7)</f>
        <v>0.287472616331559</v>
      </c>
      <c r="M1762" s="53" t="n">
        <f aca="true">NORMINV(RAND(),0,M$7)</f>
        <v>-0.0648009449943848</v>
      </c>
      <c r="N1762" s="53" t="n">
        <f aca="true">NORMINV(RAND(),0,N$7)</f>
        <v>0.143916021786007</v>
      </c>
      <c r="O1762" s="53" t="n">
        <f aca="false">SUM(J1762:N1762)</f>
        <v>-0.0594693651983049</v>
      </c>
    </row>
    <row r="1763" customFormat="false" ht="15" hidden="false" customHeight="false" outlineLevel="0" collapsed="false">
      <c r="A1763" s="2" t="n">
        <v>1755</v>
      </c>
      <c r="B1763" s="53" t="n">
        <f aca="true">NORMINV(RAND(),0,B$7)</f>
        <v>0.269703880497453</v>
      </c>
      <c r="C1763" s="53" t="n">
        <f aca="true">NORMINV(RAND(),0,C$7)</f>
        <v>0.921448589594797</v>
      </c>
      <c r="D1763" s="53" t="n">
        <f aca="true">NORMINV(RAND(),0,D$7)</f>
        <v>0.587224453874013</v>
      </c>
      <c r="E1763" s="53" t="n">
        <f aca="true">NORMINV(RAND(),0,E$7)</f>
        <v>-0.149839666887179</v>
      </c>
      <c r="F1763" s="53" t="n">
        <f aca="true">NORMINV(RAND(),0,F$7)</f>
        <v>-0.358653939222216</v>
      </c>
      <c r="G1763" s="53" t="n">
        <f aca="true">NORMINV(RAND(),0,G$7)</f>
        <v>1.52374356032949</v>
      </c>
      <c r="H1763" s="53" t="n">
        <f aca="true">NORMINV(RAND(),0,H$7)</f>
        <v>-0.0889281410892829</v>
      </c>
      <c r="I1763" s="53" t="n">
        <f aca="false">SUM(B1763:H1763)</f>
        <v>2.70469873709707</v>
      </c>
      <c r="J1763" s="53" t="n">
        <f aca="true">NORMINV(RAND(),0,J$7)</f>
        <v>2.44752318228535</v>
      </c>
      <c r="K1763" s="53" t="n">
        <f aca="true">NORMINV(RAND(),0,K$7)</f>
        <v>0.221980393294085</v>
      </c>
      <c r="L1763" s="53" t="n">
        <f aca="true">NORMINV(RAND(),0,L$7)</f>
        <v>0.278857506387937</v>
      </c>
      <c r="M1763" s="53" t="n">
        <f aca="true">NORMINV(RAND(),0,M$7)</f>
        <v>-0.226360176534781</v>
      </c>
      <c r="N1763" s="53" t="n">
        <f aca="true">NORMINV(RAND(),0,N$7)</f>
        <v>-0.382993493267424</v>
      </c>
      <c r="O1763" s="53" t="n">
        <f aca="false">SUM(J1763:N1763)</f>
        <v>2.33900741216517</v>
      </c>
    </row>
    <row r="1764" customFormat="false" ht="15" hidden="false" customHeight="false" outlineLevel="0" collapsed="false">
      <c r="A1764" s="2" t="n">
        <v>1756</v>
      </c>
      <c r="B1764" s="53" t="n">
        <f aca="true">NORMINV(RAND(),0,B$7)</f>
        <v>-0.336958296339659</v>
      </c>
      <c r="C1764" s="53" t="n">
        <f aca="true">NORMINV(RAND(),0,C$7)</f>
        <v>-1.48209998860681</v>
      </c>
      <c r="D1764" s="53" t="n">
        <f aca="true">NORMINV(RAND(),0,D$7)</f>
        <v>0.834360294206467</v>
      </c>
      <c r="E1764" s="53" t="n">
        <f aca="true">NORMINV(RAND(),0,E$7)</f>
        <v>0.0156192204579623</v>
      </c>
      <c r="F1764" s="53" t="n">
        <f aca="true">NORMINV(RAND(),0,F$7)</f>
        <v>-0.561008065131409</v>
      </c>
      <c r="G1764" s="53" t="n">
        <f aca="true">NORMINV(RAND(),0,G$7)</f>
        <v>-1.13203106625286</v>
      </c>
      <c r="H1764" s="53" t="n">
        <f aca="true">NORMINV(RAND(),0,H$7)</f>
        <v>-0.0383363875318462</v>
      </c>
      <c r="I1764" s="53" t="n">
        <f aca="false">SUM(B1764:H1764)</f>
        <v>-2.70045428919815</v>
      </c>
      <c r="J1764" s="53" t="n">
        <f aca="true">NORMINV(RAND(),0,J$7)</f>
        <v>-2.20722408195911</v>
      </c>
      <c r="K1764" s="53" t="n">
        <f aca="true">NORMINV(RAND(),0,K$7)</f>
        <v>0.0148172287366444</v>
      </c>
      <c r="L1764" s="53" t="n">
        <f aca="true">NORMINV(RAND(),0,L$7)</f>
        <v>0.108224755887447</v>
      </c>
      <c r="M1764" s="53" t="n">
        <f aca="true">NORMINV(RAND(),0,M$7)</f>
        <v>0.194595454143876</v>
      </c>
      <c r="N1764" s="53" t="n">
        <f aca="true">NORMINV(RAND(),0,N$7)</f>
        <v>0.335428603238739</v>
      </c>
      <c r="O1764" s="53" t="n">
        <f aca="false">SUM(J1764:N1764)</f>
        <v>-1.5541580399524</v>
      </c>
    </row>
    <row r="1765" customFormat="false" ht="15" hidden="false" customHeight="false" outlineLevel="0" collapsed="false">
      <c r="A1765" s="2" t="n">
        <v>1757</v>
      </c>
      <c r="B1765" s="53" t="n">
        <f aca="true">NORMINV(RAND(),0,B$7)</f>
        <v>-1.79805211295436</v>
      </c>
      <c r="C1765" s="53" t="n">
        <f aca="true">NORMINV(RAND(),0,C$7)</f>
        <v>-0.107694696656842</v>
      </c>
      <c r="D1765" s="53" t="n">
        <f aca="true">NORMINV(RAND(),0,D$7)</f>
        <v>-0.498897335661483</v>
      </c>
      <c r="E1765" s="53" t="n">
        <f aca="true">NORMINV(RAND(),0,E$7)</f>
        <v>0.115425387397255</v>
      </c>
      <c r="F1765" s="53" t="n">
        <f aca="true">NORMINV(RAND(),0,F$7)</f>
        <v>-0.0990474068895743</v>
      </c>
      <c r="G1765" s="53" t="n">
        <f aca="true">NORMINV(RAND(),0,G$7)</f>
        <v>0.410324314633924</v>
      </c>
      <c r="H1765" s="53" t="n">
        <f aca="true">NORMINV(RAND(),0,H$7)</f>
        <v>-0.334829329512352</v>
      </c>
      <c r="I1765" s="53" t="n">
        <f aca="false">SUM(B1765:H1765)</f>
        <v>-2.31277117964343</v>
      </c>
      <c r="J1765" s="53" t="n">
        <f aca="true">NORMINV(RAND(),0,J$7)</f>
        <v>-2.23814113805593</v>
      </c>
      <c r="K1765" s="53" t="n">
        <f aca="true">NORMINV(RAND(),0,K$7)</f>
        <v>-0.0478534942953051</v>
      </c>
      <c r="L1765" s="53" t="n">
        <f aca="true">NORMINV(RAND(),0,L$7)</f>
        <v>-0.671521248190541</v>
      </c>
      <c r="M1765" s="53" t="n">
        <f aca="true">NORMINV(RAND(),0,M$7)</f>
        <v>-0.125242454241414</v>
      </c>
      <c r="N1765" s="53" t="n">
        <f aca="true">NORMINV(RAND(),0,N$7)</f>
        <v>0.205536607585212</v>
      </c>
      <c r="O1765" s="53" t="n">
        <f aca="false">SUM(J1765:N1765)</f>
        <v>-2.87722172719798</v>
      </c>
    </row>
    <row r="1766" customFormat="false" ht="15" hidden="false" customHeight="false" outlineLevel="0" collapsed="false">
      <c r="A1766" s="2" t="n">
        <v>1758</v>
      </c>
      <c r="B1766" s="53" t="n">
        <f aca="true">NORMINV(RAND(),0,B$7)</f>
        <v>3.51305464605071</v>
      </c>
      <c r="C1766" s="53" t="n">
        <f aca="true">NORMINV(RAND(),0,C$7)</f>
        <v>0.320523125047573</v>
      </c>
      <c r="D1766" s="53" t="n">
        <f aca="true">NORMINV(RAND(),0,D$7)</f>
        <v>-1.46251002958374</v>
      </c>
      <c r="E1766" s="53" t="n">
        <f aca="true">NORMINV(RAND(),0,E$7)</f>
        <v>-0.375892354991633</v>
      </c>
      <c r="F1766" s="53" t="n">
        <f aca="true">NORMINV(RAND(),0,F$7)</f>
        <v>-0.0768367916334552</v>
      </c>
      <c r="G1766" s="53" t="n">
        <f aca="true">NORMINV(RAND(),0,G$7)</f>
        <v>-0.0917666738144594</v>
      </c>
      <c r="H1766" s="53" t="n">
        <f aca="true">NORMINV(RAND(),0,H$7)</f>
        <v>-0.282483149239695</v>
      </c>
      <c r="I1766" s="53" t="n">
        <f aca="false">SUM(B1766:H1766)</f>
        <v>1.5440887718353</v>
      </c>
      <c r="J1766" s="53" t="n">
        <f aca="true">NORMINV(RAND(),0,J$7)</f>
        <v>-1.64202819905489</v>
      </c>
      <c r="K1766" s="53" t="n">
        <f aca="true">NORMINV(RAND(),0,K$7)</f>
        <v>0.154265301939609</v>
      </c>
      <c r="L1766" s="53" t="n">
        <f aca="true">NORMINV(RAND(),0,L$7)</f>
        <v>-0.0282768725466048</v>
      </c>
      <c r="M1766" s="53" t="n">
        <f aca="true">NORMINV(RAND(),0,M$7)</f>
        <v>-0.119723432795597</v>
      </c>
      <c r="N1766" s="53" t="n">
        <f aca="true">NORMINV(RAND(),0,N$7)</f>
        <v>-0.685031876482359</v>
      </c>
      <c r="O1766" s="53" t="n">
        <f aca="false">SUM(J1766:N1766)</f>
        <v>-2.32079507893984</v>
      </c>
    </row>
    <row r="1767" customFormat="false" ht="15" hidden="false" customHeight="false" outlineLevel="0" collapsed="false">
      <c r="A1767" s="2" t="n">
        <v>1759</v>
      </c>
      <c r="B1767" s="53" t="n">
        <f aca="true">NORMINV(RAND(),0,B$7)</f>
        <v>0.225627375590121</v>
      </c>
      <c r="C1767" s="53" t="n">
        <f aca="true">NORMINV(RAND(),0,C$7)</f>
        <v>-3.09253048123305</v>
      </c>
      <c r="D1767" s="53" t="n">
        <f aca="true">NORMINV(RAND(),0,D$7)</f>
        <v>2.83239815851243</v>
      </c>
      <c r="E1767" s="53" t="n">
        <f aca="true">NORMINV(RAND(),0,E$7)</f>
        <v>-0.284421509023189</v>
      </c>
      <c r="F1767" s="53" t="n">
        <f aca="true">NORMINV(RAND(),0,F$7)</f>
        <v>0.257556344872406</v>
      </c>
      <c r="G1767" s="53" t="n">
        <f aca="true">NORMINV(RAND(),0,G$7)</f>
        <v>0.470641548007536</v>
      </c>
      <c r="H1767" s="53" t="n">
        <f aca="true">NORMINV(RAND(),0,H$7)</f>
        <v>-0.380192327537578</v>
      </c>
      <c r="I1767" s="53" t="n">
        <f aca="false">SUM(B1767:H1767)</f>
        <v>0.0290791091886696</v>
      </c>
      <c r="J1767" s="53" t="n">
        <f aca="true">NORMINV(RAND(),0,J$7)</f>
        <v>0.693982765115973</v>
      </c>
      <c r="K1767" s="53" t="n">
        <f aca="true">NORMINV(RAND(),0,K$7)</f>
        <v>-0.728162784654167</v>
      </c>
      <c r="L1767" s="53" t="n">
        <f aca="true">NORMINV(RAND(),0,L$7)</f>
        <v>-0.213298847705577</v>
      </c>
      <c r="M1767" s="53" t="n">
        <f aca="true">NORMINV(RAND(),0,M$7)</f>
        <v>-0.00157145562451379</v>
      </c>
      <c r="N1767" s="53" t="n">
        <f aca="true">NORMINV(RAND(),0,N$7)</f>
        <v>0.203065712645597</v>
      </c>
      <c r="O1767" s="53" t="n">
        <f aca="false">SUM(J1767:N1767)</f>
        <v>-0.0459846102226877</v>
      </c>
    </row>
    <row r="1768" customFormat="false" ht="15" hidden="false" customHeight="false" outlineLevel="0" collapsed="false">
      <c r="A1768" s="2" t="n">
        <v>1760</v>
      </c>
      <c r="B1768" s="53" t="n">
        <f aca="true">NORMINV(RAND(),0,B$7)</f>
        <v>0.435236827147423</v>
      </c>
      <c r="C1768" s="53" t="n">
        <f aca="true">NORMINV(RAND(),0,C$7)</f>
        <v>-1.30667965377327</v>
      </c>
      <c r="D1768" s="53" t="n">
        <f aca="true">NORMINV(RAND(),0,D$7)</f>
        <v>2.72451091994732</v>
      </c>
      <c r="E1768" s="53" t="n">
        <f aca="true">NORMINV(RAND(),0,E$7)</f>
        <v>-0.300897795738524</v>
      </c>
      <c r="F1768" s="53" t="n">
        <f aca="true">NORMINV(RAND(),0,F$7)</f>
        <v>0.568259341204744</v>
      </c>
      <c r="G1768" s="53" t="n">
        <f aca="true">NORMINV(RAND(),0,G$7)</f>
        <v>-2.3776300002804</v>
      </c>
      <c r="H1768" s="53" t="n">
        <f aca="true">NORMINV(RAND(),0,H$7)</f>
        <v>-0.1191888891308</v>
      </c>
      <c r="I1768" s="53" t="n">
        <f aca="false">SUM(B1768:H1768)</f>
        <v>-0.376389250623508</v>
      </c>
      <c r="J1768" s="53" t="n">
        <f aca="true">NORMINV(RAND(),0,J$7)</f>
        <v>-3.07988797825539</v>
      </c>
      <c r="K1768" s="53" t="n">
        <f aca="true">NORMINV(RAND(),0,K$7)</f>
        <v>-0.0479356824244476</v>
      </c>
      <c r="L1768" s="53" t="n">
        <f aca="true">NORMINV(RAND(),0,L$7)</f>
        <v>0.627077679874084</v>
      </c>
      <c r="M1768" s="53" t="n">
        <f aca="true">NORMINV(RAND(),0,M$7)</f>
        <v>-0.151011881698651</v>
      </c>
      <c r="N1768" s="53" t="n">
        <f aca="true">NORMINV(RAND(),0,N$7)</f>
        <v>-0.43287212146257</v>
      </c>
      <c r="O1768" s="53" t="n">
        <f aca="false">SUM(J1768:N1768)</f>
        <v>-3.08462998396698</v>
      </c>
    </row>
    <row r="1769" customFormat="false" ht="15" hidden="false" customHeight="false" outlineLevel="0" collapsed="false">
      <c r="A1769" s="2" t="n">
        <v>1761</v>
      </c>
      <c r="B1769" s="53" t="n">
        <f aca="true">NORMINV(RAND(),0,B$7)</f>
        <v>0.08596712305949</v>
      </c>
      <c r="C1769" s="53" t="n">
        <f aca="true">NORMINV(RAND(),0,C$7)</f>
        <v>0.756044644574611</v>
      </c>
      <c r="D1769" s="53" t="n">
        <f aca="true">NORMINV(RAND(),0,D$7)</f>
        <v>-1.65765035696084</v>
      </c>
      <c r="E1769" s="53" t="n">
        <f aca="true">NORMINV(RAND(),0,E$7)</f>
        <v>-0.379671356954847</v>
      </c>
      <c r="F1769" s="53" t="n">
        <f aca="true">NORMINV(RAND(),0,F$7)</f>
        <v>0.413551770514654</v>
      </c>
      <c r="G1769" s="53" t="n">
        <f aca="true">NORMINV(RAND(),0,G$7)</f>
        <v>0.980860798695805</v>
      </c>
      <c r="H1769" s="53" t="n">
        <f aca="true">NORMINV(RAND(),0,H$7)</f>
        <v>0.166650373595466</v>
      </c>
      <c r="I1769" s="53" t="n">
        <f aca="false">SUM(B1769:H1769)</f>
        <v>0.365752996524338</v>
      </c>
      <c r="J1769" s="53" t="n">
        <f aca="true">NORMINV(RAND(),0,J$7)</f>
        <v>-1.81652020892377</v>
      </c>
      <c r="K1769" s="53" t="n">
        <f aca="true">NORMINV(RAND(),0,K$7)</f>
        <v>0.103788006485716</v>
      </c>
      <c r="L1769" s="53" t="n">
        <f aca="true">NORMINV(RAND(),0,L$7)</f>
        <v>-0.464334360648865</v>
      </c>
      <c r="M1769" s="53" t="n">
        <f aca="true">NORMINV(RAND(),0,M$7)</f>
        <v>-0.155599602453788</v>
      </c>
      <c r="N1769" s="53" t="n">
        <f aca="true">NORMINV(RAND(),0,N$7)</f>
        <v>-0.976196918502011</v>
      </c>
      <c r="O1769" s="53" t="n">
        <f aca="false">SUM(J1769:N1769)</f>
        <v>-3.30886308404272</v>
      </c>
    </row>
    <row r="1770" customFormat="false" ht="15" hidden="false" customHeight="false" outlineLevel="0" collapsed="false">
      <c r="A1770" s="2" t="n">
        <v>1762</v>
      </c>
      <c r="B1770" s="53" t="n">
        <f aca="true">NORMINV(RAND(),0,B$7)</f>
        <v>2.40546807765629</v>
      </c>
      <c r="C1770" s="53" t="n">
        <f aca="true">NORMINV(RAND(),0,C$7)</f>
        <v>-1.67716409128251</v>
      </c>
      <c r="D1770" s="53" t="n">
        <f aca="true">NORMINV(RAND(),0,D$7)</f>
        <v>-1.21575041373569</v>
      </c>
      <c r="E1770" s="53" t="n">
        <f aca="true">NORMINV(RAND(),0,E$7)</f>
        <v>0.235699264154547</v>
      </c>
      <c r="F1770" s="53" t="n">
        <f aca="true">NORMINV(RAND(),0,F$7)</f>
        <v>0.68263999925189</v>
      </c>
      <c r="G1770" s="53" t="n">
        <f aca="true">NORMINV(RAND(),0,G$7)</f>
        <v>2.07722858749817</v>
      </c>
      <c r="H1770" s="53" t="n">
        <f aca="true">NORMINV(RAND(),0,H$7)</f>
        <v>-0.263471153368942</v>
      </c>
      <c r="I1770" s="53" t="n">
        <f aca="false">SUM(B1770:H1770)</f>
        <v>2.24465027017376</v>
      </c>
      <c r="J1770" s="53" t="n">
        <f aca="true">NORMINV(RAND(),0,J$7)</f>
        <v>-0.299291153938022</v>
      </c>
      <c r="K1770" s="53" t="n">
        <f aca="true">NORMINV(RAND(),0,K$7)</f>
        <v>1.25490060375675</v>
      </c>
      <c r="L1770" s="53" t="n">
        <f aca="true">NORMINV(RAND(),0,L$7)</f>
        <v>0.0749224504771694</v>
      </c>
      <c r="M1770" s="53" t="n">
        <f aca="true">NORMINV(RAND(),0,M$7)</f>
        <v>0.177088291000472</v>
      </c>
      <c r="N1770" s="53" t="n">
        <f aca="true">NORMINV(RAND(),0,N$7)</f>
        <v>-0.547827005202449</v>
      </c>
      <c r="O1770" s="53" t="n">
        <f aca="false">SUM(J1770:N1770)</f>
        <v>0.659793186093919</v>
      </c>
    </row>
    <row r="1771" customFormat="false" ht="15" hidden="false" customHeight="false" outlineLevel="0" collapsed="false">
      <c r="A1771" s="2" t="n">
        <v>1763</v>
      </c>
      <c r="B1771" s="53" t="n">
        <f aca="true">NORMINV(RAND(),0,B$7)</f>
        <v>1.27812434722699</v>
      </c>
      <c r="C1771" s="53" t="n">
        <f aca="true">NORMINV(RAND(),0,C$7)</f>
        <v>0.743301712090916</v>
      </c>
      <c r="D1771" s="53" t="n">
        <f aca="true">NORMINV(RAND(),0,D$7)</f>
        <v>1.52045103363651</v>
      </c>
      <c r="E1771" s="53" t="n">
        <f aca="true">NORMINV(RAND(),0,E$7)</f>
        <v>-0.0732025060220665</v>
      </c>
      <c r="F1771" s="53" t="n">
        <f aca="true">NORMINV(RAND(),0,F$7)</f>
        <v>0.126809389247364</v>
      </c>
      <c r="G1771" s="53" t="n">
        <f aca="true">NORMINV(RAND(),0,G$7)</f>
        <v>2.98846325258437</v>
      </c>
      <c r="H1771" s="53" t="n">
        <f aca="true">NORMINV(RAND(),0,H$7)</f>
        <v>0.153776010388413</v>
      </c>
      <c r="I1771" s="53" t="n">
        <f aca="false">SUM(B1771:H1771)</f>
        <v>6.73772323915249</v>
      </c>
      <c r="J1771" s="53" t="n">
        <f aca="true">NORMINV(RAND(),0,J$7)</f>
        <v>0.747235784242979</v>
      </c>
      <c r="K1771" s="53" t="n">
        <f aca="true">NORMINV(RAND(),0,K$7)</f>
        <v>0.249430840750439</v>
      </c>
      <c r="L1771" s="53" t="n">
        <f aca="true">NORMINV(RAND(),0,L$7)</f>
        <v>-0.641446417437199</v>
      </c>
      <c r="M1771" s="53" t="n">
        <f aca="true">NORMINV(RAND(),0,M$7)</f>
        <v>0.1530148916188</v>
      </c>
      <c r="N1771" s="53" t="n">
        <f aca="true">NORMINV(RAND(),0,N$7)</f>
        <v>0.465173277914251</v>
      </c>
      <c r="O1771" s="53" t="n">
        <f aca="false">SUM(J1771:N1771)</f>
        <v>0.97340837708927</v>
      </c>
    </row>
    <row r="1772" customFormat="false" ht="15" hidden="false" customHeight="false" outlineLevel="0" collapsed="false">
      <c r="A1772" s="2" t="n">
        <v>1764</v>
      </c>
      <c r="B1772" s="53" t="n">
        <f aca="true">NORMINV(RAND(),0,B$7)</f>
        <v>0.921554866392363</v>
      </c>
      <c r="C1772" s="53" t="n">
        <f aca="true">NORMINV(RAND(),0,C$7)</f>
        <v>0.129438105802038</v>
      </c>
      <c r="D1772" s="53" t="n">
        <f aca="true">NORMINV(RAND(),0,D$7)</f>
        <v>0.734041552201014</v>
      </c>
      <c r="E1772" s="53" t="n">
        <f aca="true">NORMINV(RAND(),0,E$7)</f>
        <v>0.110320025718969</v>
      </c>
      <c r="F1772" s="53" t="n">
        <f aca="true">NORMINV(RAND(),0,F$7)</f>
        <v>0.38799231344196</v>
      </c>
      <c r="G1772" s="53" t="n">
        <f aca="true">NORMINV(RAND(),0,G$7)</f>
        <v>0.467556089149</v>
      </c>
      <c r="H1772" s="53" t="n">
        <f aca="true">NORMINV(RAND(),0,H$7)</f>
        <v>0.146129189426559</v>
      </c>
      <c r="I1772" s="53" t="n">
        <f aca="false">SUM(B1772:H1772)</f>
        <v>2.8970321421319</v>
      </c>
      <c r="J1772" s="53" t="n">
        <f aca="true">NORMINV(RAND(),0,J$7)</f>
        <v>-1.05167186745086</v>
      </c>
      <c r="K1772" s="53" t="n">
        <f aca="true">NORMINV(RAND(),0,K$7)</f>
        <v>-0.221866271861511</v>
      </c>
      <c r="L1772" s="53" t="n">
        <f aca="true">NORMINV(RAND(),0,L$7)</f>
        <v>0.0769439453108182</v>
      </c>
      <c r="M1772" s="53" t="n">
        <f aca="true">NORMINV(RAND(),0,M$7)</f>
        <v>-0.233591184428033</v>
      </c>
      <c r="N1772" s="53" t="n">
        <f aca="true">NORMINV(RAND(),0,N$7)</f>
        <v>-0.278293538662071</v>
      </c>
      <c r="O1772" s="53" t="n">
        <f aca="false">SUM(J1772:N1772)</f>
        <v>-1.70847891709166</v>
      </c>
    </row>
    <row r="1773" customFormat="false" ht="15" hidden="false" customHeight="false" outlineLevel="0" collapsed="false">
      <c r="A1773" s="2" t="n">
        <v>1765</v>
      </c>
      <c r="B1773" s="53" t="n">
        <f aca="true">NORMINV(RAND(),0,B$7)</f>
        <v>0.658862868836457</v>
      </c>
      <c r="C1773" s="53" t="n">
        <f aca="true">NORMINV(RAND(),0,C$7)</f>
        <v>1.04294310019141</v>
      </c>
      <c r="D1773" s="53" t="n">
        <f aca="true">NORMINV(RAND(),0,D$7)</f>
        <v>-1.49272472042579</v>
      </c>
      <c r="E1773" s="53" t="n">
        <f aca="true">NORMINV(RAND(),0,E$7)</f>
        <v>-0.168208358409544</v>
      </c>
      <c r="F1773" s="53" t="n">
        <f aca="true">NORMINV(RAND(),0,F$7)</f>
        <v>0.220447214251448</v>
      </c>
      <c r="G1773" s="53" t="n">
        <f aca="true">NORMINV(RAND(),0,G$7)</f>
        <v>-0.274067662532464</v>
      </c>
      <c r="H1773" s="53" t="n">
        <f aca="true">NORMINV(RAND(),0,H$7)</f>
        <v>-0.463126846325833</v>
      </c>
      <c r="I1773" s="53" t="n">
        <f aca="false">SUM(B1773:H1773)</f>
        <v>-0.47587440441432</v>
      </c>
      <c r="J1773" s="53" t="n">
        <f aca="true">NORMINV(RAND(),0,J$7)</f>
        <v>0.964532525582439</v>
      </c>
      <c r="K1773" s="53" t="n">
        <f aca="true">NORMINV(RAND(),0,K$7)</f>
        <v>0.205520174968741</v>
      </c>
      <c r="L1773" s="53" t="n">
        <f aca="true">NORMINV(RAND(),0,L$7)</f>
        <v>-0.347490799322737</v>
      </c>
      <c r="M1773" s="53" t="n">
        <f aca="true">NORMINV(RAND(),0,M$7)</f>
        <v>0.150331716367347</v>
      </c>
      <c r="N1773" s="53" t="n">
        <f aca="true">NORMINV(RAND(),0,N$7)</f>
        <v>-0.254038189342888</v>
      </c>
      <c r="O1773" s="53" t="n">
        <f aca="false">SUM(J1773:N1773)</f>
        <v>0.718855428252902</v>
      </c>
    </row>
    <row r="1774" customFormat="false" ht="15" hidden="false" customHeight="false" outlineLevel="0" collapsed="false">
      <c r="A1774" s="2" t="n">
        <v>1766</v>
      </c>
      <c r="B1774" s="53" t="n">
        <f aca="true">NORMINV(RAND(),0,B$7)</f>
        <v>0.145934241252269</v>
      </c>
      <c r="C1774" s="53" t="n">
        <f aca="true">NORMINV(RAND(),0,C$7)</f>
        <v>1.09751759992786</v>
      </c>
      <c r="D1774" s="53" t="n">
        <f aca="true">NORMINV(RAND(),0,D$7)</f>
        <v>3.23691763940948</v>
      </c>
      <c r="E1774" s="53" t="n">
        <f aca="true">NORMINV(RAND(),0,E$7)</f>
        <v>0.110563975989292</v>
      </c>
      <c r="F1774" s="53" t="n">
        <f aca="true">NORMINV(RAND(),0,F$7)</f>
        <v>-0.0699245760278432</v>
      </c>
      <c r="G1774" s="53" t="n">
        <f aca="true">NORMINV(RAND(),0,G$7)</f>
        <v>-0.217290681848534</v>
      </c>
      <c r="H1774" s="53" t="n">
        <f aca="true">NORMINV(RAND(),0,H$7)</f>
        <v>-0.182777252960179</v>
      </c>
      <c r="I1774" s="53" t="n">
        <f aca="false">SUM(B1774:H1774)</f>
        <v>4.12094094574235</v>
      </c>
      <c r="J1774" s="53" t="n">
        <f aca="true">NORMINV(RAND(),0,J$7)</f>
        <v>0.852829374423613</v>
      </c>
      <c r="K1774" s="53" t="n">
        <f aca="true">NORMINV(RAND(),0,K$7)</f>
        <v>0.0486965359068262</v>
      </c>
      <c r="L1774" s="53" t="n">
        <f aca="true">NORMINV(RAND(),0,L$7)</f>
        <v>-0.472929217103249</v>
      </c>
      <c r="M1774" s="53" t="n">
        <f aca="true">NORMINV(RAND(),0,M$7)</f>
        <v>0.0365952679745294</v>
      </c>
      <c r="N1774" s="53" t="n">
        <f aca="true">NORMINV(RAND(),0,N$7)</f>
        <v>-0.495192107125178</v>
      </c>
      <c r="O1774" s="53" t="n">
        <f aca="false">SUM(J1774:N1774)</f>
        <v>-0.0300001459234587</v>
      </c>
    </row>
    <row r="1775" customFormat="false" ht="15" hidden="false" customHeight="false" outlineLevel="0" collapsed="false">
      <c r="A1775" s="2" t="n">
        <v>1767</v>
      </c>
      <c r="B1775" s="53" t="n">
        <f aca="true">NORMINV(RAND(),0,B$7)</f>
        <v>-2.54799256037428</v>
      </c>
      <c r="C1775" s="53" t="n">
        <f aca="true">NORMINV(RAND(),0,C$7)</f>
        <v>-0.896151537731654</v>
      </c>
      <c r="D1775" s="53" t="n">
        <f aca="true">NORMINV(RAND(),0,D$7)</f>
        <v>2.16845219134478</v>
      </c>
      <c r="E1775" s="53" t="n">
        <f aca="true">NORMINV(RAND(),0,E$7)</f>
        <v>0.801603234931083</v>
      </c>
      <c r="F1775" s="53" t="n">
        <f aca="true">NORMINV(RAND(),0,F$7)</f>
        <v>-0.263689959471575</v>
      </c>
      <c r="G1775" s="53" t="n">
        <f aca="true">NORMINV(RAND(),0,G$7)</f>
        <v>2.13394725175552</v>
      </c>
      <c r="H1775" s="53" t="n">
        <f aca="true">NORMINV(RAND(),0,H$7)</f>
        <v>0.378976841447809</v>
      </c>
      <c r="I1775" s="53" t="n">
        <f aca="false">SUM(B1775:H1775)</f>
        <v>1.77514546190169</v>
      </c>
      <c r="J1775" s="53" t="n">
        <f aca="true">NORMINV(RAND(),0,J$7)</f>
        <v>-1.65539845143922</v>
      </c>
      <c r="K1775" s="53" t="n">
        <f aca="true">NORMINV(RAND(),0,K$7)</f>
        <v>-0.715446254050597</v>
      </c>
      <c r="L1775" s="53" t="n">
        <f aca="true">NORMINV(RAND(),0,L$7)</f>
        <v>0.236800194340318</v>
      </c>
      <c r="M1775" s="53" t="n">
        <f aca="true">NORMINV(RAND(),0,M$7)</f>
        <v>-0.0179981621028617</v>
      </c>
      <c r="N1775" s="53" t="n">
        <f aca="true">NORMINV(RAND(),0,N$7)</f>
        <v>-0.027275561342564</v>
      </c>
      <c r="O1775" s="53" t="n">
        <f aca="false">SUM(J1775:N1775)</f>
        <v>-2.17931823459493</v>
      </c>
    </row>
    <row r="1776" customFormat="false" ht="15" hidden="false" customHeight="false" outlineLevel="0" collapsed="false">
      <c r="A1776" s="2" t="n">
        <v>1768</v>
      </c>
      <c r="B1776" s="53" t="n">
        <f aca="true">NORMINV(RAND(),0,B$7)</f>
        <v>1.22210358372279</v>
      </c>
      <c r="C1776" s="53" t="n">
        <f aca="true">NORMINV(RAND(),0,C$7)</f>
        <v>-2.7158973553336</v>
      </c>
      <c r="D1776" s="53" t="n">
        <f aca="true">NORMINV(RAND(),0,D$7)</f>
        <v>-1.70864251839467</v>
      </c>
      <c r="E1776" s="53" t="n">
        <f aca="true">NORMINV(RAND(),0,E$7)</f>
        <v>-0.0698945841933576</v>
      </c>
      <c r="F1776" s="53" t="n">
        <f aca="true">NORMINV(RAND(),0,F$7)</f>
        <v>-0.133499207694357</v>
      </c>
      <c r="G1776" s="53" t="n">
        <f aca="true">NORMINV(RAND(),0,G$7)</f>
        <v>-2.46262054301852</v>
      </c>
      <c r="H1776" s="53" t="n">
        <f aca="true">NORMINV(RAND(),0,H$7)</f>
        <v>0.153812595068991</v>
      </c>
      <c r="I1776" s="53" t="n">
        <f aca="false">SUM(B1776:H1776)</f>
        <v>-5.71463802984272</v>
      </c>
      <c r="J1776" s="53" t="n">
        <f aca="true">NORMINV(RAND(),0,J$7)</f>
        <v>3.30790453166031</v>
      </c>
      <c r="K1776" s="53" t="n">
        <f aca="true">NORMINV(RAND(),0,K$7)</f>
        <v>0.426272630759854</v>
      </c>
      <c r="L1776" s="53" t="n">
        <f aca="true">NORMINV(RAND(),0,L$7)</f>
        <v>-0.19188365134955</v>
      </c>
      <c r="M1776" s="53" t="n">
        <f aca="true">NORMINV(RAND(),0,M$7)</f>
        <v>-0.00582236412322862</v>
      </c>
      <c r="N1776" s="53" t="n">
        <f aca="true">NORMINV(RAND(),0,N$7)</f>
        <v>0.598839179812469</v>
      </c>
      <c r="O1776" s="53" t="n">
        <f aca="false">SUM(J1776:N1776)</f>
        <v>4.13531032675985</v>
      </c>
    </row>
    <row r="1777" customFormat="false" ht="15" hidden="false" customHeight="false" outlineLevel="0" collapsed="false">
      <c r="A1777" s="2" t="n">
        <v>1769</v>
      </c>
      <c r="B1777" s="53" t="n">
        <f aca="true">NORMINV(RAND(),0,B$7)</f>
        <v>-1.49034811945334</v>
      </c>
      <c r="C1777" s="53" t="n">
        <f aca="true">NORMINV(RAND(),0,C$7)</f>
        <v>-1.35808618526616</v>
      </c>
      <c r="D1777" s="53" t="n">
        <f aca="true">NORMINV(RAND(),0,D$7)</f>
        <v>1.53966283682565</v>
      </c>
      <c r="E1777" s="53" t="n">
        <f aca="true">NORMINV(RAND(),0,E$7)</f>
        <v>0.267110731275983</v>
      </c>
      <c r="F1777" s="53" t="n">
        <f aca="true">NORMINV(RAND(),0,F$7)</f>
        <v>0.279713992472381</v>
      </c>
      <c r="G1777" s="53" t="n">
        <f aca="true">NORMINV(RAND(),0,G$7)</f>
        <v>-0.85238478265256</v>
      </c>
      <c r="H1777" s="53" t="n">
        <f aca="true">NORMINV(RAND(),0,H$7)</f>
        <v>-0.59849258417426</v>
      </c>
      <c r="I1777" s="53" t="n">
        <f aca="false">SUM(B1777:H1777)</f>
        <v>-2.21282411097231</v>
      </c>
      <c r="J1777" s="53" t="n">
        <f aca="true">NORMINV(RAND(),0,J$7)</f>
        <v>-1.08384348689241</v>
      </c>
      <c r="K1777" s="53" t="n">
        <f aca="true">NORMINV(RAND(),0,K$7)</f>
        <v>-0.59727985078061</v>
      </c>
      <c r="L1777" s="53" t="n">
        <f aca="true">NORMINV(RAND(),0,L$7)</f>
        <v>-0.042758365402872</v>
      </c>
      <c r="M1777" s="53" t="n">
        <f aca="true">NORMINV(RAND(),0,M$7)</f>
        <v>-0.19296804080955</v>
      </c>
      <c r="N1777" s="53" t="n">
        <f aca="true">NORMINV(RAND(),0,N$7)</f>
        <v>0.0613820263926382</v>
      </c>
      <c r="O1777" s="53" t="n">
        <f aca="false">SUM(J1777:N1777)</f>
        <v>-1.8554677174928</v>
      </c>
    </row>
    <row r="1778" customFormat="false" ht="15" hidden="false" customHeight="false" outlineLevel="0" collapsed="false">
      <c r="A1778" s="2" t="n">
        <v>1770</v>
      </c>
      <c r="B1778" s="53" t="n">
        <f aca="true">NORMINV(RAND(),0,B$7)</f>
        <v>-2.47101336173247</v>
      </c>
      <c r="C1778" s="53" t="n">
        <f aca="true">NORMINV(RAND(),0,C$7)</f>
        <v>-0.247389520461929</v>
      </c>
      <c r="D1778" s="53" t="n">
        <f aca="true">NORMINV(RAND(),0,D$7)</f>
        <v>2.05842080730922</v>
      </c>
      <c r="E1778" s="53" t="n">
        <f aca="true">NORMINV(RAND(),0,E$7)</f>
        <v>-0.388804925112587</v>
      </c>
      <c r="F1778" s="53" t="n">
        <f aca="true">NORMINV(RAND(),0,F$7)</f>
        <v>-0.073890834985128</v>
      </c>
      <c r="G1778" s="53" t="n">
        <f aca="true">NORMINV(RAND(),0,G$7)</f>
        <v>1.54860885251406</v>
      </c>
      <c r="H1778" s="53" t="n">
        <f aca="true">NORMINV(RAND(),0,H$7)</f>
        <v>-0.207909284723602</v>
      </c>
      <c r="I1778" s="53" t="n">
        <f aca="false">SUM(B1778:H1778)</f>
        <v>0.218021732807564</v>
      </c>
      <c r="J1778" s="53" t="n">
        <f aca="true">NORMINV(RAND(),0,J$7)</f>
        <v>0.368289638892663</v>
      </c>
      <c r="K1778" s="53" t="n">
        <f aca="true">NORMINV(RAND(),0,K$7)</f>
        <v>0.239539037681518</v>
      </c>
      <c r="L1778" s="53" t="n">
        <f aca="true">NORMINV(RAND(),0,L$7)</f>
        <v>0.563894082023914</v>
      </c>
      <c r="M1778" s="53" t="n">
        <f aca="true">NORMINV(RAND(),0,M$7)</f>
        <v>-0.00918304771606666</v>
      </c>
      <c r="N1778" s="53" t="n">
        <f aca="true">NORMINV(RAND(),0,N$7)</f>
        <v>-0.3126062644328</v>
      </c>
      <c r="O1778" s="53" t="n">
        <f aca="false">SUM(J1778:N1778)</f>
        <v>0.849933446449228</v>
      </c>
    </row>
    <row r="1779" customFormat="false" ht="15" hidden="false" customHeight="false" outlineLevel="0" collapsed="false">
      <c r="A1779" s="2" t="n">
        <v>1771</v>
      </c>
      <c r="B1779" s="53" t="n">
        <f aca="true">NORMINV(RAND(),0,B$7)</f>
        <v>0.30305484803664</v>
      </c>
      <c r="C1779" s="53" t="n">
        <f aca="true">NORMINV(RAND(),0,C$7)</f>
        <v>-0.10125559998543</v>
      </c>
      <c r="D1779" s="53" t="n">
        <f aca="true">NORMINV(RAND(),0,D$7)</f>
        <v>0.971841303783377</v>
      </c>
      <c r="E1779" s="53" t="n">
        <f aca="true">NORMINV(RAND(),0,E$7)</f>
        <v>-0.081066104561619</v>
      </c>
      <c r="F1779" s="53" t="n">
        <f aca="true">NORMINV(RAND(),0,F$7)</f>
        <v>0.338055546521599</v>
      </c>
      <c r="G1779" s="53" t="n">
        <f aca="true">NORMINV(RAND(),0,G$7)</f>
        <v>-1.95839696676321</v>
      </c>
      <c r="H1779" s="53" t="n">
        <f aca="true">NORMINV(RAND(),0,H$7)</f>
        <v>-0.345508942502445</v>
      </c>
      <c r="I1779" s="53" t="n">
        <f aca="false">SUM(B1779:H1779)</f>
        <v>-0.873275915471091</v>
      </c>
      <c r="J1779" s="53" t="n">
        <f aca="true">NORMINV(RAND(),0,J$7)</f>
        <v>-0.817735524138696</v>
      </c>
      <c r="K1779" s="53" t="n">
        <f aca="true">NORMINV(RAND(),0,K$7)</f>
        <v>1.43070760516829</v>
      </c>
      <c r="L1779" s="53" t="n">
        <f aca="true">NORMINV(RAND(),0,L$7)</f>
        <v>-0.430780411809106</v>
      </c>
      <c r="M1779" s="53" t="n">
        <f aca="true">NORMINV(RAND(),0,M$7)</f>
        <v>-0.1522896943613</v>
      </c>
      <c r="N1779" s="53" t="n">
        <f aca="true">NORMINV(RAND(),0,N$7)</f>
        <v>0.461034685489412</v>
      </c>
      <c r="O1779" s="53" t="n">
        <f aca="false">SUM(J1779:N1779)</f>
        <v>0.4909366603486</v>
      </c>
    </row>
    <row r="1780" customFormat="false" ht="15" hidden="false" customHeight="false" outlineLevel="0" collapsed="false">
      <c r="A1780" s="2" t="n">
        <v>1772</v>
      </c>
      <c r="B1780" s="53" t="n">
        <f aca="true">NORMINV(RAND(),0,B$7)</f>
        <v>-1.0818274071387</v>
      </c>
      <c r="C1780" s="53" t="n">
        <f aca="true">NORMINV(RAND(),0,C$7)</f>
        <v>-1.21055760992737</v>
      </c>
      <c r="D1780" s="53" t="n">
        <f aca="true">NORMINV(RAND(),0,D$7)</f>
        <v>-1.37240850414414</v>
      </c>
      <c r="E1780" s="53" t="n">
        <f aca="true">NORMINV(RAND(),0,E$7)</f>
        <v>0.21628094531907</v>
      </c>
      <c r="F1780" s="53" t="n">
        <f aca="true">NORMINV(RAND(),0,F$7)</f>
        <v>-0.213772403178433</v>
      </c>
      <c r="G1780" s="53" t="n">
        <f aca="true">NORMINV(RAND(),0,G$7)</f>
        <v>-1.85646350603235</v>
      </c>
      <c r="H1780" s="53" t="n">
        <f aca="true">NORMINV(RAND(),0,H$7)</f>
        <v>0.660033834555446</v>
      </c>
      <c r="I1780" s="53" t="n">
        <f aca="false">SUM(B1780:H1780)</f>
        <v>-4.85871465054647</v>
      </c>
      <c r="J1780" s="53" t="n">
        <f aca="true">NORMINV(RAND(),0,J$7)</f>
        <v>4.33762145797247</v>
      </c>
      <c r="K1780" s="53" t="n">
        <f aca="true">NORMINV(RAND(),0,K$7)</f>
        <v>-0.176648155907034</v>
      </c>
      <c r="L1780" s="53" t="n">
        <f aca="true">NORMINV(RAND(),0,L$7)</f>
        <v>0.253881182932748</v>
      </c>
      <c r="M1780" s="53" t="n">
        <f aca="true">NORMINV(RAND(),0,M$7)</f>
        <v>0.0625488348403328</v>
      </c>
      <c r="N1780" s="53" t="n">
        <f aca="true">NORMINV(RAND(),0,N$7)</f>
        <v>-0.100280278282786</v>
      </c>
      <c r="O1780" s="53" t="n">
        <f aca="false">SUM(J1780:N1780)</f>
        <v>4.37712304155574</v>
      </c>
    </row>
    <row r="1781" customFormat="false" ht="15" hidden="false" customHeight="false" outlineLevel="0" collapsed="false">
      <c r="A1781" s="2" t="n">
        <v>1773</v>
      </c>
      <c r="B1781" s="53" t="n">
        <f aca="true">NORMINV(RAND(),0,B$7)</f>
        <v>2.45771170173914</v>
      </c>
      <c r="C1781" s="53" t="n">
        <f aca="true">NORMINV(RAND(),0,C$7)</f>
        <v>-1.44090241263061</v>
      </c>
      <c r="D1781" s="53" t="n">
        <f aca="true">NORMINV(RAND(),0,D$7)</f>
        <v>4.21386745883756</v>
      </c>
      <c r="E1781" s="53" t="n">
        <f aca="true">NORMINV(RAND(),0,E$7)</f>
        <v>0.12748728719088</v>
      </c>
      <c r="F1781" s="53" t="n">
        <f aca="true">NORMINV(RAND(),0,F$7)</f>
        <v>0.118952674866175</v>
      </c>
      <c r="G1781" s="53" t="n">
        <f aca="true">NORMINV(RAND(),0,G$7)</f>
        <v>0.877210483867649</v>
      </c>
      <c r="H1781" s="53" t="n">
        <f aca="true">NORMINV(RAND(),0,H$7)</f>
        <v>0.507512090616355</v>
      </c>
      <c r="I1781" s="53" t="n">
        <f aca="false">SUM(B1781:H1781)</f>
        <v>6.86183928448715</v>
      </c>
      <c r="J1781" s="53" t="n">
        <f aca="true">NORMINV(RAND(),0,J$7)</f>
        <v>0.350799966969431</v>
      </c>
      <c r="K1781" s="53" t="n">
        <f aca="true">NORMINV(RAND(),0,K$7)</f>
        <v>0.681171646786837</v>
      </c>
      <c r="L1781" s="53" t="n">
        <f aca="true">NORMINV(RAND(),0,L$7)</f>
        <v>-0.0390291590582718</v>
      </c>
      <c r="M1781" s="53" t="n">
        <f aca="true">NORMINV(RAND(),0,M$7)</f>
        <v>0.460978657159412</v>
      </c>
      <c r="N1781" s="53" t="n">
        <f aca="true">NORMINV(RAND(),0,N$7)</f>
        <v>0.430397136712368</v>
      </c>
      <c r="O1781" s="53" t="n">
        <f aca="false">SUM(J1781:N1781)</f>
        <v>1.88431824856978</v>
      </c>
    </row>
    <row r="1782" customFormat="false" ht="15" hidden="false" customHeight="false" outlineLevel="0" collapsed="false">
      <c r="A1782" s="2" t="n">
        <v>1774</v>
      </c>
      <c r="B1782" s="53" t="n">
        <f aca="true">NORMINV(RAND(),0,B$7)</f>
        <v>-2.14789586830165</v>
      </c>
      <c r="C1782" s="53" t="n">
        <f aca="true">NORMINV(RAND(),0,C$7)</f>
        <v>1.79892207863569</v>
      </c>
      <c r="D1782" s="53" t="n">
        <f aca="true">NORMINV(RAND(),0,D$7)</f>
        <v>-1.94173883827764</v>
      </c>
      <c r="E1782" s="53" t="n">
        <f aca="true">NORMINV(RAND(),0,E$7)</f>
        <v>-0.052311559918911</v>
      </c>
      <c r="F1782" s="53" t="n">
        <f aca="true">NORMINV(RAND(),0,F$7)</f>
        <v>-0.501448057509745</v>
      </c>
      <c r="G1782" s="53" t="n">
        <f aca="true">NORMINV(RAND(),0,G$7)</f>
        <v>-0.715360437214551</v>
      </c>
      <c r="H1782" s="53" t="n">
        <f aca="true">NORMINV(RAND(),0,H$7)</f>
        <v>0.0629981096115093</v>
      </c>
      <c r="I1782" s="53" t="n">
        <f aca="false">SUM(B1782:H1782)</f>
        <v>-3.4968345729753</v>
      </c>
      <c r="J1782" s="53" t="n">
        <f aca="true">NORMINV(RAND(),0,J$7)</f>
        <v>1.37659849120623</v>
      </c>
      <c r="K1782" s="53" t="n">
        <f aca="true">NORMINV(RAND(),0,K$7)</f>
        <v>0.588469949935108</v>
      </c>
      <c r="L1782" s="53" t="n">
        <f aca="true">NORMINV(RAND(),0,L$7)</f>
        <v>-0.372471430495898</v>
      </c>
      <c r="M1782" s="53" t="n">
        <f aca="true">NORMINV(RAND(),0,M$7)</f>
        <v>0.0312698921425044</v>
      </c>
      <c r="N1782" s="53" t="n">
        <f aca="true">NORMINV(RAND(),0,N$7)</f>
        <v>0.292894470314996</v>
      </c>
      <c r="O1782" s="53" t="n">
        <f aca="false">SUM(J1782:N1782)</f>
        <v>1.91676137310294</v>
      </c>
    </row>
    <row r="1783" customFormat="false" ht="15" hidden="false" customHeight="false" outlineLevel="0" collapsed="false">
      <c r="A1783" s="2" t="n">
        <v>1775</v>
      </c>
      <c r="B1783" s="53" t="n">
        <f aca="true">NORMINV(RAND(),0,B$7)</f>
        <v>-2.14523882276013</v>
      </c>
      <c r="C1783" s="53" t="n">
        <f aca="true">NORMINV(RAND(),0,C$7)</f>
        <v>0.181304124897257</v>
      </c>
      <c r="D1783" s="53" t="n">
        <f aca="true">NORMINV(RAND(),0,D$7)</f>
        <v>1.39965910254975</v>
      </c>
      <c r="E1783" s="53" t="n">
        <f aca="true">NORMINV(RAND(),0,E$7)</f>
        <v>-0.225367752003443</v>
      </c>
      <c r="F1783" s="53" t="n">
        <f aca="true">NORMINV(RAND(),0,F$7)</f>
        <v>0.199340335200669</v>
      </c>
      <c r="G1783" s="53" t="n">
        <f aca="true">NORMINV(RAND(),0,G$7)</f>
        <v>-1.05023771331121</v>
      </c>
      <c r="H1783" s="53" t="n">
        <f aca="true">NORMINV(RAND(),0,H$7)</f>
        <v>0.31456742658137</v>
      </c>
      <c r="I1783" s="53" t="n">
        <f aca="false">SUM(B1783:H1783)</f>
        <v>-1.32597329884574</v>
      </c>
      <c r="J1783" s="53" t="n">
        <f aca="true">NORMINV(RAND(),0,J$7)</f>
        <v>1.3720753035645</v>
      </c>
      <c r="K1783" s="53" t="n">
        <f aca="true">NORMINV(RAND(),0,K$7)</f>
        <v>-0.74789507311532</v>
      </c>
      <c r="L1783" s="53" t="n">
        <f aca="true">NORMINV(RAND(),0,L$7)</f>
        <v>0.227974068192308</v>
      </c>
      <c r="M1783" s="53" t="n">
        <f aca="true">NORMINV(RAND(),0,M$7)</f>
        <v>-0.269089122188873</v>
      </c>
      <c r="N1783" s="53" t="n">
        <f aca="true">NORMINV(RAND(),0,N$7)</f>
        <v>0.0454138807060992</v>
      </c>
      <c r="O1783" s="53" t="n">
        <f aca="false">SUM(J1783:N1783)</f>
        <v>0.628479057158714</v>
      </c>
    </row>
    <row r="1784" customFormat="false" ht="15" hidden="false" customHeight="false" outlineLevel="0" collapsed="false">
      <c r="A1784" s="2" t="n">
        <v>1776</v>
      </c>
      <c r="B1784" s="53" t="n">
        <f aca="true">NORMINV(RAND(),0,B$7)</f>
        <v>1.27388768882464</v>
      </c>
      <c r="C1784" s="53" t="n">
        <f aca="true">NORMINV(RAND(),0,C$7)</f>
        <v>-0.447005155521284</v>
      </c>
      <c r="D1784" s="53" t="n">
        <f aca="true">NORMINV(RAND(),0,D$7)</f>
        <v>0.673945038134109</v>
      </c>
      <c r="E1784" s="53" t="n">
        <f aca="true">NORMINV(RAND(),0,E$7)</f>
        <v>0.731763971411554</v>
      </c>
      <c r="F1784" s="53" t="n">
        <f aca="true">NORMINV(RAND(),0,F$7)</f>
        <v>-0.0364481356770427</v>
      </c>
      <c r="G1784" s="53" t="n">
        <f aca="true">NORMINV(RAND(),0,G$7)</f>
        <v>-0.185925729007327</v>
      </c>
      <c r="H1784" s="53" t="n">
        <f aca="true">NORMINV(RAND(),0,H$7)</f>
        <v>-0.144932405140245</v>
      </c>
      <c r="I1784" s="53" t="n">
        <f aca="false">SUM(B1784:H1784)</f>
        <v>1.86528527302441</v>
      </c>
      <c r="J1784" s="53" t="n">
        <f aca="true">NORMINV(RAND(),0,J$7)</f>
        <v>3.39868738398918</v>
      </c>
      <c r="K1784" s="53" t="n">
        <f aca="true">NORMINV(RAND(),0,K$7)</f>
        <v>-1.12692804013487</v>
      </c>
      <c r="L1784" s="53" t="n">
        <f aca="true">NORMINV(RAND(),0,L$7)</f>
        <v>-0.401343807829826</v>
      </c>
      <c r="M1784" s="53" t="n">
        <f aca="true">NORMINV(RAND(),0,M$7)</f>
        <v>0.249628526851439</v>
      </c>
      <c r="N1784" s="53" t="n">
        <f aca="true">NORMINV(RAND(),0,N$7)</f>
        <v>0.503189580022756</v>
      </c>
      <c r="O1784" s="53" t="n">
        <f aca="false">SUM(J1784:N1784)</f>
        <v>2.62323364289868</v>
      </c>
    </row>
    <row r="1785" customFormat="false" ht="15" hidden="false" customHeight="false" outlineLevel="0" collapsed="false">
      <c r="A1785" s="2" t="n">
        <v>1777</v>
      </c>
      <c r="B1785" s="53" t="n">
        <f aca="true">NORMINV(RAND(),0,B$7)</f>
        <v>1.71625419763202</v>
      </c>
      <c r="C1785" s="53" t="n">
        <f aca="true">NORMINV(RAND(),0,C$7)</f>
        <v>-2.55317098305007</v>
      </c>
      <c r="D1785" s="53" t="n">
        <f aca="true">NORMINV(RAND(),0,D$7)</f>
        <v>2.13993760086299</v>
      </c>
      <c r="E1785" s="53" t="n">
        <f aca="true">NORMINV(RAND(),0,E$7)</f>
        <v>0.263325917682279</v>
      </c>
      <c r="F1785" s="53" t="n">
        <f aca="true">NORMINV(RAND(),0,F$7)</f>
        <v>0.0389241153747568</v>
      </c>
      <c r="G1785" s="53" t="n">
        <f aca="true">NORMINV(RAND(),0,G$7)</f>
        <v>0.0967778294461451</v>
      </c>
      <c r="H1785" s="53" t="n">
        <f aca="true">NORMINV(RAND(),0,H$7)</f>
        <v>0.476614413855688</v>
      </c>
      <c r="I1785" s="53" t="n">
        <f aca="false">SUM(B1785:H1785)</f>
        <v>2.1786630918038</v>
      </c>
      <c r="J1785" s="53" t="n">
        <f aca="true">NORMINV(RAND(),0,J$7)</f>
        <v>0.623120852047028</v>
      </c>
      <c r="K1785" s="53" t="n">
        <f aca="true">NORMINV(RAND(),0,K$7)</f>
        <v>0.044873568399373</v>
      </c>
      <c r="L1785" s="53" t="n">
        <f aca="true">NORMINV(RAND(),0,L$7)</f>
        <v>-0.117245392009517</v>
      </c>
      <c r="M1785" s="53" t="n">
        <f aca="true">NORMINV(RAND(),0,M$7)</f>
        <v>0.0472774483030218</v>
      </c>
      <c r="N1785" s="53" t="n">
        <f aca="true">NORMINV(RAND(),0,N$7)</f>
        <v>-0.536451279762664</v>
      </c>
      <c r="O1785" s="53" t="n">
        <f aca="false">SUM(J1785:N1785)</f>
        <v>0.0615751969772428</v>
      </c>
    </row>
    <row r="1786" customFormat="false" ht="15" hidden="false" customHeight="false" outlineLevel="0" collapsed="false">
      <c r="A1786" s="2" t="n">
        <v>1778</v>
      </c>
      <c r="B1786" s="53" t="n">
        <f aca="true">NORMINV(RAND(),0,B$7)</f>
        <v>-0.929326832160154</v>
      </c>
      <c r="C1786" s="53" t="n">
        <f aca="true">NORMINV(RAND(),0,C$7)</f>
        <v>-1.0824110612687</v>
      </c>
      <c r="D1786" s="53" t="n">
        <f aca="true">NORMINV(RAND(),0,D$7)</f>
        <v>-0.84133420402693</v>
      </c>
      <c r="E1786" s="53" t="n">
        <f aca="true">NORMINV(RAND(),0,E$7)</f>
        <v>0.608851972219322</v>
      </c>
      <c r="F1786" s="53" t="n">
        <f aca="true">NORMINV(RAND(),0,F$7)</f>
        <v>-0.424895871162087</v>
      </c>
      <c r="G1786" s="53" t="n">
        <f aca="true">NORMINV(RAND(),0,G$7)</f>
        <v>0.331426089594752</v>
      </c>
      <c r="H1786" s="53" t="n">
        <f aca="true">NORMINV(RAND(),0,H$7)</f>
        <v>0.000588718513285151</v>
      </c>
      <c r="I1786" s="53" t="n">
        <f aca="false">SUM(B1786:H1786)</f>
        <v>-2.33710118829051</v>
      </c>
      <c r="J1786" s="53" t="n">
        <f aca="true">NORMINV(RAND(),0,J$7)</f>
        <v>3.03952570903522</v>
      </c>
      <c r="K1786" s="53" t="n">
        <f aca="true">NORMINV(RAND(),0,K$7)</f>
        <v>-1.05789055444292</v>
      </c>
      <c r="L1786" s="53" t="n">
        <f aca="true">NORMINV(RAND(),0,L$7)</f>
        <v>0.573139694087374</v>
      </c>
      <c r="M1786" s="53" t="n">
        <f aca="true">NORMINV(RAND(),0,M$7)</f>
        <v>0.0606158719940917</v>
      </c>
      <c r="N1786" s="53" t="n">
        <f aca="true">NORMINV(RAND(),0,N$7)</f>
        <v>-0.0656290239247409</v>
      </c>
      <c r="O1786" s="53" t="n">
        <f aca="false">SUM(J1786:N1786)</f>
        <v>2.54976169674903</v>
      </c>
    </row>
    <row r="1787" customFormat="false" ht="15" hidden="false" customHeight="false" outlineLevel="0" collapsed="false">
      <c r="A1787" s="2" t="n">
        <v>1779</v>
      </c>
      <c r="B1787" s="53" t="n">
        <f aca="true">NORMINV(RAND(),0,B$7)</f>
        <v>-1.94033403302134</v>
      </c>
      <c r="C1787" s="53" t="n">
        <f aca="true">NORMINV(RAND(),0,C$7)</f>
        <v>0.696817117606361</v>
      </c>
      <c r="D1787" s="53" t="n">
        <f aca="true">NORMINV(RAND(),0,D$7)</f>
        <v>1.63053710315907</v>
      </c>
      <c r="E1787" s="53" t="n">
        <f aca="true">NORMINV(RAND(),0,E$7)</f>
        <v>-0.359700099798431</v>
      </c>
      <c r="F1787" s="53" t="n">
        <f aca="true">NORMINV(RAND(),0,F$7)</f>
        <v>0.255889574005306</v>
      </c>
      <c r="G1787" s="53" t="n">
        <f aca="true">NORMINV(RAND(),0,G$7)</f>
        <v>-0.738909707772745</v>
      </c>
      <c r="H1787" s="53" t="n">
        <f aca="true">NORMINV(RAND(),0,H$7)</f>
        <v>-0.36850297010309</v>
      </c>
      <c r="I1787" s="53" t="n">
        <f aca="false">SUM(B1787:H1787)</f>
        <v>-0.824203015924875</v>
      </c>
      <c r="J1787" s="53" t="n">
        <f aca="true">NORMINV(RAND(),0,J$7)</f>
        <v>0.498027999019623</v>
      </c>
      <c r="K1787" s="53" t="n">
        <f aca="true">NORMINV(RAND(),0,K$7)</f>
        <v>1.21115671433298</v>
      </c>
      <c r="L1787" s="53" t="n">
        <f aca="true">NORMINV(RAND(),0,L$7)</f>
        <v>0.495845875179488</v>
      </c>
      <c r="M1787" s="53" t="n">
        <f aca="true">NORMINV(RAND(),0,M$7)</f>
        <v>0.0206669653637232</v>
      </c>
      <c r="N1787" s="53" t="n">
        <f aca="true">NORMINV(RAND(),0,N$7)</f>
        <v>0.241639615244059</v>
      </c>
      <c r="O1787" s="53" t="n">
        <f aca="false">SUM(J1787:N1787)</f>
        <v>2.46733716913987</v>
      </c>
    </row>
    <row r="1788" customFormat="false" ht="15" hidden="false" customHeight="false" outlineLevel="0" collapsed="false">
      <c r="A1788" s="2" t="n">
        <v>1780</v>
      </c>
      <c r="B1788" s="53" t="n">
        <f aca="true">NORMINV(RAND(),0,B$7)</f>
        <v>0.190525475871649</v>
      </c>
      <c r="C1788" s="53" t="n">
        <f aca="true">NORMINV(RAND(),0,C$7)</f>
        <v>1.07450089928773</v>
      </c>
      <c r="D1788" s="53" t="n">
        <f aca="true">NORMINV(RAND(),0,D$7)</f>
        <v>-0.0699269438364337</v>
      </c>
      <c r="E1788" s="53" t="n">
        <f aca="true">NORMINV(RAND(),0,E$7)</f>
        <v>0.17036056851959</v>
      </c>
      <c r="F1788" s="53" t="n">
        <f aca="true">NORMINV(RAND(),0,F$7)</f>
        <v>0.143051098899232</v>
      </c>
      <c r="G1788" s="53" t="n">
        <f aca="true">NORMINV(RAND(),0,G$7)</f>
        <v>1.00771919738416</v>
      </c>
      <c r="H1788" s="53" t="n">
        <f aca="true">NORMINV(RAND(),0,H$7)</f>
        <v>0.0847470221089656</v>
      </c>
      <c r="I1788" s="53" t="n">
        <f aca="false">SUM(B1788:H1788)</f>
        <v>2.60097731823489</v>
      </c>
      <c r="J1788" s="53" t="n">
        <f aca="true">NORMINV(RAND(),0,J$7)</f>
        <v>-3.30777484770951</v>
      </c>
      <c r="K1788" s="53" t="n">
        <f aca="true">NORMINV(RAND(),0,K$7)</f>
        <v>-0.0670677379873277</v>
      </c>
      <c r="L1788" s="53" t="n">
        <f aca="true">NORMINV(RAND(),0,L$7)</f>
        <v>-0.100443374219163</v>
      </c>
      <c r="M1788" s="53" t="n">
        <f aca="true">NORMINV(RAND(),0,M$7)</f>
        <v>0.454231567465256</v>
      </c>
      <c r="N1788" s="53" t="n">
        <f aca="true">NORMINV(RAND(),0,N$7)</f>
        <v>-0.137725286508399</v>
      </c>
      <c r="O1788" s="53" t="n">
        <f aca="false">SUM(J1788:N1788)</f>
        <v>-3.15877967895914</v>
      </c>
    </row>
    <row r="1789" customFormat="false" ht="15" hidden="false" customHeight="false" outlineLevel="0" collapsed="false">
      <c r="A1789" s="2" t="n">
        <v>1781</v>
      </c>
      <c r="B1789" s="53" t="n">
        <f aca="true">NORMINV(RAND(),0,B$7)</f>
        <v>1.93657603945879</v>
      </c>
      <c r="C1789" s="53" t="n">
        <f aca="true">NORMINV(RAND(),0,C$7)</f>
        <v>-2.12855329235712</v>
      </c>
      <c r="D1789" s="53" t="n">
        <f aca="true">NORMINV(RAND(),0,D$7)</f>
        <v>-0.943483056094611</v>
      </c>
      <c r="E1789" s="53" t="n">
        <f aca="true">NORMINV(RAND(),0,E$7)</f>
        <v>0.0550012792051631</v>
      </c>
      <c r="F1789" s="53" t="n">
        <f aca="true">NORMINV(RAND(),0,F$7)</f>
        <v>0.193165902139923</v>
      </c>
      <c r="G1789" s="53" t="n">
        <f aca="true">NORMINV(RAND(),0,G$7)</f>
        <v>1.61218437996907</v>
      </c>
      <c r="H1789" s="53" t="n">
        <f aca="true">NORMINV(RAND(),0,H$7)</f>
        <v>0.313756463572528</v>
      </c>
      <c r="I1789" s="53" t="n">
        <f aca="false">SUM(B1789:H1789)</f>
        <v>1.03864771589375</v>
      </c>
      <c r="J1789" s="53" t="n">
        <f aca="true">NORMINV(RAND(),0,J$7)</f>
        <v>-0.426627326055542</v>
      </c>
      <c r="K1789" s="53" t="n">
        <f aca="true">NORMINV(RAND(),0,K$7)</f>
        <v>1.40417631952956</v>
      </c>
      <c r="L1789" s="53" t="n">
        <f aca="true">NORMINV(RAND(),0,L$7)</f>
        <v>-0.021069890177748</v>
      </c>
      <c r="M1789" s="53" t="n">
        <f aca="true">NORMINV(RAND(),0,M$7)</f>
        <v>0.0758122455606137</v>
      </c>
      <c r="N1789" s="53" t="n">
        <f aca="true">NORMINV(RAND(),0,N$7)</f>
        <v>0.0337989997612736</v>
      </c>
      <c r="O1789" s="53" t="n">
        <f aca="false">SUM(J1789:N1789)</f>
        <v>1.06609034861816</v>
      </c>
    </row>
    <row r="1790" customFormat="false" ht="15" hidden="false" customHeight="false" outlineLevel="0" collapsed="false">
      <c r="A1790" s="2" t="n">
        <v>1782</v>
      </c>
      <c r="B1790" s="53" t="n">
        <f aca="true">NORMINV(RAND(),0,B$7)</f>
        <v>1.39884996002363</v>
      </c>
      <c r="C1790" s="53" t="n">
        <f aca="true">NORMINV(RAND(),0,C$7)</f>
        <v>0.0229919360069345</v>
      </c>
      <c r="D1790" s="53" t="n">
        <f aca="true">NORMINV(RAND(),0,D$7)</f>
        <v>2.61047232932221</v>
      </c>
      <c r="E1790" s="53" t="n">
        <f aca="true">NORMINV(RAND(),0,E$7)</f>
        <v>0.0399359668486121</v>
      </c>
      <c r="F1790" s="53" t="n">
        <f aca="true">NORMINV(RAND(),0,F$7)</f>
        <v>0.00354853299465842</v>
      </c>
      <c r="G1790" s="53" t="n">
        <f aca="true">NORMINV(RAND(),0,G$7)</f>
        <v>1.04643506581801</v>
      </c>
      <c r="H1790" s="53" t="n">
        <f aca="true">NORMINV(RAND(),0,H$7)</f>
        <v>-0.540093266577978</v>
      </c>
      <c r="I1790" s="53" t="n">
        <f aca="false">SUM(B1790:H1790)</f>
        <v>4.58214052443608</v>
      </c>
      <c r="J1790" s="53" t="n">
        <f aca="true">NORMINV(RAND(),0,J$7)</f>
        <v>1.98909320187999</v>
      </c>
      <c r="K1790" s="53" t="n">
        <f aca="true">NORMINV(RAND(),0,K$7)</f>
        <v>2.67958194397052</v>
      </c>
      <c r="L1790" s="53" t="n">
        <f aca="true">NORMINV(RAND(),0,L$7)</f>
        <v>-0.236270872610403</v>
      </c>
      <c r="M1790" s="53" t="n">
        <f aca="true">NORMINV(RAND(),0,M$7)</f>
        <v>0.169494830008384</v>
      </c>
      <c r="N1790" s="53" t="n">
        <f aca="true">NORMINV(RAND(),0,N$7)</f>
        <v>-0.503017225519512</v>
      </c>
      <c r="O1790" s="53" t="n">
        <f aca="false">SUM(J1790:N1790)</f>
        <v>4.09888187772898</v>
      </c>
    </row>
    <row r="1791" customFormat="false" ht="15" hidden="false" customHeight="false" outlineLevel="0" collapsed="false">
      <c r="A1791" s="2" t="n">
        <v>1783</v>
      </c>
      <c r="B1791" s="53" t="n">
        <f aca="true">NORMINV(RAND(),0,B$7)</f>
        <v>-0.168195978326569</v>
      </c>
      <c r="C1791" s="53" t="n">
        <f aca="true">NORMINV(RAND(),0,C$7)</f>
        <v>-0.722770348357674</v>
      </c>
      <c r="D1791" s="53" t="n">
        <f aca="true">NORMINV(RAND(),0,D$7)</f>
        <v>-1.28617271893498</v>
      </c>
      <c r="E1791" s="53" t="n">
        <f aca="true">NORMINV(RAND(),0,E$7)</f>
        <v>0.0528968249302355</v>
      </c>
      <c r="F1791" s="53" t="n">
        <f aca="true">NORMINV(RAND(),0,F$7)</f>
        <v>-0.0234175902464583</v>
      </c>
      <c r="G1791" s="53" t="n">
        <f aca="true">NORMINV(RAND(),0,G$7)</f>
        <v>0.526775490285627</v>
      </c>
      <c r="H1791" s="53" t="n">
        <f aca="true">NORMINV(RAND(),0,H$7)</f>
        <v>0.236338808417119</v>
      </c>
      <c r="I1791" s="53" t="n">
        <f aca="false">SUM(B1791:H1791)</f>
        <v>-1.3845455122327</v>
      </c>
      <c r="J1791" s="53" t="n">
        <f aca="true">NORMINV(RAND(),0,J$7)</f>
        <v>-0.897719801742213</v>
      </c>
      <c r="K1791" s="53" t="n">
        <f aca="true">NORMINV(RAND(),0,K$7)</f>
        <v>0.0694431708089649</v>
      </c>
      <c r="L1791" s="53" t="n">
        <f aca="true">NORMINV(RAND(),0,L$7)</f>
        <v>-0.581753011640372</v>
      </c>
      <c r="M1791" s="53" t="n">
        <f aca="true">NORMINV(RAND(),0,M$7)</f>
        <v>0.126267643303495</v>
      </c>
      <c r="N1791" s="53" t="n">
        <f aca="true">NORMINV(RAND(),0,N$7)</f>
        <v>0.776569654135373</v>
      </c>
      <c r="O1791" s="53" t="n">
        <f aca="false">SUM(J1791:N1791)</f>
        <v>-0.507192345134752</v>
      </c>
    </row>
    <row r="1792" customFormat="false" ht="15" hidden="false" customHeight="false" outlineLevel="0" collapsed="false">
      <c r="A1792" s="2" t="n">
        <v>1784</v>
      </c>
      <c r="B1792" s="53" t="n">
        <f aca="true">NORMINV(RAND(),0,B$7)</f>
        <v>-1.10598680207495</v>
      </c>
      <c r="C1792" s="53" t="n">
        <f aca="true">NORMINV(RAND(),0,C$7)</f>
        <v>-2.02449785142606</v>
      </c>
      <c r="D1792" s="53" t="n">
        <f aca="true">NORMINV(RAND(),0,D$7)</f>
        <v>1.6576267288428</v>
      </c>
      <c r="E1792" s="53" t="n">
        <f aca="true">NORMINV(RAND(),0,E$7)</f>
        <v>-0.743933452810003</v>
      </c>
      <c r="F1792" s="53" t="n">
        <f aca="true">NORMINV(RAND(),0,F$7)</f>
        <v>0.0993747481536399</v>
      </c>
      <c r="G1792" s="53" t="n">
        <f aca="true">NORMINV(RAND(),0,G$7)</f>
        <v>-0.990317830472156</v>
      </c>
      <c r="H1792" s="53" t="n">
        <f aca="true">NORMINV(RAND(),0,H$7)</f>
        <v>-0.178539004550152</v>
      </c>
      <c r="I1792" s="53" t="n">
        <f aca="false">SUM(B1792:H1792)</f>
        <v>-3.28627346433688</v>
      </c>
      <c r="J1792" s="53" t="n">
        <f aca="true">NORMINV(RAND(),0,J$7)</f>
        <v>-1.92830482967454</v>
      </c>
      <c r="K1792" s="53" t="n">
        <f aca="true">NORMINV(RAND(),0,K$7)</f>
        <v>0.450827699763885</v>
      </c>
      <c r="L1792" s="53" t="n">
        <f aca="true">NORMINV(RAND(),0,L$7)</f>
        <v>0.530390779650312</v>
      </c>
      <c r="M1792" s="53" t="n">
        <f aca="true">NORMINV(RAND(),0,M$7)</f>
        <v>0.0741842939472095</v>
      </c>
      <c r="N1792" s="53" t="n">
        <f aca="true">NORMINV(RAND(),0,N$7)</f>
        <v>-0.105684643367335</v>
      </c>
      <c r="O1792" s="53" t="n">
        <f aca="false">SUM(J1792:N1792)</f>
        <v>-0.978586699680469</v>
      </c>
    </row>
    <row r="1793" customFormat="false" ht="15" hidden="false" customHeight="false" outlineLevel="0" collapsed="false">
      <c r="A1793" s="2" t="n">
        <v>1785</v>
      </c>
      <c r="B1793" s="53" t="n">
        <f aca="true">NORMINV(RAND(),0,B$7)</f>
        <v>1.29367791568741</v>
      </c>
      <c r="C1793" s="53" t="n">
        <f aca="true">NORMINV(RAND(),0,C$7)</f>
        <v>-0.158640396504455</v>
      </c>
      <c r="D1793" s="53" t="n">
        <f aca="true">NORMINV(RAND(),0,D$7)</f>
        <v>0.899141031998286</v>
      </c>
      <c r="E1793" s="53" t="n">
        <f aca="true">NORMINV(RAND(),0,E$7)</f>
        <v>-0.420470956520888</v>
      </c>
      <c r="F1793" s="53" t="n">
        <f aca="true">NORMINV(RAND(),0,F$7)</f>
        <v>-0.0981341265501806</v>
      </c>
      <c r="G1793" s="53" t="n">
        <f aca="true">NORMINV(RAND(),0,G$7)</f>
        <v>-1.00560658555916</v>
      </c>
      <c r="H1793" s="53" t="n">
        <f aca="true">NORMINV(RAND(),0,H$7)</f>
        <v>0.394462714356957</v>
      </c>
      <c r="I1793" s="53" t="n">
        <f aca="false">SUM(B1793:H1793)</f>
        <v>0.90442959690797</v>
      </c>
      <c r="J1793" s="53" t="n">
        <f aca="true">NORMINV(RAND(),0,J$7)</f>
        <v>1.87134149305512</v>
      </c>
      <c r="K1793" s="53" t="n">
        <f aca="true">NORMINV(RAND(),0,K$7)</f>
        <v>0.057241365320287</v>
      </c>
      <c r="L1793" s="53" t="n">
        <f aca="true">NORMINV(RAND(),0,L$7)</f>
        <v>0.156643621505518</v>
      </c>
      <c r="M1793" s="53" t="n">
        <f aca="true">NORMINV(RAND(),0,M$7)</f>
        <v>0.15480185027237</v>
      </c>
      <c r="N1793" s="53" t="n">
        <f aca="true">NORMINV(RAND(),0,N$7)</f>
        <v>0.0303552394244485</v>
      </c>
      <c r="O1793" s="53" t="n">
        <f aca="false">SUM(J1793:N1793)</f>
        <v>2.27038356957774</v>
      </c>
    </row>
    <row r="1794" customFormat="false" ht="15" hidden="false" customHeight="false" outlineLevel="0" collapsed="false">
      <c r="A1794" s="2" t="n">
        <v>1786</v>
      </c>
      <c r="B1794" s="53" t="n">
        <f aca="true">NORMINV(RAND(),0,B$7)</f>
        <v>1.26128830774506</v>
      </c>
      <c r="C1794" s="53" t="n">
        <f aca="true">NORMINV(RAND(),0,C$7)</f>
        <v>-2.44995322860438</v>
      </c>
      <c r="D1794" s="53" t="n">
        <f aca="true">NORMINV(RAND(),0,D$7)</f>
        <v>0.0452883091482261</v>
      </c>
      <c r="E1794" s="53" t="n">
        <f aca="true">NORMINV(RAND(),0,E$7)</f>
        <v>1.04927150971229</v>
      </c>
      <c r="F1794" s="53" t="n">
        <f aca="true">NORMINV(RAND(),0,F$7)</f>
        <v>0.208355726414803</v>
      </c>
      <c r="G1794" s="53" t="n">
        <f aca="true">NORMINV(RAND(),0,G$7)</f>
        <v>-2.32597056964727</v>
      </c>
      <c r="H1794" s="53" t="n">
        <f aca="true">NORMINV(RAND(),0,H$7)</f>
        <v>0.0934986811441026</v>
      </c>
      <c r="I1794" s="53" t="n">
        <f aca="false">SUM(B1794:H1794)</f>
        <v>-2.11822126408717</v>
      </c>
      <c r="J1794" s="53" t="n">
        <f aca="true">NORMINV(RAND(),0,J$7)</f>
        <v>-0.348222030771786</v>
      </c>
      <c r="K1794" s="53" t="n">
        <f aca="true">NORMINV(RAND(),0,K$7)</f>
        <v>0.0755054867505234</v>
      </c>
      <c r="L1794" s="53" t="n">
        <f aca="true">NORMINV(RAND(),0,L$7)</f>
        <v>-0.20156715204345</v>
      </c>
      <c r="M1794" s="53" t="n">
        <f aca="true">NORMINV(RAND(),0,M$7)</f>
        <v>0.280373581207433</v>
      </c>
      <c r="N1794" s="53" t="n">
        <f aca="true">NORMINV(RAND(),0,N$7)</f>
        <v>0.288066300471435</v>
      </c>
      <c r="O1794" s="53" t="n">
        <f aca="false">SUM(J1794:N1794)</f>
        <v>0.094156185614156</v>
      </c>
    </row>
    <row r="1795" customFormat="false" ht="15" hidden="false" customHeight="false" outlineLevel="0" collapsed="false">
      <c r="A1795" s="2" t="n">
        <v>1787</v>
      </c>
      <c r="B1795" s="53" t="n">
        <f aca="true">NORMINV(RAND(),0,B$7)</f>
        <v>2.19825165331401</v>
      </c>
      <c r="C1795" s="53" t="n">
        <f aca="true">NORMINV(RAND(),0,C$7)</f>
        <v>-0.46998465573039</v>
      </c>
      <c r="D1795" s="53" t="n">
        <f aca="true">NORMINV(RAND(),0,D$7)</f>
        <v>1.37108063664106</v>
      </c>
      <c r="E1795" s="53" t="n">
        <f aca="true">NORMINV(RAND(),0,E$7)</f>
        <v>0.598832809593166</v>
      </c>
      <c r="F1795" s="53" t="n">
        <f aca="true">NORMINV(RAND(),0,F$7)</f>
        <v>-0.0129552187711154</v>
      </c>
      <c r="G1795" s="53" t="n">
        <f aca="true">NORMINV(RAND(),0,G$7)</f>
        <v>-1.2291602731564</v>
      </c>
      <c r="H1795" s="53" t="n">
        <f aca="true">NORMINV(RAND(),0,H$7)</f>
        <v>0.834854723786105</v>
      </c>
      <c r="I1795" s="53" t="n">
        <f aca="false">SUM(B1795:H1795)</f>
        <v>3.29091967567644</v>
      </c>
      <c r="J1795" s="53" t="n">
        <f aca="true">NORMINV(RAND(),0,J$7)</f>
        <v>3.06012799823849</v>
      </c>
      <c r="K1795" s="53" t="n">
        <f aca="true">NORMINV(RAND(),0,K$7)</f>
        <v>0.822161774978613</v>
      </c>
      <c r="L1795" s="53" t="n">
        <f aca="true">NORMINV(RAND(),0,L$7)</f>
        <v>-0.132823300676686</v>
      </c>
      <c r="M1795" s="53" t="n">
        <f aca="true">NORMINV(RAND(),0,M$7)</f>
        <v>-0.205296975224346</v>
      </c>
      <c r="N1795" s="53" t="n">
        <f aca="true">NORMINV(RAND(),0,N$7)</f>
        <v>0.0812997477361539</v>
      </c>
      <c r="O1795" s="53" t="n">
        <f aca="false">SUM(J1795:N1795)</f>
        <v>3.62546924505222</v>
      </c>
    </row>
    <row r="1796" customFormat="false" ht="15" hidden="false" customHeight="false" outlineLevel="0" collapsed="false">
      <c r="A1796" s="2" t="n">
        <v>1788</v>
      </c>
      <c r="B1796" s="53" t="n">
        <f aca="true">NORMINV(RAND(),0,B$7)</f>
        <v>-1.32399782635178</v>
      </c>
      <c r="C1796" s="53" t="n">
        <f aca="true">NORMINV(RAND(),0,C$7)</f>
        <v>-1.82648321714281</v>
      </c>
      <c r="D1796" s="53" t="n">
        <f aca="true">NORMINV(RAND(),0,D$7)</f>
        <v>1.03156996524616</v>
      </c>
      <c r="E1796" s="53" t="n">
        <f aca="true">NORMINV(RAND(),0,E$7)</f>
        <v>0.470370241028186</v>
      </c>
      <c r="F1796" s="53" t="n">
        <f aca="true">NORMINV(RAND(),0,F$7)</f>
        <v>0.54473297787399</v>
      </c>
      <c r="G1796" s="53" t="n">
        <f aca="true">NORMINV(RAND(),0,G$7)</f>
        <v>1.43041912243372</v>
      </c>
      <c r="H1796" s="53" t="n">
        <f aca="true">NORMINV(RAND(),0,H$7)</f>
        <v>-0.319190494005743</v>
      </c>
      <c r="I1796" s="53" t="n">
        <f aca="false">SUM(B1796:H1796)</f>
        <v>0.00742076908171607</v>
      </c>
      <c r="J1796" s="53" t="n">
        <f aca="true">NORMINV(RAND(),0,J$7)</f>
        <v>2.80883532555408</v>
      </c>
      <c r="K1796" s="53" t="n">
        <f aca="true">NORMINV(RAND(),0,K$7)</f>
        <v>0.0207687924191322</v>
      </c>
      <c r="L1796" s="53" t="n">
        <f aca="true">NORMINV(RAND(),0,L$7)</f>
        <v>0.178951487570172</v>
      </c>
      <c r="M1796" s="53" t="n">
        <f aca="true">NORMINV(RAND(),0,M$7)</f>
        <v>-0.00209121840461034</v>
      </c>
      <c r="N1796" s="53" t="n">
        <f aca="true">NORMINV(RAND(),0,N$7)</f>
        <v>-0.219675702523581</v>
      </c>
      <c r="O1796" s="53" t="n">
        <f aca="false">SUM(J1796:N1796)</f>
        <v>2.78678868461519</v>
      </c>
    </row>
    <row r="1797" customFormat="false" ht="15" hidden="false" customHeight="false" outlineLevel="0" collapsed="false">
      <c r="A1797" s="2" t="n">
        <v>1789</v>
      </c>
      <c r="B1797" s="53" t="n">
        <f aca="true">NORMINV(RAND(),0,B$7)</f>
        <v>1.30023511684161</v>
      </c>
      <c r="C1797" s="53" t="n">
        <f aca="true">NORMINV(RAND(),0,C$7)</f>
        <v>-0.61056764617241</v>
      </c>
      <c r="D1797" s="53" t="n">
        <f aca="true">NORMINV(RAND(),0,D$7)</f>
        <v>1.54790135777152</v>
      </c>
      <c r="E1797" s="53" t="n">
        <f aca="true">NORMINV(RAND(),0,E$7)</f>
        <v>0.0813543679260202</v>
      </c>
      <c r="F1797" s="53" t="n">
        <f aca="true">NORMINV(RAND(),0,F$7)</f>
        <v>0.267222068199719</v>
      </c>
      <c r="G1797" s="53" t="n">
        <f aca="true">NORMINV(RAND(),0,G$7)</f>
        <v>0.504874493945226</v>
      </c>
      <c r="H1797" s="53" t="n">
        <f aca="true">NORMINV(RAND(),0,H$7)</f>
        <v>0.178033148225524</v>
      </c>
      <c r="I1797" s="53" t="n">
        <f aca="false">SUM(B1797:H1797)</f>
        <v>3.26905290673721</v>
      </c>
      <c r="J1797" s="53" t="n">
        <f aca="true">NORMINV(RAND(),0,J$7)</f>
        <v>-1.0167195184059</v>
      </c>
      <c r="K1797" s="53" t="n">
        <f aca="true">NORMINV(RAND(),0,K$7)</f>
        <v>-0.558615754056856</v>
      </c>
      <c r="L1797" s="53" t="n">
        <f aca="true">NORMINV(RAND(),0,L$7)</f>
        <v>-0.334595007419197</v>
      </c>
      <c r="M1797" s="53" t="n">
        <f aca="true">NORMINV(RAND(),0,M$7)</f>
        <v>-0.00199873938513874</v>
      </c>
      <c r="N1797" s="53" t="n">
        <f aca="true">NORMINV(RAND(),0,N$7)</f>
        <v>-0.293187153556007</v>
      </c>
      <c r="O1797" s="53" t="n">
        <f aca="false">SUM(J1797:N1797)</f>
        <v>-2.2051161728231</v>
      </c>
    </row>
    <row r="1798" customFormat="false" ht="15" hidden="false" customHeight="false" outlineLevel="0" collapsed="false">
      <c r="A1798" s="2" t="n">
        <v>1790</v>
      </c>
      <c r="B1798" s="53" t="n">
        <f aca="true">NORMINV(RAND(),0,B$7)</f>
        <v>0.0624201151052329</v>
      </c>
      <c r="C1798" s="53" t="n">
        <f aca="true">NORMINV(RAND(),0,C$7)</f>
        <v>2.33585046432041</v>
      </c>
      <c r="D1798" s="53" t="n">
        <f aca="true">NORMINV(RAND(),0,D$7)</f>
        <v>3.04356600299316</v>
      </c>
      <c r="E1798" s="53" t="n">
        <f aca="true">NORMINV(RAND(),0,E$7)</f>
        <v>0.37007912863981</v>
      </c>
      <c r="F1798" s="53" t="n">
        <f aca="true">NORMINV(RAND(),0,F$7)</f>
        <v>0.239528626084936</v>
      </c>
      <c r="G1798" s="53" t="n">
        <f aca="true">NORMINV(RAND(),0,G$7)</f>
        <v>-3.09109785405598</v>
      </c>
      <c r="H1798" s="53" t="n">
        <f aca="true">NORMINV(RAND(),0,H$7)</f>
        <v>0.250482112707591</v>
      </c>
      <c r="I1798" s="53" t="n">
        <f aca="false">SUM(B1798:H1798)</f>
        <v>3.21082859579517</v>
      </c>
      <c r="J1798" s="53" t="n">
        <f aca="true">NORMINV(RAND(),0,J$7)</f>
        <v>-0.0824215414477693</v>
      </c>
      <c r="K1798" s="53" t="n">
        <f aca="true">NORMINV(RAND(),0,K$7)</f>
        <v>-0.650553977910167</v>
      </c>
      <c r="L1798" s="53" t="n">
        <f aca="true">NORMINV(RAND(),0,L$7)</f>
        <v>-0.543245897652951</v>
      </c>
      <c r="M1798" s="53" t="n">
        <f aca="true">NORMINV(RAND(),0,M$7)</f>
        <v>-0.185028828848302</v>
      </c>
      <c r="N1798" s="53" t="n">
        <f aca="true">NORMINV(RAND(),0,N$7)</f>
        <v>-0.0572427702311235</v>
      </c>
      <c r="O1798" s="53" t="n">
        <f aca="false">SUM(J1798:N1798)</f>
        <v>-1.51849301609031</v>
      </c>
    </row>
    <row r="1799" customFormat="false" ht="15" hidden="false" customHeight="false" outlineLevel="0" collapsed="false">
      <c r="A1799" s="2" t="n">
        <v>1791</v>
      </c>
      <c r="B1799" s="53" t="n">
        <f aca="true">NORMINV(RAND(),0,B$7)</f>
        <v>-0.135607376620371</v>
      </c>
      <c r="C1799" s="53" t="n">
        <f aca="true">NORMINV(RAND(),0,C$7)</f>
        <v>-1.02095391630758</v>
      </c>
      <c r="D1799" s="53" t="n">
        <f aca="true">NORMINV(RAND(),0,D$7)</f>
        <v>-1.36683193418184</v>
      </c>
      <c r="E1799" s="53" t="n">
        <f aca="true">NORMINV(RAND(),0,E$7)</f>
        <v>-0.290315576274088</v>
      </c>
      <c r="F1799" s="53" t="n">
        <f aca="true">NORMINV(RAND(),0,F$7)</f>
        <v>0.0932420224321839</v>
      </c>
      <c r="G1799" s="53" t="n">
        <f aca="true">NORMINV(RAND(),0,G$7)</f>
        <v>-1.80862100608835</v>
      </c>
      <c r="H1799" s="53" t="n">
        <f aca="true">NORMINV(RAND(),0,H$7)</f>
        <v>-0.448080290443926</v>
      </c>
      <c r="I1799" s="53" t="n">
        <f aca="false">SUM(B1799:H1799)</f>
        <v>-4.97716807748397</v>
      </c>
      <c r="J1799" s="53" t="n">
        <f aca="true">NORMINV(RAND(),0,J$7)</f>
        <v>1.17881215010983</v>
      </c>
      <c r="K1799" s="53" t="n">
        <f aca="true">NORMINV(RAND(),0,K$7)</f>
        <v>0.299601443011771</v>
      </c>
      <c r="L1799" s="53" t="n">
        <f aca="true">NORMINV(RAND(),0,L$7)</f>
        <v>-0.517707255517578</v>
      </c>
      <c r="M1799" s="53" t="n">
        <f aca="true">NORMINV(RAND(),0,M$7)</f>
        <v>0.0453095440035386</v>
      </c>
      <c r="N1799" s="53" t="n">
        <f aca="true">NORMINV(RAND(),0,N$7)</f>
        <v>-0.311712443511532</v>
      </c>
      <c r="O1799" s="53" t="n">
        <f aca="false">SUM(J1799:N1799)</f>
        <v>0.694303438096033</v>
      </c>
    </row>
    <row r="1800" customFormat="false" ht="15" hidden="false" customHeight="false" outlineLevel="0" collapsed="false">
      <c r="A1800" s="2" t="n">
        <v>1792</v>
      </c>
      <c r="B1800" s="53" t="n">
        <f aca="true">NORMINV(RAND(),0,B$7)</f>
        <v>0.948569954998375</v>
      </c>
      <c r="C1800" s="53" t="n">
        <f aca="true">NORMINV(RAND(),0,C$7)</f>
        <v>2.07621206499466</v>
      </c>
      <c r="D1800" s="53" t="n">
        <f aca="true">NORMINV(RAND(),0,D$7)</f>
        <v>-0.656627768351099</v>
      </c>
      <c r="E1800" s="53" t="n">
        <f aca="true">NORMINV(RAND(),0,E$7)</f>
        <v>-0.0431779934416786</v>
      </c>
      <c r="F1800" s="53" t="n">
        <f aca="true">NORMINV(RAND(),0,F$7)</f>
        <v>-0.366203531194038</v>
      </c>
      <c r="G1800" s="53" t="n">
        <f aca="true">NORMINV(RAND(),0,G$7)</f>
        <v>0.74290542338968</v>
      </c>
      <c r="H1800" s="53" t="n">
        <f aca="true">NORMINV(RAND(),0,H$7)</f>
        <v>-0.300582642883914</v>
      </c>
      <c r="I1800" s="53" t="n">
        <f aca="false">SUM(B1800:H1800)</f>
        <v>2.40109550751199</v>
      </c>
      <c r="J1800" s="53" t="n">
        <f aca="true">NORMINV(RAND(),0,J$7)</f>
        <v>0.285961738085949</v>
      </c>
      <c r="K1800" s="53" t="n">
        <f aca="true">NORMINV(RAND(),0,K$7)</f>
        <v>-0.304418649985236</v>
      </c>
      <c r="L1800" s="53" t="n">
        <f aca="true">NORMINV(RAND(),0,L$7)</f>
        <v>0.179721411921766</v>
      </c>
      <c r="M1800" s="53" t="n">
        <f aca="true">NORMINV(RAND(),0,M$7)</f>
        <v>0.223298407949679</v>
      </c>
      <c r="N1800" s="53" t="n">
        <f aca="true">NORMINV(RAND(),0,N$7)</f>
        <v>0.277515085413728</v>
      </c>
      <c r="O1800" s="53" t="n">
        <f aca="false">SUM(J1800:N1800)</f>
        <v>0.662077993385887</v>
      </c>
    </row>
    <row r="1801" customFormat="false" ht="15" hidden="false" customHeight="false" outlineLevel="0" collapsed="false">
      <c r="A1801" s="2" t="n">
        <v>1793</v>
      </c>
      <c r="B1801" s="53" t="n">
        <f aca="true">NORMINV(RAND(),0,B$7)</f>
        <v>-1.36199160607036</v>
      </c>
      <c r="C1801" s="53" t="n">
        <f aca="true">NORMINV(RAND(),0,C$7)</f>
        <v>0.718263377344131</v>
      </c>
      <c r="D1801" s="53" t="n">
        <f aca="true">NORMINV(RAND(),0,D$7)</f>
        <v>-1.47841234832126</v>
      </c>
      <c r="E1801" s="53" t="n">
        <f aca="true">NORMINV(RAND(),0,E$7)</f>
        <v>0.159969169871663</v>
      </c>
      <c r="F1801" s="53" t="n">
        <f aca="true">NORMINV(RAND(),0,F$7)</f>
        <v>0.0979270311633022</v>
      </c>
      <c r="G1801" s="53" t="n">
        <f aca="true">NORMINV(RAND(),0,G$7)</f>
        <v>-0.110978684816011</v>
      </c>
      <c r="H1801" s="53" t="n">
        <f aca="true">NORMINV(RAND(),0,H$7)</f>
        <v>0.21221960559704</v>
      </c>
      <c r="I1801" s="53" t="n">
        <f aca="false">SUM(B1801:H1801)</f>
        <v>-1.76300345523149</v>
      </c>
      <c r="J1801" s="53" t="n">
        <f aca="true">NORMINV(RAND(),0,J$7)</f>
        <v>-1.35218733796762</v>
      </c>
      <c r="K1801" s="53" t="n">
        <f aca="true">NORMINV(RAND(),0,K$7)</f>
        <v>0.134258413376171</v>
      </c>
      <c r="L1801" s="53" t="n">
        <f aca="true">NORMINV(RAND(),0,L$7)</f>
        <v>0.175704673527929</v>
      </c>
      <c r="M1801" s="53" t="n">
        <f aca="true">NORMINV(RAND(),0,M$7)</f>
        <v>0.0189668877313116</v>
      </c>
      <c r="N1801" s="53" t="n">
        <f aca="true">NORMINV(RAND(),0,N$7)</f>
        <v>0.355338644344265</v>
      </c>
      <c r="O1801" s="53" t="n">
        <f aca="false">SUM(J1801:N1801)</f>
        <v>-0.667918718987946</v>
      </c>
    </row>
    <row r="1802" customFormat="false" ht="15" hidden="false" customHeight="false" outlineLevel="0" collapsed="false">
      <c r="A1802" s="2" t="n">
        <v>1794</v>
      </c>
      <c r="B1802" s="53" t="n">
        <f aca="true">NORMINV(RAND(),0,B$7)</f>
        <v>-1.48093126624064</v>
      </c>
      <c r="C1802" s="53" t="n">
        <f aca="true">NORMINV(RAND(),0,C$7)</f>
        <v>1.2657951410394</v>
      </c>
      <c r="D1802" s="53" t="n">
        <f aca="true">NORMINV(RAND(),0,D$7)</f>
        <v>-2.34809058207554</v>
      </c>
      <c r="E1802" s="53" t="n">
        <f aca="true">NORMINV(RAND(),0,E$7)</f>
        <v>0.449723735355927</v>
      </c>
      <c r="F1802" s="53" t="n">
        <f aca="true">NORMINV(RAND(),0,F$7)</f>
        <v>0.62082862579519</v>
      </c>
      <c r="G1802" s="53" t="n">
        <f aca="true">NORMINV(RAND(),0,G$7)</f>
        <v>-0.325175508442645</v>
      </c>
      <c r="H1802" s="53" t="n">
        <f aca="true">NORMINV(RAND(),0,H$7)</f>
        <v>-0.633735621795717</v>
      </c>
      <c r="I1802" s="53" t="n">
        <f aca="false">SUM(B1802:H1802)</f>
        <v>-2.45158547636403</v>
      </c>
      <c r="J1802" s="53" t="n">
        <f aca="true">NORMINV(RAND(),0,J$7)</f>
        <v>0.0235214742385743</v>
      </c>
      <c r="K1802" s="53" t="n">
        <f aca="true">NORMINV(RAND(),0,K$7)</f>
        <v>0.402610259019611</v>
      </c>
      <c r="L1802" s="53" t="n">
        <f aca="true">NORMINV(RAND(),0,L$7)</f>
        <v>0.593871618238209</v>
      </c>
      <c r="M1802" s="53" t="n">
        <f aca="true">NORMINV(RAND(),0,M$7)</f>
        <v>-0.391711679804694</v>
      </c>
      <c r="N1802" s="53" t="n">
        <f aca="true">NORMINV(RAND(),0,N$7)</f>
        <v>0.794980517892957</v>
      </c>
      <c r="O1802" s="53" t="n">
        <f aca="false">SUM(J1802:N1802)</f>
        <v>1.42327218958466</v>
      </c>
    </row>
    <row r="1803" customFormat="false" ht="15" hidden="false" customHeight="false" outlineLevel="0" collapsed="false">
      <c r="A1803" s="2" t="n">
        <v>1795</v>
      </c>
      <c r="B1803" s="53" t="n">
        <f aca="true">NORMINV(RAND(),0,B$7)</f>
        <v>2.36929948757358</v>
      </c>
      <c r="C1803" s="53" t="n">
        <f aca="true">NORMINV(RAND(),0,C$7)</f>
        <v>-1.0606788021579</v>
      </c>
      <c r="D1803" s="53" t="n">
        <f aca="true">NORMINV(RAND(),0,D$7)</f>
        <v>1.31261231910299</v>
      </c>
      <c r="E1803" s="53" t="n">
        <f aca="true">NORMINV(RAND(),0,E$7)</f>
        <v>0.304369529295401</v>
      </c>
      <c r="F1803" s="53" t="n">
        <f aca="true">NORMINV(RAND(),0,F$7)</f>
        <v>0.179724190409543</v>
      </c>
      <c r="G1803" s="53" t="n">
        <f aca="true">NORMINV(RAND(),0,G$7)</f>
        <v>0.478951795984313</v>
      </c>
      <c r="H1803" s="53" t="n">
        <f aca="true">NORMINV(RAND(),0,H$7)</f>
        <v>0.66341303608382</v>
      </c>
      <c r="I1803" s="53" t="n">
        <f aca="false">SUM(B1803:H1803)</f>
        <v>4.24769155629174</v>
      </c>
      <c r="J1803" s="53" t="n">
        <f aca="true">NORMINV(RAND(),0,J$7)</f>
        <v>-1.10090485482637</v>
      </c>
      <c r="K1803" s="53" t="n">
        <f aca="true">NORMINV(RAND(),0,K$7)</f>
        <v>-1.25113799089437</v>
      </c>
      <c r="L1803" s="53" t="n">
        <f aca="true">NORMINV(RAND(),0,L$7)</f>
        <v>-0.266502742716845</v>
      </c>
      <c r="M1803" s="53" t="n">
        <f aca="true">NORMINV(RAND(),0,M$7)</f>
        <v>-0.198653089915115</v>
      </c>
      <c r="N1803" s="53" t="n">
        <f aca="true">NORMINV(RAND(),0,N$7)</f>
        <v>-0.301446834713228</v>
      </c>
      <c r="O1803" s="53" t="n">
        <f aca="false">SUM(J1803:N1803)</f>
        <v>-3.11864551306593</v>
      </c>
    </row>
    <row r="1804" customFormat="false" ht="15" hidden="false" customHeight="false" outlineLevel="0" collapsed="false">
      <c r="A1804" s="2" t="n">
        <v>1796</v>
      </c>
      <c r="B1804" s="53" t="n">
        <f aca="true">NORMINV(RAND(),0,B$7)</f>
        <v>-0.428503266178441</v>
      </c>
      <c r="C1804" s="53" t="n">
        <f aca="true">NORMINV(RAND(),0,C$7)</f>
        <v>-2.05945875092144</v>
      </c>
      <c r="D1804" s="53" t="n">
        <f aca="true">NORMINV(RAND(),0,D$7)</f>
        <v>-0.517220461365709</v>
      </c>
      <c r="E1804" s="53" t="n">
        <f aca="true">NORMINV(RAND(),0,E$7)</f>
        <v>-0.636265779828535</v>
      </c>
      <c r="F1804" s="53" t="n">
        <f aca="true">NORMINV(RAND(),0,F$7)</f>
        <v>0.0615065383350646</v>
      </c>
      <c r="G1804" s="53" t="n">
        <f aca="true">NORMINV(RAND(),0,G$7)</f>
        <v>-1.3421441053423</v>
      </c>
      <c r="H1804" s="53" t="n">
        <f aca="true">NORMINV(RAND(),0,H$7)</f>
        <v>-0.202402797132316</v>
      </c>
      <c r="I1804" s="53" t="n">
        <f aca="false">SUM(B1804:H1804)</f>
        <v>-5.12448862243368</v>
      </c>
      <c r="J1804" s="53" t="n">
        <f aca="true">NORMINV(RAND(),0,J$7)</f>
        <v>-0.680168012479978</v>
      </c>
      <c r="K1804" s="53" t="n">
        <f aca="true">NORMINV(RAND(),0,K$7)</f>
        <v>-0.109358497887112</v>
      </c>
      <c r="L1804" s="53" t="n">
        <f aca="true">NORMINV(RAND(),0,L$7)</f>
        <v>-0.474315518463369</v>
      </c>
      <c r="M1804" s="53" t="n">
        <f aca="true">NORMINV(RAND(),0,M$7)</f>
        <v>0.597416082980904</v>
      </c>
      <c r="N1804" s="53" t="n">
        <f aca="true">NORMINV(RAND(),0,N$7)</f>
        <v>0.66414241629491</v>
      </c>
      <c r="O1804" s="53" t="n">
        <f aca="false">SUM(J1804:N1804)</f>
        <v>-0.00228352955464428</v>
      </c>
    </row>
    <row r="1805" customFormat="false" ht="15" hidden="false" customHeight="false" outlineLevel="0" collapsed="false">
      <c r="A1805" s="2" t="n">
        <v>1797</v>
      </c>
      <c r="B1805" s="53" t="n">
        <f aca="true">NORMINV(RAND(),0,B$7)</f>
        <v>-0.504100715904153</v>
      </c>
      <c r="C1805" s="53" t="n">
        <f aca="true">NORMINV(RAND(),0,C$7)</f>
        <v>-2.90113556917043</v>
      </c>
      <c r="D1805" s="53" t="n">
        <f aca="true">NORMINV(RAND(),0,D$7)</f>
        <v>2.52911015047937</v>
      </c>
      <c r="E1805" s="53" t="n">
        <f aca="true">NORMINV(RAND(),0,E$7)</f>
        <v>0.373121444875152</v>
      </c>
      <c r="F1805" s="53" t="n">
        <f aca="true">NORMINV(RAND(),0,F$7)</f>
        <v>-0.100488198130016</v>
      </c>
      <c r="G1805" s="53" t="n">
        <f aca="true">NORMINV(RAND(),0,G$7)</f>
        <v>-0.222863582655817</v>
      </c>
      <c r="H1805" s="53" t="n">
        <f aca="true">NORMINV(RAND(),0,H$7)</f>
        <v>0.3242068037122</v>
      </c>
      <c r="I1805" s="53" t="n">
        <f aca="false">SUM(B1805:H1805)</f>
        <v>-0.502149666793701</v>
      </c>
      <c r="J1805" s="53" t="n">
        <f aca="true">NORMINV(RAND(),0,J$7)</f>
        <v>-0.464132102068573</v>
      </c>
      <c r="K1805" s="53" t="n">
        <f aca="true">NORMINV(RAND(),0,K$7)</f>
        <v>0.6237565664421</v>
      </c>
      <c r="L1805" s="53" t="n">
        <f aca="true">NORMINV(RAND(),0,L$7)</f>
        <v>0.331524733110749</v>
      </c>
      <c r="M1805" s="53" t="n">
        <f aca="true">NORMINV(RAND(),0,M$7)</f>
        <v>-0.212870441187872</v>
      </c>
      <c r="N1805" s="53" t="n">
        <f aca="true">NORMINV(RAND(),0,N$7)</f>
        <v>0.0282912576909505</v>
      </c>
      <c r="O1805" s="53" t="n">
        <f aca="false">SUM(J1805:N1805)</f>
        <v>0.306570013987354</v>
      </c>
    </row>
    <row r="1806" customFormat="false" ht="15" hidden="false" customHeight="false" outlineLevel="0" collapsed="false">
      <c r="A1806" s="2" t="n">
        <v>1798</v>
      </c>
      <c r="B1806" s="53" t="n">
        <f aca="true">NORMINV(RAND(),0,B$7)</f>
        <v>-0.356209070606425</v>
      </c>
      <c r="C1806" s="53" t="n">
        <f aca="true">NORMINV(RAND(),0,C$7)</f>
        <v>-0.740307398318911</v>
      </c>
      <c r="D1806" s="53" t="n">
        <f aca="true">NORMINV(RAND(),0,D$7)</f>
        <v>0.573506042473745</v>
      </c>
      <c r="E1806" s="53" t="n">
        <f aca="true">NORMINV(RAND(),0,E$7)</f>
        <v>-0.0369933247350997</v>
      </c>
      <c r="F1806" s="53" t="n">
        <f aca="true">NORMINV(RAND(),0,F$7)</f>
        <v>-0.0223317662079262</v>
      </c>
      <c r="G1806" s="53" t="n">
        <f aca="true">NORMINV(RAND(),0,G$7)</f>
        <v>2.69052548856549</v>
      </c>
      <c r="H1806" s="53" t="n">
        <f aca="true">NORMINV(RAND(),0,H$7)</f>
        <v>0.522091873309143</v>
      </c>
      <c r="I1806" s="53" t="n">
        <f aca="false">SUM(B1806:H1806)</f>
        <v>2.63028184448001</v>
      </c>
      <c r="J1806" s="53" t="n">
        <f aca="true">NORMINV(RAND(),0,J$7)</f>
        <v>-0.91852885667151</v>
      </c>
      <c r="K1806" s="53" t="n">
        <f aca="true">NORMINV(RAND(),0,K$7)</f>
        <v>-0.186509724062189</v>
      </c>
      <c r="L1806" s="53" t="n">
        <f aca="true">NORMINV(RAND(),0,L$7)</f>
        <v>0.452075507375531</v>
      </c>
      <c r="M1806" s="53" t="n">
        <f aca="true">NORMINV(RAND(),0,M$7)</f>
        <v>-0.260078972711812</v>
      </c>
      <c r="N1806" s="53" t="n">
        <f aca="true">NORMINV(RAND(),0,N$7)</f>
        <v>0.286439939667151</v>
      </c>
      <c r="O1806" s="53" t="n">
        <f aca="false">SUM(J1806:N1806)</f>
        <v>-0.626602106402829</v>
      </c>
    </row>
    <row r="1807" customFormat="false" ht="15" hidden="false" customHeight="false" outlineLevel="0" collapsed="false">
      <c r="A1807" s="2" t="n">
        <v>1799</v>
      </c>
      <c r="B1807" s="53" t="n">
        <f aca="true">NORMINV(RAND(),0,B$7)</f>
        <v>0.853422945586769</v>
      </c>
      <c r="C1807" s="53" t="n">
        <f aca="true">NORMINV(RAND(),0,C$7)</f>
        <v>1.17646173021025</v>
      </c>
      <c r="D1807" s="53" t="n">
        <f aca="true">NORMINV(RAND(),0,D$7)</f>
        <v>-1.50356550425645</v>
      </c>
      <c r="E1807" s="53" t="n">
        <f aca="true">NORMINV(RAND(),0,E$7)</f>
        <v>0.0307562136289511</v>
      </c>
      <c r="F1807" s="53" t="n">
        <f aca="true">NORMINV(RAND(),0,F$7)</f>
        <v>-0.192888442483334</v>
      </c>
      <c r="G1807" s="53" t="n">
        <f aca="true">NORMINV(RAND(),0,G$7)</f>
        <v>-1.5386181611098</v>
      </c>
      <c r="H1807" s="53" t="n">
        <f aca="true">NORMINV(RAND(),0,H$7)</f>
        <v>0.155892136947926</v>
      </c>
      <c r="I1807" s="53" t="n">
        <f aca="false">SUM(B1807:H1807)</f>
        <v>-1.01853908147569</v>
      </c>
      <c r="J1807" s="53" t="n">
        <f aca="true">NORMINV(RAND(),0,J$7)</f>
        <v>0.599581162214136</v>
      </c>
      <c r="K1807" s="53" t="n">
        <f aca="true">NORMINV(RAND(),0,K$7)</f>
        <v>-0.533997312122864</v>
      </c>
      <c r="L1807" s="53" t="n">
        <f aca="true">NORMINV(RAND(),0,L$7)</f>
        <v>0.230737220784517</v>
      </c>
      <c r="M1807" s="53" t="n">
        <f aca="true">NORMINV(RAND(),0,M$7)</f>
        <v>-0.224032104062658</v>
      </c>
      <c r="N1807" s="53" t="n">
        <f aca="true">NORMINV(RAND(),0,N$7)</f>
        <v>-0.14312061286809</v>
      </c>
      <c r="O1807" s="53" t="n">
        <f aca="false">SUM(J1807:N1807)</f>
        <v>-0.070831646054958</v>
      </c>
    </row>
    <row r="1808" customFormat="false" ht="15" hidden="false" customHeight="false" outlineLevel="0" collapsed="false">
      <c r="A1808" s="2" t="n">
        <v>1800</v>
      </c>
      <c r="B1808" s="53" t="n">
        <f aca="true">NORMINV(RAND(),0,B$7)</f>
        <v>0.423323608019944</v>
      </c>
      <c r="C1808" s="53" t="n">
        <f aca="true">NORMINV(RAND(),0,C$7)</f>
        <v>-0.823794624128452</v>
      </c>
      <c r="D1808" s="53" t="n">
        <f aca="true">NORMINV(RAND(),0,D$7)</f>
        <v>0.164614624895509</v>
      </c>
      <c r="E1808" s="53" t="n">
        <f aca="true">NORMINV(RAND(),0,E$7)</f>
        <v>-0.286530791833266</v>
      </c>
      <c r="F1808" s="53" t="n">
        <f aca="true">NORMINV(RAND(),0,F$7)</f>
        <v>-0.330579885718189</v>
      </c>
      <c r="G1808" s="53" t="n">
        <f aca="true">NORMINV(RAND(),0,G$7)</f>
        <v>-0.229304511015667</v>
      </c>
      <c r="H1808" s="53" t="n">
        <f aca="true">NORMINV(RAND(),0,H$7)</f>
        <v>-0.203912501558597</v>
      </c>
      <c r="I1808" s="53" t="n">
        <f aca="false">SUM(B1808:H1808)</f>
        <v>-1.28618408133872</v>
      </c>
      <c r="J1808" s="53" t="n">
        <f aca="true">NORMINV(RAND(),0,J$7)</f>
        <v>3.43525786932282</v>
      </c>
      <c r="K1808" s="53" t="n">
        <f aca="true">NORMINV(RAND(),0,K$7)</f>
        <v>0.565039046515336</v>
      </c>
      <c r="L1808" s="53" t="n">
        <f aca="true">NORMINV(RAND(),0,L$7)</f>
        <v>0.263709217246278</v>
      </c>
      <c r="M1808" s="53" t="n">
        <f aca="true">NORMINV(RAND(),0,M$7)</f>
        <v>0.0610980376452854</v>
      </c>
      <c r="N1808" s="53" t="n">
        <f aca="true">NORMINV(RAND(),0,N$7)</f>
        <v>-0.534167363412465</v>
      </c>
      <c r="O1808" s="53" t="n">
        <f aca="false">SUM(J1808:N1808)</f>
        <v>3.79093680731725</v>
      </c>
    </row>
    <row r="1809" customFormat="false" ht="15" hidden="false" customHeight="false" outlineLevel="0" collapsed="false">
      <c r="A1809" s="2" t="n">
        <v>1801</v>
      </c>
      <c r="B1809" s="53" t="n">
        <f aca="true">NORMINV(RAND(),0,B$7)</f>
        <v>1.12754596316646</v>
      </c>
      <c r="C1809" s="53" t="n">
        <f aca="true">NORMINV(RAND(),0,C$7)</f>
        <v>0.826452456026868</v>
      </c>
      <c r="D1809" s="53" t="n">
        <f aca="true">NORMINV(RAND(),0,D$7)</f>
        <v>0.626264967837614</v>
      </c>
      <c r="E1809" s="53" t="n">
        <f aca="true">NORMINV(RAND(),0,E$7)</f>
        <v>-0.153673985206402</v>
      </c>
      <c r="F1809" s="53" t="n">
        <f aca="true">NORMINV(RAND(),0,F$7)</f>
        <v>0.143159822863208</v>
      </c>
      <c r="G1809" s="53" t="n">
        <f aca="true">NORMINV(RAND(),0,G$7)</f>
        <v>-0.162264243377579</v>
      </c>
      <c r="H1809" s="53" t="n">
        <f aca="true">NORMINV(RAND(),0,H$7)</f>
        <v>-0.0662016246567875</v>
      </c>
      <c r="I1809" s="53" t="n">
        <f aca="false">SUM(B1809:H1809)</f>
        <v>2.34128335665338</v>
      </c>
      <c r="J1809" s="53" t="n">
        <f aca="true">NORMINV(RAND(),0,J$7)</f>
        <v>4.10871463647231</v>
      </c>
      <c r="K1809" s="53" t="n">
        <f aca="true">NORMINV(RAND(),0,K$7)</f>
        <v>-0.0391809867798181</v>
      </c>
      <c r="L1809" s="53" t="n">
        <f aca="true">NORMINV(RAND(),0,L$7)</f>
        <v>-0.48466221112219</v>
      </c>
      <c r="M1809" s="53" t="n">
        <f aca="true">NORMINV(RAND(),0,M$7)</f>
        <v>-0.493203447750109</v>
      </c>
      <c r="N1809" s="53" t="n">
        <f aca="true">NORMINV(RAND(),0,N$7)</f>
        <v>0.813439384877041</v>
      </c>
      <c r="O1809" s="53" t="n">
        <f aca="false">SUM(J1809:N1809)</f>
        <v>3.90510737569723</v>
      </c>
    </row>
    <row r="1810" customFormat="false" ht="15" hidden="false" customHeight="false" outlineLevel="0" collapsed="false">
      <c r="A1810" s="2" t="n">
        <v>1802</v>
      </c>
      <c r="B1810" s="53" t="n">
        <f aca="true">NORMINV(RAND(),0,B$7)</f>
        <v>-1.05664831938494</v>
      </c>
      <c r="C1810" s="53" t="n">
        <f aca="true">NORMINV(RAND(),0,C$7)</f>
        <v>0.419792755313774</v>
      </c>
      <c r="D1810" s="53" t="n">
        <f aca="true">NORMINV(RAND(),0,D$7)</f>
        <v>0.913337691015326</v>
      </c>
      <c r="E1810" s="53" t="n">
        <f aca="true">NORMINV(RAND(),0,E$7)</f>
        <v>0.314544698643888</v>
      </c>
      <c r="F1810" s="53" t="n">
        <f aca="true">NORMINV(RAND(),0,F$7)</f>
        <v>0.0625898928394067</v>
      </c>
      <c r="G1810" s="53" t="n">
        <f aca="true">NORMINV(RAND(),0,G$7)</f>
        <v>-0.69535943090885</v>
      </c>
      <c r="H1810" s="53" t="n">
        <f aca="true">NORMINV(RAND(),0,H$7)</f>
        <v>0.696286828153755</v>
      </c>
      <c r="I1810" s="53" t="n">
        <f aca="false">SUM(B1810:H1810)</f>
        <v>0.65454411567236</v>
      </c>
      <c r="J1810" s="53" t="n">
        <f aca="true">NORMINV(RAND(),0,J$7)</f>
        <v>0.669077505626037</v>
      </c>
      <c r="K1810" s="53" t="n">
        <f aca="true">NORMINV(RAND(),0,K$7)</f>
        <v>-0.948989252223219</v>
      </c>
      <c r="L1810" s="53" t="n">
        <f aca="true">NORMINV(RAND(),0,L$7)</f>
        <v>-0.145765349517601</v>
      </c>
      <c r="M1810" s="53" t="n">
        <f aca="true">NORMINV(RAND(),0,M$7)</f>
        <v>0.155746625936598</v>
      </c>
      <c r="N1810" s="53" t="n">
        <f aca="true">NORMINV(RAND(),0,N$7)</f>
        <v>-0.280687946426275</v>
      </c>
      <c r="O1810" s="53" t="n">
        <f aca="false">SUM(J1810:N1810)</f>
        <v>-0.55061841660446</v>
      </c>
    </row>
    <row r="1811" customFormat="false" ht="15" hidden="false" customHeight="false" outlineLevel="0" collapsed="false">
      <c r="A1811" s="2" t="n">
        <v>1803</v>
      </c>
      <c r="B1811" s="53" t="n">
        <f aca="true">NORMINV(RAND(),0,B$7)</f>
        <v>-1.30227321000532</v>
      </c>
      <c r="C1811" s="53" t="n">
        <f aca="true">NORMINV(RAND(),0,C$7)</f>
        <v>0.852092937294229</v>
      </c>
      <c r="D1811" s="53" t="n">
        <f aca="true">NORMINV(RAND(),0,D$7)</f>
        <v>-1.03688172785825</v>
      </c>
      <c r="E1811" s="53" t="n">
        <f aca="true">NORMINV(RAND(),0,E$7)</f>
        <v>0.897803471034397</v>
      </c>
      <c r="F1811" s="53" t="n">
        <f aca="true">NORMINV(RAND(),0,F$7)</f>
        <v>-0.0520425158855871</v>
      </c>
      <c r="G1811" s="53" t="n">
        <f aca="true">NORMINV(RAND(),0,G$7)</f>
        <v>0.263275961294081</v>
      </c>
      <c r="H1811" s="53" t="n">
        <f aca="true">NORMINV(RAND(),0,H$7)</f>
        <v>0.0656076111558233</v>
      </c>
      <c r="I1811" s="53" t="n">
        <f aca="false">SUM(B1811:H1811)</f>
        <v>-0.312417472970633</v>
      </c>
      <c r="J1811" s="53" t="n">
        <f aca="true">NORMINV(RAND(),0,J$7)</f>
        <v>-0.105767980949221</v>
      </c>
      <c r="K1811" s="53" t="n">
        <f aca="true">NORMINV(RAND(),0,K$7)</f>
        <v>-1.14914600320032</v>
      </c>
      <c r="L1811" s="53" t="n">
        <f aca="true">NORMINV(RAND(),0,L$7)</f>
        <v>0.171335312618287</v>
      </c>
      <c r="M1811" s="53" t="n">
        <f aca="true">NORMINV(RAND(),0,M$7)</f>
        <v>0.261442413715786</v>
      </c>
      <c r="N1811" s="53" t="n">
        <f aca="true">NORMINV(RAND(),0,N$7)</f>
        <v>0.0523536857622886</v>
      </c>
      <c r="O1811" s="53" t="n">
        <f aca="false">SUM(J1811:N1811)</f>
        <v>-0.769782572053181</v>
      </c>
    </row>
    <row r="1812" customFormat="false" ht="15" hidden="false" customHeight="false" outlineLevel="0" collapsed="false">
      <c r="A1812" s="2" t="n">
        <v>1804</v>
      </c>
      <c r="B1812" s="53" t="n">
        <f aca="true">NORMINV(RAND(),0,B$7)</f>
        <v>-0.0442017813492397</v>
      </c>
      <c r="C1812" s="53" t="n">
        <f aca="true">NORMINV(RAND(),0,C$7)</f>
        <v>-1.56693343765139</v>
      </c>
      <c r="D1812" s="53" t="n">
        <f aca="true">NORMINV(RAND(),0,D$7)</f>
        <v>-0.718934269455178</v>
      </c>
      <c r="E1812" s="53" t="n">
        <f aca="true">NORMINV(RAND(),0,E$7)</f>
        <v>-0.15764171900298</v>
      </c>
      <c r="F1812" s="53" t="n">
        <f aca="true">NORMINV(RAND(),0,F$7)</f>
        <v>0.152965765433808</v>
      </c>
      <c r="G1812" s="53" t="n">
        <f aca="true">NORMINV(RAND(),0,G$7)</f>
        <v>-0.667229793779357</v>
      </c>
      <c r="H1812" s="53" t="n">
        <f aca="true">NORMINV(RAND(),0,H$7)</f>
        <v>0.184914013160153</v>
      </c>
      <c r="I1812" s="53" t="n">
        <f aca="false">SUM(B1812:H1812)</f>
        <v>-2.81706122264418</v>
      </c>
      <c r="J1812" s="53" t="n">
        <f aca="true">NORMINV(RAND(),0,J$7)</f>
        <v>1.35725289021462</v>
      </c>
      <c r="K1812" s="53" t="n">
        <f aca="true">NORMINV(RAND(),0,K$7)</f>
        <v>0.377387259192585</v>
      </c>
      <c r="L1812" s="53" t="n">
        <f aca="true">NORMINV(RAND(),0,L$7)</f>
        <v>0.0728507342797986</v>
      </c>
      <c r="M1812" s="53" t="n">
        <f aca="true">NORMINV(RAND(),0,M$7)</f>
        <v>-0.102323468774598</v>
      </c>
      <c r="N1812" s="53" t="n">
        <f aca="true">NORMINV(RAND(),0,N$7)</f>
        <v>0.29723286069366</v>
      </c>
      <c r="O1812" s="53" t="n">
        <f aca="false">SUM(J1812:N1812)</f>
        <v>2.00240027560607</v>
      </c>
    </row>
    <row r="1813" customFormat="false" ht="15" hidden="false" customHeight="false" outlineLevel="0" collapsed="false">
      <c r="A1813" s="2" t="n">
        <v>1805</v>
      </c>
      <c r="B1813" s="53" t="n">
        <f aca="true">NORMINV(RAND(),0,B$7)</f>
        <v>-0.112827978428542</v>
      </c>
      <c r="C1813" s="53" t="n">
        <f aca="true">NORMINV(RAND(),0,C$7)</f>
        <v>-0.41347589124852</v>
      </c>
      <c r="D1813" s="53" t="n">
        <f aca="true">NORMINV(RAND(),0,D$7)</f>
        <v>1.41963553448339</v>
      </c>
      <c r="E1813" s="53" t="n">
        <f aca="true">NORMINV(RAND(),0,E$7)</f>
        <v>0.164585493254379</v>
      </c>
      <c r="F1813" s="53" t="n">
        <f aca="true">NORMINV(RAND(),0,F$7)</f>
        <v>-0.397194328135516</v>
      </c>
      <c r="G1813" s="53" t="n">
        <f aca="true">NORMINV(RAND(),0,G$7)</f>
        <v>1.65565963253592</v>
      </c>
      <c r="H1813" s="53" t="n">
        <f aca="true">NORMINV(RAND(),0,H$7)</f>
        <v>0.0811882326323279</v>
      </c>
      <c r="I1813" s="53" t="n">
        <f aca="false">SUM(B1813:H1813)</f>
        <v>2.39757069509344</v>
      </c>
      <c r="J1813" s="53" t="n">
        <f aca="true">NORMINV(RAND(),0,J$7)</f>
        <v>-4.14778879876044</v>
      </c>
      <c r="K1813" s="53" t="n">
        <f aca="true">NORMINV(RAND(),0,K$7)</f>
        <v>0.127679655166387</v>
      </c>
      <c r="L1813" s="53" t="n">
        <f aca="true">NORMINV(RAND(),0,L$7)</f>
        <v>-0.262347435128509</v>
      </c>
      <c r="M1813" s="53" t="n">
        <f aca="true">NORMINV(RAND(),0,M$7)</f>
        <v>0.0934889984569899</v>
      </c>
      <c r="N1813" s="53" t="n">
        <f aca="true">NORMINV(RAND(),0,N$7)</f>
        <v>-0.254845434683049</v>
      </c>
      <c r="O1813" s="53" t="n">
        <f aca="false">SUM(J1813:N1813)</f>
        <v>-4.44381301494862</v>
      </c>
    </row>
    <row r="1814" customFormat="false" ht="15" hidden="false" customHeight="false" outlineLevel="0" collapsed="false">
      <c r="A1814" s="2" t="n">
        <v>1806</v>
      </c>
      <c r="B1814" s="53" t="n">
        <f aca="true">NORMINV(RAND(),0,B$7)</f>
        <v>0.822151499136007</v>
      </c>
      <c r="C1814" s="53" t="n">
        <f aca="true">NORMINV(RAND(),0,C$7)</f>
        <v>1.60566499949834</v>
      </c>
      <c r="D1814" s="53" t="n">
        <f aca="true">NORMINV(RAND(),0,D$7)</f>
        <v>-2.07156666456669</v>
      </c>
      <c r="E1814" s="53" t="n">
        <f aca="true">NORMINV(RAND(),0,E$7)</f>
        <v>-0.67232051688698</v>
      </c>
      <c r="F1814" s="53" t="n">
        <f aca="true">NORMINV(RAND(),0,F$7)</f>
        <v>0.186150906046419</v>
      </c>
      <c r="G1814" s="53" t="n">
        <f aca="true">NORMINV(RAND(),0,G$7)</f>
        <v>-0.754001484623092</v>
      </c>
      <c r="H1814" s="53" t="n">
        <f aca="true">NORMINV(RAND(),0,H$7)</f>
        <v>0.677927144187942</v>
      </c>
      <c r="I1814" s="53" t="n">
        <f aca="false">SUM(B1814:H1814)</f>
        <v>-0.205994117208055</v>
      </c>
      <c r="J1814" s="53" t="n">
        <f aca="true">NORMINV(RAND(),0,J$7)</f>
        <v>-2.13134060333853</v>
      </c>
      <c r="K1814" s="53" t="n">
        <f aca="true">NORMINV(RAND(),0,K$7)</f>
        <v>-0.364263400698149</v>
      </c>
      <c r="L1814" s="53" t="n">
        <f aca="true">NORMINV(RAND(),0,L$7)</f>
        <v>-0.587165423078722</v>
      </c>
      <c r="M1814" s="53" t="n">
        <f aca="true">NORMINV(RAND(),0,M$7)</f>
        <v>-0.301495004871326</v>
      </c>
      <c r="N1814" s="53" t="n">
        <f aca="true">NORMINV(RAND(),0,N$7)</f>
        <v>0.273876795955088</v>
      </c>
      <c r="O1814" s="53" t="n">
        <f aca="false">SUM(J1814:N1814)</f>
        <v>-3.11038763603164</v>
      </c>
    </row>
    <row r="1815" customFormat="false" ht="15" hidden="false" customHeight="false" outlineLevel="0" collapsed="false">
      <c r="A1815" s="2" t="n">
        <v>1807</v>
      </c>
      <c r="B1815" s="53" t="n">
        <f aca="true">NORMINV(RAND(),0,B$7)</f>
        <v>-1.27989716619889</v>
      </c>
      <c r="C1815" s="53" t="n">
        <f aca="true">NORMINV(RAND(),0,C$7)</f>
        <v>0.482570412430493</v>
      </c>
      <c r="D1815" s="53" t="n">
        <f aca="true">NORMINV(RAND(),0,D$7)</f>
        <v>-0.844949963534245</v>
      </c>
      <c r="E1815" s="53" t="n">
        <f aca="true">NORMINV(RAND(),0,E$7)</f>
        <v>0.198580527750595</v>
      </c>
      <c r="F1815" s="53" t="n">
        <f aca="true">NORMINV(RAND(),0,F$7)</f>
        <v>-0.210484845896643</v>
      </c>
      <c r="G1815" s="53" t="n">
        <f aca="true">NORMINV(RAND(),0,G$7)</f>
        <v>-0.343357907836622</v>
      </c>
      <c r="H1815" s="53" t="n">
        <f aca="true">NORMINV(RAND(),0,H$7)</f>
        <v>-0.465584487658961</v>
      </c>
      <c r="I1815" s="53" t="n">
        <f aca="false">SUM(B1815:H1815)</f>
        <v>-2.46312343094427</v>
      </c>
      <c r="J1815" s="53" t="n">
        <f aca="true">NORMINV(RAND(),0,J$7)</f>
        <v>-0.574015987160566</v>
      </c>
      <c r="K1815" s="53" t="n">
        <f aca="true">NORMINV(RAND(),0,K$7)</f>
        <v>0.958022576746666</v>
      </c>
      <c r="L1815" s="53" t="n">
        <f aca="true">NORMINV(RAND(),0,L$7)</f>
        <v>-0.128039775291289</v>
      </c>
      <c r="M1815" s="53" t="n">
        <f aca="true">NORMINV(RAND(),0,M$7)</f>
        <v>-0.772488256350015</v>
      </c>
      <c r="N1815" s="53" t="n">
        <f aca="true">NORMINV(RAND(),0,N$7)</f>
        <v>-0.0489041550833155</v>
      </c>
      <c r="O1815" s="53" t="n">
        <f aca="false">SUM(J1815:N1815)</f>
        <v>-0.565425597138519</v>
      </c>
    </row>
    <row r="1816" customFormat="false" ht="15" hidden="false" customHeight="false" outlineLevel="0" collapsed="false">
      <c r="A1816" s="2" t="n">
        <v>1808</v>
      </c>
      <c r="B1816" s="53" t="n">
        <f aca="true">NORMINV(RAND(),0,B$7)</f>
        <v>0.283480237319422</v>
      </c>
      <c r="C1816" s="53" t="n">
        <f aca="true">NORMINV(RAND(),0,C$7)</f>
        <v>-1.35986866698122</v>
      </c>
      <c r="D1816" s="53" t="n">
        <f aca="true">NORMINV(RAND(),0,D$7)</f>
        <v>1.65112099725981</v>
      </c>
      <c r="E1816" s="53" t="n">
        <f aca="true">NORMINV(RAND(),0,E$7)</f>
        <v>-0.33338668851156</v>
      </c>
      <c r="F1816" s="53" t="n">
        <f aca="true">NORMINV(RAND(),0,F$7)</f>
        <v>-0.340308168662528</v>
      </c>
      <c r="G1816" s="53" t="n">
        <f aca="true">NORMINV(RAND(),0,G$7)</f>
        <v>1.23840883467793</v>
      </c>
      <c r="H1816" s="53" t="n">
        <f aca="true">NORMINV(RAND(),0,H$7)</f>
        <v>0.0947410075280835</v>
      </c>
      <c r="I1816" s="53" t="n">
        <f aca="false">SUM(B1816:H1816)</f>
        <v>1.23418755262994</v>
      </c>
      <c r="J1816" s="53" t="n">
        <f aca="true">NORMINV(RAND(),0,J$7)</f>
        <v>-1.78777657171411</v>
      </c>
      <c r="K1816" s="53" t="n">
        <f aca="true">NORMINV(RAND(),0,K$7)</f>
        <v>-1.12981827919684</v>
      </c>
      <c r="L1816" s="53" t="n">
        <f aca="true">NORMINV(RAND(),0,L$7)</f>
        <v>-0.0706662464201677</v>
      </c>
      <c r="M1816" s="53" t="n">
        <f aca="true">NORMINV(RAND(),0,M$7)</f>
        <v>0.181769157000164</v>
      </c>
      <c r="N1816" s="53" t="n">
        <f aca="true">NORMINV(RAND(),0,N$7)</f>
        <v>0.395979506008186</v>
      </c>
      <c r="O1816" s="53" t="n">
        <f aca="false">SUM(J1816:N1816)</f>
        <v>-2.41051243432277</v>
      </c>
    </row>
    <row r="1817" customFormat="false" ht="15" hidden="false" customHeight="false" outlineLevel="0" collapsed="false">
      <c r="A1817" s="2" t="n">
        <v>1809</v>
      </c>
      <c r="B1817" s="53" t="n">
        <f aca="true">NORMINV(RAND(),0,B$7)</f>
        <v>-0.44959737790238</v>
      </c>
      <c r="C1817" s="53" t="n">
        <f aca="true">NORMINV(RAND(),0,C$7)</f>
        <v>-0.959288025764907</v>
      </c>
      <c r="D1817" s="53" t="n">
        <f aca="true">NORMINV(RAND(),0,D$7)</f>
        <v>2.2158475466644</v>
      </c>
      <c r="E1817" s="53" t="n">
        <f aca="true">NORMINV(RAND(),0,E$7)</f>
        <v>0.163190383406562</v>
      </c>
      <c r="F1817" s="53" t="n">
        <f aca="true">NORMINV(RAND(),0,F$7)</f>
        <v>-0.272332377763495</v>
      </c>
      <c r="G1817" s="53" t="n">
        <f aca="true">NORMINV(RAND(),0,G$7)</f>
        <v>0.414006181850835</v>
      </c>
      <c r="H1817" s="53" t="n">
        <f aca="true">NORMINV(RAND(),0,H$7)</f>
        <v>-0.394965558414309</v>
      </c>
      <c r="I1817" s="53" t="n">
        <f aca="false">SUM(B1817:H1817)</f>
        <v>0.716860772076707</v>
      </c>
      <c r="J1817" s="53" t="n">
        <f aca="true">NORMINV(RAND(),0,J$7)</f>
        <v>1.40805404845868</v>
      </c>
      <c r="K1817" s="53" t="n">
        <f aca="true">NORMINV(RAND(),0,K$7)</f>
        <v>0.701320446649409</v>
      </c>
      <c r="L1817" s="53" t="n">
        <f aca="true">NORMINV(RAND(),0,L$7)</f>
        <v>-0.115821417332324</v>
      </c>
      <c r="M1817" s="53" t="n">
        <f aca="true">NORMINV(RAND(),0,M$7)</f>
        <v>-0.267858919117905</v>
      </c>
      <c r="N1817" s="53" t="n">
        <f aca="true">NORMINV(RAND(),0,N$7)</f>
        <v>-0.542269030958447</v>
      </c>
      <c r="O1817" s="53" t="n">
        <f aca="false">SUM(J1817:N1817)</f>
        <v>1.18342512769942</v>
      </c>
    </row>
    <row r="1818" customFormat="false" ht="15" hidden="false" customHeight="false" outlineLevel="0" collapsed="false">
      <c r="A1818" s="2" t="n">
        <v>1810</v>
      </c>
      <c r="B1818" s="53" t="n">
        <f aca="true">NORMINV(RAND(),0,B$7)</f>
        <v>-0.174735875445352</v>
      </c>
      <c r="C1818" s="53" t="n">
        <f aca="true">NORMINV(RAND(),0,C$7)</f>
        <v>-1.90814861315467</v>
      </c>
      <c r="D1818" s="53" t="n">
        <f aca="true">NORMINV(RAND(),0,D$7)</f>
        <v>-1.5857862071222</v>
      </c>
      <c r="E1818" s="53" t="n">
        <f aca="true">NORMINV(RAND(),0,E$7)</f>
        <v>0.319472131156972</v>
      </c>
      <c r="F1818" s="53" t="n">
        <f aca="true">NORMINV(RAND(),0,F$7)</f>
        <v>-0.132751727436283</v>
      </c>
      <c r="G1818" s="53" t="n">
        <f aca="true">NORMINV(RAND(),0,G$7)</f>
        <v>1.06865544329881</v>
      </c>
      <c r="H1818" s="53" t="n">
        <f aca="true">NORMINV(RAND(),0,H$7)</f>
        <v>0.127339884278977</v>
      </c>
      <c r="I1818" s="53" t="n">
        <f aca="false">SUM(B1818:H1818)</f>
        <v>-2.28595496442376</v>
      </c>
      <c r="J1818" s="53" t="n">
        <f aca="true">NORMINV(RAND(),0,J$7)</f>
        <v>0.233332583443744</v>
      </c>
      <c r="K1818" s="53" t="n">
        <f aca="true">NORMINV(RAND(),0,K$7)</f>
        <v>0.438362295169429</v>
      </c>
      <c r="L1818" s="53" t="n">
        <f aca="true">NORMINV(RAND(),0,L$7)</f>
        <v>-0.0081702169788482</v>
      </c>
      <c r="M1818" s="53" t="n">
        <f aca="true">NORMINV(RAND(),0,M$7)</f>
        <v>-0.383954347472059</v>
      </c>
      <c r="N1818" s="53" t="n">
        <f aca="true">NORMINV(RAND(),0,N$7)</f>
        <v>-0.148452499054238</v>
      </c>
      <c r="O1818" s="53" t="n">
        <f aca="false">SUM(J1818:N1818)</f>
        <v>0.131117815108027</v>
      </c>
    </row>
    <row r="1819" customFormat="false" ht="15" hidden="false" customHeight="false" outlineLevel="0" collapsed="false">
      <c r="A1819" s="2" t="n">
        <v>1811</v>
      </c>
      <c r="B1819" s="53" t="n">
        <f aca="true">NORMINV(RAND(),0,B$7)</f>
        <v>-0.793473949704662</v>
      </c>
      <c r="C1819" s="53" t="n">
        <f aca="true">NORMINV(RAND(),0,C$7)</f>
        <v>-1.6873731951343</v>
      </c>
      <c r="D1819" s="53" t="n">
        <f aca="true">NORMINV(RAND(),0,D$7)</f>
        <v>-4.78038480481321</v>
      </c>
      <c r="E1819" s="53" t="n">
        <f aca="true">NORMINV(RAND(),0,E$7)</f>
        <v>0.518112150632943</v>
      </c>
      <c r="F1819" s="53" t="n">
        <f aca="true">NORMINV(RAND(),0,F$7)</f>
        <v>0.0265532096307919</v>
      </c>
      <c r="G1819" s="53" t="n">
        <f aca="true">NORMINV(RAND(),0,G$7)</f>
        <v>-1.67244315947213</v>
      </c>
      <c r="H1819" s="53" t="n">
        <f aca="true">NORMINV(RAND(),0,H$7)</f>
        <v>-0.0235717392913368</v>
      </c>
      <c r="I1819" s="53" t="n">
        <f aca="false">SUM(B1819:H1819)</f>
        <v>-8.41258148815191</v>
      </c>
      <c r="J1819" s="53" t="n">
        <f aca="true">NORMINV(RAND(),0,J$7)</f>
        <v>0.680552788468484</v>
      </c>
      <c r="K1819" s="53" t="n">
        <f aca="true">NORMINV(RAND(),0,K$7)</f>
        <v>0.810129904172715</v>
      </c>
      <c r="L1819" s="53" t="n">
        <f aca="true">NORMINV(RAND(),0,L$7)</f>
        <v>0.101232874380732</v>
      </c>
      <c r="M1819" s="53" t="n">
        <f aca="true">NORMINV(RAND(),0,M$7)</f>
        <v>-0.0813494790020181</v>
      </c>
      <c r="N1819" s="53" t="n">
        <f aca="true">NORMINV(RAND(),0,N$7)</f>
        <v>0.497602989683045</v>
      </c>
      <c r="O1819" s="53" t="n">
        <f aca="false">SUM(J1819:N1819)</f>
        <v>2.00816907770296</v>
      </c>
    </row>
    <row r="1820" customFormat="false" ht="15" hidden="false" customHeight="false" outlineLevel="0" collapsed="false">
      <c r="A1820" s="2" t="n">
        <v>1812</v>
      </c>
      <c r="B1820" s="53" t="n">
        <f aca="true">NORMINV(RAND(),0,B$7)</f>
        <v>2.02603451011488</v>
      </c>
      <c r="C1820" s="53" t="n">
        <f aca="true">NORMINV(RAND(),0,C$7)</f>
        <v>3.50689410073827</v>
      </c>
      <c r="D1820" s="53" t="n">
        <f aca="true">NORMINV(RAND(),0,D$7)</f>
        <v>-1.02997922169173</v>
      </c>
      <c r="E1820" s="53" t="n">
        <f aca="true">NORMINV(RAND(),0,E$7)</f>
        <v>0.235685099492675</v>
      </c>
      <c r="F1820" s="53" t="n">
        <f aca="true">NORMINV(RAND(),0,F$7)</f>
        <v>0.274421476979429</v>
      </c>
      <c r="G1820" s="53" t="n">
        <f aca="true">NORMINV(RAND(),0,G$7)</f>
        <v>1.75404494479852</v>
      </c>
      <c r="H1820" s="53" t="n">
        <f aca="true">NORMINV(RAND(),0,H$7)</f>
        <v>0.436048681991818</v>
      </c>
      <c r="I1820" s="53" t="n">
        <f aca="false">SUM(B1820:H1820)</f>
        <v>7.20314959242385</v>
      </c>
      <c r="J1820" s="53" t="n">
        <f aca="true">NORMINV(RAND(),0,J$7)</f>
        <v>-2.03426008455924</v>
      </c>
      <c r="K1820" s="53" t="n">
        <f aca="true">NORMINV(RAND(),0,K$7)</f>
        <v>0.086748880634832</v>
      </c>
      <c r="L1820" s="53" t="n">
        <f aca="true">NORMINV(RAND(),0,L$7)</f>
        <v>-0.304069876864341</v>
      </c>
      <c r="M1820" s="53" t="n">
        <f aca="true">NORMINV(RAND(),0,M$7)</f>
        <v>0.136455445428549</v>
      </c>
      <c r="N1820" s="53" t="n">
        <f aca="true">NORMINV(RAND(),0,N$7)</f>
        <v>0.0720832383903857</v>
      </c>
      <c r="O1820" s="53" t="n">
        <f aca="false">SUM(J1820:N1820)</f>
        <v>-2.04304239696981</v>
      </c>
    </row>
    <row r="1821" customFormat="false" ht="15" hidden="false" customHeight="false" outlineLevel="0" collapsed="false">
      <c r="A1821" s="2" t="n">
        <v>1813</v>
      </c>
      <c r="B1821" s="53" t="n">
        <f aca="true">NORMINV(RAND(),0,B$7)</f>
        <v>0.835100273397091</v>
      </c>
      <c r="C1821" s="53" t="n">
        <f aca="true">NORMINV(RAND(),0,C$7)</f>
        <v>2.06903509791035</v>
      </c>
      <c r="D1821" s="53" t="n">
        <f aca="true">NORMINV(RAND(),0,D$7)</f>
        <v>1.93568775693559</v>
      </c>
      <c r="E1821" s="53" t="n">
        <f aca="true">NORMINV(RAND(),0,E$7)</f>
        <v>-0.495482277335471</v>
      </c>
      <c r="F1821" s="53" t="n">
        <f aca="true">NORMINV(RAND(),0,F$7)</f>
        <v>-0.358984271894626</v>
      </c>
      <c r="G1821" s="53" t="n">
        <f aca="true">NORMINV(RAND(),0,G$7)</f>
        <v>0.777737914979465</v>
      </c>
      <c r="H1821" s="53" t="n">
        <f aca="true">NORMINV(RAND(),0,H$7)</f>
        <v>0.675346053439467</v>
      </c>
      <c r="I1821" s="53" t="n">
        <f aca="false">SUM(B1821:H1821)</f>
        <v>5.43844054743186</v>
      </c>
      <c r="J1821" s="53" t="n">
        <f aca="true">NORMINV(RAND(),0,J$7)</f>
        <v>-0.724666636960886</v>
      </c>
      <c r="K1821" s="53" t="n">
        <f aca="true">NORMINV(RAND(),0,K$7)</f>
        <v>0.410092436134478</v>
      </c>
      <c r="L1821" s="53" t="n">
        <f aca="true">NORMINV(RAND(),0,L$7)</f>
        <v>0.51737039681817</v>
      </c>
      <c r="M1821" s="53" t="n">
        <f aca="true">NORMINV(RAND(),0,M$7)</f>
        <v>0.178863317781205</v>
      </c>
      <c r="N1821" s="53" t="n">
        <f aca="true">NORMINV(RAND(),0,N$7)</f>
        <v>-0.494159146668277</v>
      </c>
      <c r="O1821" s="53" t="n">
        <f aca="false">SUM(J1821:N1821)</f>
        <v>-0.11249963289531</v>
      </c>
    </row>
    <row r="1822" customFormat="false" ht="15" hidden="false" customHeight="false" outlineLevel="0" collapsed="false">
      <c r="A1822" s="2" t="n">
        <v>1814</v>
      </c>
      <c r="B1822" s="53" t="n">
        <f aca="true">NORMINV(RAND(),0,B$7)</f>
        <v>0.359292671962647</v>
      </c>
      <c r="C1822" s="53" t="n">
        <f aca="true">NORMINV(RAND(),0,C$7)</f>
        <v>1.88282329840606</v>
      </c>
      <c r="D1822" s="53" t="n">
        <f aca="true">NORMINV(RAND(),0,D$7)</f>
        <v>-0.291202544888443</v>
      </c>
      <c r="E1822" s="53" t="n">
        <f aca="true">NORMINV(RAND(),0,E$7)</f>
        <v>-0.461489040139178</v>
      </c>
      <c r="F1822" s="53" t="n">
        <f aca="true">NORMINV(RAND(),0,F$7)</f>
        <v>0.0123871465051395</v>
      </c>
      <c r="G1822" s="53" t="n">
        <f aca="true">NORMINV(RAND(),0,G$7)</f>
        <v>-2.28381622157274</v>
      </c>
      <c r="H1822" s="53" t="n">
        <f aca="true">NORMINV(RAND(),0,H$7)</f>
        <v>-0.11308258191085</v>
      </c>
      <c r="I1822" s="53" t="n">
        <f aca="false">SUM(B1822:H1822)</f>
        <v>-0.895087271637365</v>
      </c>
      <c r="J1822" s="53" t="n">
        <f aca="true">NORMINV(RAND(),0,J$7)</f>
        <v>-2.06195238365699</v>
      </c>
      <c r="K1822" s="53" t="n">
        <f aca="true">NORMINV(RAND(),0,K$7)</f>
        <v>-0.175873866458578</v>
      </c>
      <c r="L1822" s="53" t="n">
        <f aca="true">NORMINV(RAND(),0,L$7)</f>
        <v>-0.449786558488378</v>
      </c>
      <c r="M1822" s="53" t="n">
        <f aca="true">NORMINV(RAND(),0,M$7)</f>
        <v>-0.0754758313025714</v>
      </c>
      <c r="N1822" s="53" t="n">
        <f aca="true">NORMINV(RAND(),0,N$7)</f>
        <v>-0.355998598758316</v>
      </c>
      <c r="O1822" s="53" t="n">
        <f aca="false">SUM(J1822:N1822)</f>
        <v>-3.11908723866483</v>
      </c>
    </row>
    <row r="1823" customFormat="false" ht="15" hidden="false" customHeight="false" outlineLevel="0" collapsed="false">
      <c r="A1823" s="2" t="n">
        <v>1815</v>
      </c>
      <c r="B1823" s="53" t="n">
        <f aca="true">NORMINV(RAND(),0,B$7)</f>
        <v>1.85322154378963</v>
      </c>
      <c r="C1823" s="53" t="n">
        <f aca="true">NORMINV(RAND(),0,C$7)</f>
        <v>1.98018341609612</v>
      </c>
      <c r="D1823" s="53" t="n">
        <f aca="true">NORMINV(RAND(),0,D$7)</f>
        <v>1.85965481681819</v>
      </c>
      <c r="E1823" s="53" t="n">
        <f aca="true">NORMINV(RAND(),0,E$7)</f>
        <v>-0.433889477980994</v>
      </c>
      <c r="F1823" s="53" t="n">
        <f aca="true">NORMINV(RAND(),0,F$7)</f>
        <v>-0.00505845593146396</v>
      </c>
      <c r="G1823" s="53" t="n">
        <f aca="true">NORMINV(RAND(),0,G$7)</f>
        <v>-2.83394115629087</v>
      </c>
      <c r="H1823" s="53" t="n">
        <f aca="true">NORMINV(RAND(),0,H$7)</f>
        <v>0.189248710348267</v>
      </c>
      <c r="I1823" s="53" t="n">
        <f aca="false">SUM(B1823:H1823)</f>
        <v>2.60941939684889</v>
      </c>
      <c r="J1823" s="53" t="n">
        <f aca="true">NORMINV(RAND(),0,J$7)</f>
        <v>1.14281944670988</v>
      </c>
      <c r="K1823" s="53" t="n">
        <f aca="true">NORMINV(RAND(),0,K$7)</f>
        <v>-0.0627183968188619</v>
      </c>
      <c r="L1823" s="53" t="n">
        <f aca="true">NORMINV(RAND(),0,L$7)</f>
        <v>0.427582138550694</v>
      </c>
      <c r="M1823" s="53" t="n">
        <f aca="true">NORMINV(RAND(),0,M$7)</f>
        <v>0.0175923228751335</v>
      </c>
      <c r="N1823" s="53" t="n">
        <f aca="true">NORMINV(RAND(),0,N$7)</f>
        <v>0.221156677743596</v>
      </c>
      <c r="O1823" s="53" t="n">
        <f aca="false">SUM(J1823:N1823)</f>
        <v>1.74643218906044</v>
      </c>
    </row>
    <row r="1824" customFormat="false" ht="15" hidden="false" customHeight="false" outlineLevel="0" collapsed="false">
      <c r="A1824" s="2" t="n">
        <v>1816</v>
      </c>
      <c r="B1824" s="53" t="n">
        <f aca="true">NORMINV(RAND(),0,B$7)</f>
        <v>-1.05724874070723</v>
      </c>
      <c r="C1824" s="53" t="n">
        <f aca="true">NORMINV(RAND(),0,C$7)</f>
        <v>0.472756818395244</v>
      </c>
      <c r="D1824" s="53" t="n">
        <f aca="true">NORMINV(RAND(),0,D$7)</f>
        <v>-0.193160152279532</v>
      </c>
      <c r="E1824" s="53" t="n">
        <f aca="true">NORMINV(RAND(),0,E$7)</f>
        <v>0.609094333219561</v>
      </c>
      <c r="F1824" s="53" t="n">
        <f aca="true">NORMINV(RAND(),0,F$7)</f>
        <v>-0.0179548520308188</v>
      </c>
      <c r="G1824" s="53" t="n">
        <f aca="true">NORMINV(RAND(),0,G$7)</f>
        <v>-0.605019466796252</v>
      </c>
      <c r="H1824" s="53" t="n">
        <f aca="true">NORMINV(RAND(),0,H$7)</f>
        <v>0.0842984276198291</v>
      </c>
      <c r="I1824" s="53" t="n">
        <f aca="false">SUM(B1824:H1824)</f>
        <v>-0.707233632579202</v>
      </c>
      <c r="J1824" s="53" t="n">
        <f aca="true">NORMINV(RAND(),0,J$7)</f>
        <v>-1.15891249915668</v>
      </c>
      <c r="K1824" s="53" t="n">
        <f aca="true">NORMINV(RAND(),0,K$7)</f>
        <v>0.229068787066348</v>
      </c>
      <c r="L1824" s="53" t="n">
        <f aca="true">NORMINV(RAND(),0,L$7)</f>
        <v>-0.380703195134893</v>
      </c>
      <c r="M1824" s="53" t="n">
        <f aca="true">NORMINV(RAND(),0,M$7)</f>
        <v>-0.0420113312211828</v>
      </c>
      <c r="N1824" s="53" t="n">
        <f aca="true">NORMINV(RAND(),0,N$7)</f>
        <v>0.154547848254302</v>
      </c>
      <c r="O1824" s="53" t="n">
        <f aca="false">SUM(J1824:N1824)</f>
        <v>-1.19801039019211</v>
      </c>
    </row>
    <row r="1825" customFormat="false" ht="15" hidden="false" customHeight="false" outlineLevel="0" collapsed="false">
      <c r="A1825" s="2" t="n">
        <v>1817</v>
      </c>
      <c r="B1825" s="53" t="n">
        <f aca="true">NORMINV(RAND(),0,B$7)</f>
        <v>-0.318963125559584</v>
      </c>
      <c r="C1825" s="53" t="n">
        <f aca="true">NORMINV(RAND(),0,C$7)</f>
        <v>-0.0252096130482468</v>
      </c>
      <c r="D1825" s="53" t="n">
        <f aca="true">NORMINV(RAND(),0,D$7)</f>
        <v>2.07264415889164</v>
      </c>
      <c r="E1825" s="53" t="n">
        <f aca="true">NORMINV(RAND(),0,E$7)</f>
        <v>-0.0942723535915649</v>
      </c>
      <c r="F1825" s="53" t="n">
        <f aca="true">NORMINV(RAND(),0,F$7)</f>
        <v>0.435502423143107</v>
      </c>
      <c r="G1825" s="53" t="n">
        <f aca="true">NORMINV(RAND(),0,G$7)</f>
        <v>-0.45812494400151</v>
      </c>
      <c r="H1825" s="53" t="n">
        <f aca="true">NORMINV(RAND(),0,H$7)</f>
        <v>0.649149222411217</v>
      </c>
      <c r="I1825" s="53" t="n">
        <f aca="false">SUM(B1825:H1825)</f>
        <v>2.26072576824506</v>
      </c>
      <c r="J1825" s="53" t="n">
        <f aca="true">NORMINV(RAND(),0,J$7)</f>
        <v>1.97716498691263</v>
      </c>
      <c r="K1825" s="53" t="n">
        <f aca="true">NORMINV(RAND(),0,K$7)</f>
        <v>-0.424361623694893</v>
      </c>
      <c r="L1825" s="53" t="n">
        <f aca="true">NORMINV(RAND(),0,L$7)</f>
        <v>0.261794049044436</v>
      </c>
      <c r="M1825" s="53" t="n">
        <f aca="true">NORMINV(RAND(),0,M$7)</f>
        <v>0.121013360609329</v>
      </c>
      <c r="N1825" s="53" t="n">
        <f aca="true">NORMINV(RAND(),0,N$7)</f>
        <v>-0.0977521358532012</v>
      </c>
      <c r="O1825" s="53" t="n">
        <f aca="false">SUM(J1825:N1825)</f>
        <v>1.8378586370183</v>
      </c>
    </row>
    <row r="1826" customFormat="false" ht="15" hidden="false" customHeight="false" outlineLevel="0" collapsed="false">
      <c r="A1826" s="2" t="n">
        <v>1818</v>
      </c>
      <c r="B1826" s="53" t="n">
        <f aca="true">NORMINV(RAND(),0,B$7)</f>
        <v>-2.61290349357086</v>
      </c>
      <c r="C1826" s="53" t="n">
        <f aca="true">NORMINV(RAND(),0,C$7)</f>
        <v>0.814172121851664</v>
      </c>
      <c r="D1826" s="53" t="n">
        <f aca="true">NORMINV(RAND(),0,D$7)</f>
        <v>2.14785215014464</v>
      </c>
      <c r="E1826" s="53" t="n">
        <f aca="true">NORMINV(RAND(),0,E$7)</f>
        <v>0.0930686064128796</v>
      </c>
      <c r="F1826" s="53" t="n">
        <f aca="true">NORMINV(RAND(),0,F$7)</f>
        <v>0.116416164301545</v>
      </c>
      <c r="G1826" s="53" t="n">
        <f aca="true">NORMINV(RAND(),0,G$7)</f>
        <v>-0.141204471417475</v>
      </c>
      <c r="H1826" s="53" t="n">
        <f aca="true">NORMINV(RAND(),0,H$7)</f>
        <v>0.0279220247978217</v>
      </c>
      <c r="I1826" s="53" t="n">
        <f aca="false">SUM(B1826:H1826)</f>
        <v>0.445323102520213</v>
      </c>
      <c r="J1826" s="53" t="n">
        <f aca="true">NORMINV(RAND(),0,J$7)</f>
        <v>0.433878298114743</v>
      </c>
      <c r="K1826" s="53" t="n">
        <f aca="true">NORMINV(RAND(),0,K$7)</f>
        <v>1.13794774301138</v>
      </c>
      <c r="L1826" s="53" t="n">
        <f aca="true">NORMINV(RAND(),0,L$7)</f>
        <v>-0.0486030923043275</v>
      </c>
      <c r="M1826" s="53" t="n">
        <f aca="true">NORMINV(RAND(),0,M$7)</f>
        <v>-0.0488780177549411</v>
      </c>
      <c r="N1826" s="53" t="n">
        <f aca="true">NORMINV(RAND(),0,N$7)</f>
        <v>-0.388885548197495</v>
      </c>
      <c r="O1826" s="53" t="n">
        <f aca="false">SUM(J1826:N1826)</f>
        <v>1.08545938286936</v>
      </c>
    </row>
    <row r="1827" customFormat="false" ht="15" hidden="false" customHeight="false" outlineLevel="0" collapsed="false">
      <c r="A1827" s="2" t="n">
        <v>1819</v>
      </c>
      <c r="B1827" s="53" t="n">
        <f aca="true">NORMINV(RAND(),0,B$7)</f>
        <v>-0.52115630882409</v>
      </c>
      <c r="C1827" s="53" t="n">
        <f aca="true">NORMINV(RAND(),0,C$7)</f>
        <v>-3.04065051163979</v>
      </c>
      <c r="D1827" s="53" t="n">
        <f aca="true">NORMINV(RAND(),0,D$7)</f>
        <v>0.543132414374241</v>
      </c>
      <c r="E1827" s="53" t="n">
        <f aca="true">NORMINV(RAND(),0,E$7)</f>
        <v>0.0883231028135691</v>
      </c>
      <c r="F1827" s="53" t="n">
        <f aca="true">NORMINV(RAND(),0,F$7)</f>
        <v>-0.33458960801584</v>
      </c>
      <c r="G1827" s="53" t="n">
        <f aca="true">NORMINV(RAND(),0,G$7)</f>
        <v>-1.03168430794276</v>
      </c>
      <c r="H1827" s="53" t="n">
        <f aca="true">NORMINV(RAND(),0,H$7)</f>
        <v>-0.200392405390513</v>
      </c>
      <c r="I1827" s="53" t="n">
        <f aca="false">SUM(B1827:H1827)</f>
        <v>-4.49701762462518</v>
      </c>
      <c r="J1827" s="53" t="n">
        <f aca="true">NORMINV(RAND(),0,J$7)</f>
        <v>-1.90493217980618</v>
      </c>
      <c r="K1827" s="53" t="n">
        <f aca="true">NORMINV(RAND(),0,K$7)</f>
        <v>-0.46279692711631</v>
      </c>
      <c r="L1827" s="53" t="n">
        <f aca="true">NORMINV(RAND(),0,L$7)</f>
        <v>0.442582337276192</v>
      </c>
      <c r="M1827" s="53" t="n">
        <f aca="true">NORMINV(RAND(),0,M$7)</f>
        <v>0.118904592010278</v>
      </c>
      <c r="N1827" s="53" t="n">
        <f aca="true">NORMINV(RAND(),0,N$7)</f>
        <v>-0.412028181514774</v>
      </c>
      <c r="O1827" s="53" t="n">
        <f aca="false">SUM(J1827:N1827)</f>
        <v>-2.21827035915079</v>
      </c>
    </row>
    <row r="1828" customFormat="false" ht="15" hidden="false" customHeight="false" outlineLevel="0" collapsed="false">
      <c r="A1828" s="2" t="n">
        <v>1820</v>
      </c>
      <c r="B1828" s="53" t="n">
        <f aca="true">NORMINV(RAND(),0,B$7)</f>
        <v>-1.34806252407525</v>
      </c>
      <c r="C1828" s="53" t="n">
        <f aca="true">NORMINV(RAND(),0,C$7)</f>
        <v>0.498898662641177</v>
      </c>
      <c r="D1828" s="53" t="n">
        <f aca="true">NORMINV(RAND(),0,D$7)</f>
        <v>-1.78181701612904</v>
      </c>
      <c r="E1828" s="53" t="n">
        <f aca="true">NORMINV(RAND(),0,E$7)</f>
        <v>-0.309250486253467</v>
      </c>
      <c r="F1828" s="53" t="n">
        <f aca="true">NORMINV(RAND(),0,F$7)</f>
        <v>0.348901240780284</v>
      </c>
      <c r="G1828" s="53" t="n">
        <f aca="true">NORMINV(RAND(),0,G$7)</f>
        <v>0.211579019543035</v>
      </c>
      <c r="H1828" s="53" t="n">
        <f aca="true">NORMINV(RAND(),0,H$7)</f>
        <v>0.345977733760189</v>
      </c>
      <c r="I1828" s="53" t="n">
        <f aca="false">SUM(B1828:H1828)</f>
        <v>-2.03377336973308</v>
      </c>
      <c r="J1828" s="53" t="n">
        <f aca="true">NORMINV(RAND(),0,J$7)</f>
        <v>-0.247076317697747</v>
      </c>
      <c r="K1828" s="53" t="n">
        <f aca="true">NORMINV(RAND(),0,K$7)</f>
        <v>0.755702446672016</v>
      </c>
      <c r="L1828" s="53" t="n">
        <f aca="true">NORMINV(RAND(),0,L$7)</f>
        <v>-0.148827058615439</v>
      </c>
      <c r="M1828" s="53" t="n">
        <f aca="true">NORMINV(RAND(),0,M$7)</f>
        <v>-0.453682719439845</v>
      </c>
      <c r="N1828" s="53" t="n">
        <f aca="true">NORMINV(RAND(),0,N$7)</f>
        <v>-0.206120097028114</v>
      </c>
      <c r="O1828" s="53" t="n">
        <f aca="false">SUM(J1828:N1828)</f>
        <v>-0.300003746109129</v>
      </c>
    </row>
    <row r="1829" customFormat="false" ht="15" hidden="false" customHeight="false" outlineLevel="0" collapsed="false">
      <c r="A1829" s="2" t="n">
        <v>1821</v>
      </c>
      <c r="B1829" s="53" t="n">
        <f aca="true">NORMINV(RAND(),0,B$7)</f>
        <v>-0.890359727186851</v>
      </c>
      <c r="C1829" s="53" t="n">
        <f aca="true">NORMINV(RAND(),0,C$7)</f>
        <v>0.330358805542232</v>
      </c>
      <c r="D1829" s="53" t="n">
        <f aca="true">NORMINV(RAND(),0,D$7)</f>
        <v>0.312281378455456</v>
      </c>
      <c r="E1829" s="53" t="n">
        <f aca="true">NORMINV(RAND(),0,E$7)</f>
        <v>-0.0253337085972379</v>
      </c>
      <c r="F1829" s="53" t="n">
        <f aca="true">NORMINV(RAND(),0,F$7)</f>
        <v>-0.201755078775803</v>
      </c>
      <c r="G1829" s="53" t="n">
        <f aca="true">NORMINV(RAND(),0,G$7)</f>
        <v>2.82913803121236</v>
      </c>
      <c r="H1829" s="53" t="n">
        <f aca="true">NORMINV(RAND(),0,H$7)</f>
        <v>-0.048790319972042</v>
      </c>
      <c r="I1829" s="53" t="n">
        <f aca="false">SUM(B1829:H1829)</f>
        <v>2.30553938067811</v>
      </c>
      <c r="J1829" s="53" t="n">
        <f aca="true">NORMINV(RAND(),0,J$7)</f>
        <v>1.02872902989294</v>
      </c>
      <c r="K1829" s="53" t="n">
        <f aca="true">NORMINV(RAND(),0,K$7)</f>
        <v>1.1426740073156</v>
      </c>
      <c r="L1829" s="53" t="n">
        <f aca="true">NORMINV(RAND(),0,L$7)</f>
        <v>-0.0473629482936202</v>
      </c>
      <c r="M1829" s="53" t="n">
        <f aca="true">NORMINV(RAND(),0,M$7)</f>
        <v>-0.0888762524248796</v>
      </c>
      <c r="N1829" s="53" t="n">
        <f aca="true">NORMINV(RAND(),0,N$7)</f>
        <v>-0.318179670615406</v>
      </c>
      <c r="O1829" s="53" t="n">
        <f aca="false">SUM(J1829:N1829)</f>
        <v>1.71698416587463</v>
      </c>
    </row>
    <row r="1830" customFormat="false" ht="15" hidden="false" customHeight="false" outlineLevel="0" collapsed="false">
      <c r="A1830" s="2" t="n">
        <v>1822</v>
      </c>
      <c r="B1830" s="53" t="n">
        <f aca="true">NORMINV(RAND(),0,B$7)</f>
        <v>0.981840913473417</v>
      </c>
      <c r="C1830" s="53" t="n">
        <f aca="true">NORMINV(RAND(),0,C$7)</f>
        <v>0.74404753787246</v>
      </c>
      <c r="D1830" s="53" t="n">
        <f aca="true">NORMINV(RAND(),0,D$7)</f>
        <v>0.139279297333184</v>
      </c>
      <c r="E1830" s="53" t="n">
        <f aca="true">NORMINV(RAND(),0,E$7)</f>
        <v>0.754020409435924</v>
      </c>
      <c r="F1830" s="53" t="n">
        <f aca="true">NORMINV(RAND(),0,F$7)</f>
        <v>-0.00706925187843604</v>
      </c>
      <c r="G1830" s="53" t="n">
        <f aca="true">NORMINV(RAND(),0,G$7)</f>
        <v>-0.516821118391549</v>
      </c>
      <c r="H1830" s="53" t="n">
        <f aca="true">NORMINV(RAND(),0,H$7)</f>
        <v>-0.149692240816236</v>
      </c>
      <c r="I1830" s="53" t="n">
        <f aca="false">SUM(B1830:H1830)</f>
        <v>1.94560554702876</v>
      </c>
      <c r="J1830" s="53" t="n">
        <f aca="true">NORMINV(RAND(),0,J$7)</f>
        <v>-2.09123337363355</v>
      </c>
      <c r="K1830" s="53" t="n">
        <f aca="true">NORMINV(RAND(),0,K$7)</f>
        <v>-0.0894826702056175</v>
      </c>
      <c r="L1830" s="53" t="n">
        <f aca="true">NORMINV(RAND(),0,L$7)</f>
        <v>0.380128391818911</v>
      </c>
      <c r="M1830" s="53" t="n">
        <f aca="true">NORMINV(RAND(),0,M$7)</f>
        <v>-0.163067416837229</v>
      </c>
      <c r="N1830" s="53" t="n">
        <f aca="true">NORMINV(RAND(),0,N$7)</f>
        <v>0.225651835136165</v>
      </c>
      <c r="O1830" s="53" t="n">
        <f aca="false">SUM(J1830:N1830)</f>
        <v>-1.73800323372133</v>
      </c>
    </row>
    <row r="1831" customFormat="false" ht="15" hidden="false" customHeight="false" outlineLevel="0" collapsed="false">
      <c r="A1831" s="2" t="n">
        <v>1823</v>
      </c>
      <c r="B1831" s="53" t="n">
        <f aca="true">NORMINV(RAND(),0,B$7)</f>
        <v>-0.252653762427317</v>
      </c>
      <c r="C1831" s="53" t="n">
        <f aca="true">NORMINV(RAND(),0,C$7)</f>
        <v>0.826175994016187</v>
      </c>
      <c r="D1831" s="53" t="n">
        <f aca="true">NORMINV(RAND(),0,D$7)</f>
        <v>0.779720933826362</v>
      </c>
      <c r="E1831" s="53" t="n">
        <f aca="true">NORMINV(RAND(),0,E$7)</f>
        <v>-0.429533562720459</v>
      </c>
      <c r="F1831" s="53" t="n">
        <f aca="true">NORMINV(RAND(),0,F$7)</f>
        <v>-0.134550882222082</v>
      </c>
      <c r="G1831" s="53" t="n">
        <f aca="true">NORMINV(RAND(),0,G$7)</f>
        <v>0.406805293876183</v>
      </c>
      <c r="H1831" s="53" t="n">
        <f aca="true">NORMINV(RAND(),0,H$7)</f>
        <v>0.793615633836041</v>
      </c>
      <c r="I1831" s="53" t="n">
        <f aca="false">SUM(B1831:H1831)</f>
        <v>1.98957964818491</v>
      </c>
      <c r="J1831" s="53" t="n">
        <f aca="true">NORMINV(RAND(),0,J$7)</f>
        <v>2.88387200151208</v>
      </c>
      <c r="K1831" s="53" t="n">
        <f aca="true">NORMINV(RAND(),0,K$7)</f>
        <v>0.257016525388606</v>
      </c>
      <c r="L1831" s="53" t="n">
        <f aca="true">NORMINV(RAND(),0,L$7)</f>
        <v>0.0917254405483327</v>
      </c>
      <c r="M1831" s="53" t="n">
        <f aca="true">NORMINV(RAND(),0,M$7)</f>
        <v>0.00323062666697759</v>
      </c>
      <c r="N1831" s="53" t="n">
        <f aca="true">NORMINV(RAND(),0,N$7)</f>
        <v>0.0801785051260178</v>
      </c>
      <c r="O1831" s="53" t="n">
        <f aca="false">SUM(J1831:N1831)</f>
        <v>3.31602309924202</v>
      </c>
    </row>
    <row r="1832" customFormat="false" ht="15" hidden="false" customHeight="false" outlineLevel="0" collapsed="false">
      <c r="A1832" s="2" t="n">
        <v>1824</v>
      </c>
      <c r="B1832" s="53" t="n">
        <f aca="true">NORMINV(RAND(),0,B$7)</f>
        <v>0.81045622062145</v>
      </c>
      <c r="C1832" s="53" t="n">
        <f aca="true">NORMINV(RAND(),0,C$7)</f>
        <v>-1.09890433555001</v>
      </c>
      <c r="D1832" s="53" t="n">
        <f aca="true">NORMINV(RAND(),0,D$7)</f>
        <v>-0.698775252877644</v>
      </c>
      <c r="E1832" s="53" t="n">
        <f aca="true">NORMINV(RAND(),0,E$7)</f>
        <v>-0.477951022838994</v>
      </c>
      <c r="F1832" s="53" t="n">
        <f aca="true">NORMINV(RAND(),0,F$7)</f>
        <v>-0.0479045431523974</v>
      </c>
      <c r="G1832" s="53" t="n">
        <f aca="true">NORMINV(RAND(),0,G$7)</f>
        <v>0.401596404017254</v>
      </c>
      <c r="H1832" s="53" t="n">
        <f aca="true">NORMINV(RAND(),0,H$7)</f>
        <v>0.106733781857526</v>
      </c>
      <c r="I1832" s="53" t="n">
        <f aca="false">SUM(B1832:H1832)</f>
        <v>-1.00474874792281</v>
      </c>
      <c r="J1832" s="53" t="n">
        <f aca="true">NORMINV(RAND(),0,J$7)</f>
        <v>0.26742759181755</v>
      </c>
      <c r="K1832" s="53" t="n">
        <f aca="true">NORMINV(RAND(),0,K$7)</f>
        <v>1.59989176420079</v>
      </c>
      <c r="L1832" s="53" t="n">
        <f aca="true">NORMINV(RAND(),0,L$7)</f>
        <v>-0.462986733532848</v>
      </c>
      <c r="M1832" s="53" t="n">
        <f aca="true">NORMINV(RAND(),0,M$7)</f>
        <v>-0.117924650235399</v>
      </c>
      <c r="N1832" s="53" t="n">
        <f aca="true">NORMINV(RAND(),0,N$7)</f>
        <v>0.127218984316178</v>
      </c>
      <c r="O1832" s="53" t="n">
        <f aca="false">SUM(J1832:N1832)</f>
        <v>1.41362695656627</v>
      </c>
    </row>
    <row r="1833" customFormat="false" ht="15" hidden="false" customHeight="false" outlineLevel="0" collapsed="false">
      <c r="A1833" s="2" t="n">
        <v>1825</v>
      </c>
      <c r="B1833" s="53" t="n">
        <f aca="true">NORMINV(RAND(),0,B$7)</f>
        <v>1.43716473231829</v>
      </c>
      <c r="C1833" s="53" t="n">
        <f aca="true">NORMINV(RAND(),0,C$7)</f>
        <v>-0.0852323529808172</v>
      </c>
      <c r="D1833" s="53" t="n">
        <f aca="true">NORMINV(RAND(),0,D$7)</f>
        <v>-2.36099227612088</v>
      </c>
      <c r="E1833" s="53" t="n">
        <f aca="true">NORMINV(RAND(),0,E$7)</f>
        <v>0.105321648407488</v>
      </c>
      <c r="F1833" s="53" t="n">
        <f aca="true">NORMINV(RAND(),0,F$7)</f>
        <v>0.593083135646413</v>
      </c>
      <c r="G1833" s="53" t="n">
        <f aca="true">NORMINV(RAND(),0,G$7)</f>
        <v>-3.33113541459541</v>
      </c>
      <c r="H1833" s="53" t="n">
        <f aca="true">NORMINV(RAND(),0,H$7)</f>
        <v>-0.833419601442455</v>
      </c>
      <c r="I1833" s="53" t="n">
        <f aca="false">SUM(B1833:H1833)</f>
        <v>-4.47521012876737</v>
      </c>
      <c r="J1833" s="53" t="n">
        <f aca="true">NORMINV(RAND(),0,J$7)</f>
        <v>2.21385982352402</v>
      </c>
      <c r="K1833" s="53" t="n">
        <f aca="true">NORMINV(RAND(),0,K$7)</f>
        <v>0.704447622278948</v>
      </c>
      <c r="L1833" s="53" t="n">
        <f aca="true">NORMINV(RAND(),0,L$7)</f>
        <v>-0.250227916077807</v>
      </c>
      <c r="M1833" s="53" t="n">
        <f aca="true">NORMINV(RAND(),0,M$7)</f>
        <v>0.154568021898706</v>
      </c>
      <c r="N1833" s="53" t="n">
        <f aca="true">NORMINV(RAND(),0,N$7)</f>
        <v>0.159843277663736</v>
      </c>
      <c r="O1833" s="53" t="n">
        <f aca="false">SUM(J1833:N1833)</f>
        <v>2.9824908292876</v>
      </c>
    </row>
    <row r="1834" customFormat="false" ht="15" hidden="false" customHeight="false" outlineLevel="0" collapsed="false">
      <c r="A1834" s="2" t="n">
        <v>1826</v>
      </c>
      <c r="B1834" s="53" t="n">
        <f aca="true">NORMINV(RAND(),0,B$7)</f>
        <v>2.56617397523599</v>
      </c>
      <c r="C1834" s="53" t="n">
        <f aca="true">NORMINV(RAND(),0,C$7)</f>
        <v>1.03877772778373</v>
      </c>
      <c r="D1834" s="53" t="n">
        <f aca="true">NORMINV(RAND(),0,D$7)</f>
        <v>-2.58342398958167</v>
      </c>
      <c r="E1834" s="53" t="n">
        <f aca="true">NORMINV(RAND(),0,E$7)</f>
        <v>0.57396405172015</v>
      </c>
      <c r="F1834" s="53" t="n">
        <f aca="true">NORMINV(RAND(),0,F$7)</f>
        <v>-0.141186039699769</v>
      </c>
      <c r="G1834" s="53" t="n">
        <f aca="true">NORMINV(RAND(),0,G$7)</f>
        <v>1.64247358035918</v>
      </c>
      <c r="H1834" s="53" t="n">
        <f aca="true">NORMINV(RAND(),0,H$7)</f>
        <v>0.0233106613996229</v>
      </c>
      <c r="I1834" s="53" t="n">
        <f aca="false">SUM(B1834:H1834)</f>
        <v>3.12008996721724</v>
      </c>
      <c r="J1834" s="53" t="n">
        <f aca="true">NORMINV(RAND(),0,J$7)</f>
        <v>-2.65215570474323</v>
      </c>
      <c r="K1834" s="53" t="n">
        <f aca="true">NORMINV(RAND(),0,K$7)</f>
        <v>-0.0598559214984938</v>
      </c>
      <c r="L1834" s="53" t="n">
        <f aca="true">NORMINV(RAND(),0,L$7)</f>
        <v>-0.0970138372234424</v>
      </c>
      <c r="M1834" s="53" t="n">
        <f aca="true">NORMINV(RAND(),0,M$7)</f>
        <v>0.0768217352325864</v>
      </c>
      <c r="N1834" s="53" t="n">
        <f aca="true">NORMINV(RAND(),0,N$7)</f>
        <v>0.108908631821285</v>
      </c>
      <c r="O1834" s="53" t="n">
        <f aca="false">SUM(J1834:N1834)</f>
        <v>-2.62329509641129</v>
      </c>
    </row>
    <row r="1835" customFormat="false" ht="15" hidden="false" customHeight="false" outlineLevel="0" collapsed="false">
      <c r="A1835" s="2" t="n">
        <v>1827</v>
      </c>
      <c r="B1835" s="53" t="n">
        <f aca="true">NORMINV(RAND(),0,B$7)</f>
        <v>2.08984635893088</v>
      </c>
      <c r="C1835" s="53" t="n">
        <f aca="true">NORMINV(RAND(),0,C$7)</f>
        <v>0.29278416767752</v>
      </c>
      <c r="D1835" s="53" t="n">
        <f aca="true">NORMINV(RAND(),0,D$7)</f>
        <v>0.406104975540923</v>
      </c>
      <c r="E1835" s="53" t="n">
        <f aca="true">NORMINV(RAND(),0,E$7)</f>
        <v>-0.120364693606731</v>
      </c>
      <c r="F1835" s="53" t="n">
        <f aca="true">NORMINV(RAND(),0,F$7)</f>
        <v>-0.300769585904931</v>
      </c>
      <c r="G1835" s="53" t="n">
        <f aca="true">NORMINV(RAND(),0,G$7)</f>
        <v>1.18742015121083</v>
      </c>
      <c r="H1835" s="53" t="n">
        <f aca="true">NORMINV(RAND(),0,H$7)</f>
        <v>-0.338971167054157</v>
      </c>
      <c r="I1835" s="53" t="n">
        <f aca="false">SUM(B1835:H1835)</f>
        <v>3.21605020679434</v>
      </c>
      <c r="J1835" s="53" t="n">
        <f aca="true">NORMINV(RAND(),0,J$7)</f>
        <v>0.733711923510067</v>
      </c>
      <c r="K1835" s="53" t="n">
        <f aca="true">NORMINV(RAND(),0,K$7)</f>
        <v>-0.644629931255863</v>
      </c>
      <c r="L1835" s="53" t="n">
        <f aca="true">NORMINV(RAND(),0,L$7)</f>
        <v>0.234051033873537</v>
      </c>
      <c r="M1835" s="53" t="n">
        <f aca="true">NORMINV(RAND(),0,M$7)</f>
        <v>0.317878691082001</v>
      </c>
      <c r="N1835" s="53" t="n">
        <f aca="true">NORMINV(RAND(),0,N$7)</f>
        <v>-0.0644385951700113</v>
      </c>
      <c r="O1835" s="53" t="n">
        <f aca="false">SUM(J1835:N1835)</f>
        <v>0.576573122039731</v>
      </c>
    </row>
    <row r="1836" customFormat="false" ht="15" hidden="false" customHeight="false" outlineLevel="0" collapsed="false">
      <c r="A1836" s="2" t="n">
        <v>1828</v>
      </c>
      <c r="B1836" s="53" t="n">
        <f aca="true">NORMINV(RAND(),0,B$7)</f>
        <v>-1.55927233874725</v>
      </c>
      <c r="C1836" s="53" t="n">
        <f aca="true">NORMINV(RAND(),0,C$7)</f>
        <v>0.867251621957799</v>
      </c>
      <c r="D1836" s="53" t="n">
        <f aca="true">NORMINV(RAND(),0,D$7)</f>
        <v>0.606772269420758</v>
      </c>
      <c r="E1836" s="53" t="n">
        <f aca="true">NORMINV(RAND(),0,E$7)</f>
        <v>0.175584817041008</v>
      </c>
      <c r="F1836" s="53" t="n">
        <f aca="true">NORMINV(RAND(),0,F$7)</f>
        <v>0.65160030937532</v>
      </c>
      <c r="G1836" s="53" t="n">
        <f aca="true">NORMINV(RAND(),0,G$7)</f>
        <v>3.27846229180452</v>
      </c>
      <c r="H1836" s="53" t="n">
        <f aca="true">NORMINV(RAND(),0,H$7)</f>
        <v>0.106097882954805</v>
      </c>
      <c r="I1836" s="53" t="n">
        <f aca="false">SUM(B1836:H1836)</f>
        <v>4.12649685380696</v>
      </c>
      <c r="J1836" s="53" t="n">
        <f aca="true">NORMINV(RAND(),0,J$7)</f>
        <v>-2.22544074612754</v>
      </c>
      <c r="K1836" s="53" t="n">
        <f aca="true">NORMINV(RAND(),0,K$7)</f>
        <v>-1.12091112570775</v>
      </c>
      <c r="L1836" s="53" t="n">
        <f aca="true">NORMINV(RAND(),0,L$7)</f>
        <v>0.40361782312053</v>
      </c>
      <c r="M1836" s="53" t="n">
        <f aca="true">NORMINV(RAND(),0,M$7)</f>
        <v>0.0447318837356953</v>
      </c>
      <c r="N1836" s="53" t="n">
        <f aca="true">NORMINV(RAND(),0,N$7)</f>
        <v>0.511220913764613</v>
      </c>
      <c r="O1836" s="53" t="n">
        <f aca="false">SUM(J1836:N1836)</f>
        <v>-2.38678125121445</v>
      </c>
    </row>
    <row r="1837" customFormat="false" ht="15" hidden="false" customHeight="false" outlineLevel="0" collapsed="false">
      <c r="A1837" s="2" t="n">
        <v>1829</v>
      </c>
      <c r="B1837" s="53" t="n">
        <f aca="true">NORMINV(RAND(),0,B$7)</f>
        <v>1.97230780419996</v>
      </c>
      <c r="C1837" s="53" t="n">
        <f aca="true">NORMINV(RAND(),0,C$7)</f>
        <v>-1.60993245460587</v>
      </c>
      <c r="D1837" s="53" t="n">
        <f aca="true">NORMINV(RAND(),0,D$7)</f>
        <v>-2.13774055682286</v>
      </c>
      <c r="E1837" s="53" t="n">
        <f aca="true">NORMINV(RAND(),0,E$7)</f>
        <v>-0.217867440180311</v>
      </c>
      <c r="F1837" s="53" t="n">
        <f aca="true">NORMINV(RAND(),0,F$7)</f>
        <v>0.467252389351514</v>
      </c>
      <c r="G1837" s="53" t="n">
        <f aca="true">NORMINV(RAND(),0,G$7)</f>
        <v>-2.03146463024539</v>
      </c>
      <c r="H1837" s="53" t="n">
        <f aca="true">NORMINV(RAND(),0,H$7)</f>
        <v>0.0592505896985931</v>
      </c>
      <c r="I1837" s="53" t="n">
        <f aca="false">SUM(B1837:H1837)</f>
        <v>-3.49819429860437</v>
      </c>
      <c r="J1837" s="53" t="n">
        <f aca="true">NORMINV(RAND(),0,J$7)</f>
        <v>-0.505578734427713</v>
      </c>
      <c r="K1837" s="53" t="n">
        <f aca="true">NORMINV(RAND(),0,K$7)</f>
        <v>0.318267193751281</v>
      </c>
      <c r="L1837" s="53" t="n">
        <f aca="true">NORMINV(RAND(),0,L$7)</f>
        <v>-0.339225664472985</v>
      </c>
      <c r="M1837" s="53" t="n">
        <f aca="true">NORMINV(RAND(),0,M$7)</f>
        <v>0.0850153901383545</v>
      </c>
      <c r="N1837" s="53" t="n">
        <f aca="true">NORMINV(RAND(),0,N$7)</f>
        <v>0.620812732252159</v>
      </c>
      <c r="O1837" s="53" t="n">
        <f aca="false">SUM(J1837:N1837)</f>
        <v>0.179290917241097</v>
      </c>
    </row>
    <row r="1838" customFormat="false" ht="15" hidden="false" customHeight="false" outlineLevel="0" collapsed="false">
      <c r="A1838" s="2" t="n">
        <v>1830</v>
      </c>
      <c r="B1838" s="53" t="n">
        <f aca="true">NORMINV(RAND(),0,B$7)</f>
        <v>0.647016716572802</v>
      </c>
      <c r="C1838" s="53" t="n">
        <f aca="true">NORMINV(RAND(),0,C$7)</f>
        <v>-2.46947536875138</v>
      </c>
      <c r="D1838" s="53" t="n">
        <f aca="true">NORMINV(RAND(),0,D$7)</f>
        <v>-1.22657486695235</v>
      </c>
      <c r="E1838" s="53" t="n">
        <f aca="true">NORMINV(RAND(),0,E$7)</f>
        <v>0.584819739143047</v>
      </c>
      <c r="F1838" s="53" t="n">
        <f aca="true">NORMINV(RAND(),0,F$7)</f>
        <v>-0.256277581367382</v>
      </c>
      <c r="G1838" s="53" t="n">
        <f aca="true">NORMINV(RAND(),0,G$7)</f>
        <v>0.851715926055984</v>
      </c>
      <c r="H1838" s="53" t="n">
        <f aca="true">NORMINV(RAND(),0,H$7)</f>
        <v>0.345823600933534</v>
      </c>
      <c r="I1838" s="53" t="n">
        <f aca="false">SUM(B1838:H1838)</f>
        <v>-1.52295183436575</v>
      </c>
      <c r="J1838" s="53" t="n">
        <f aca="true">NORMINV(RAND(),0,J$7)</f>
        <v>4.2806413594053</v>
      </c>
      <c r="K1838" s="53" t="n">
        <f aca="true">NORMINV(RAND(),0,K$7)</f>
        <v>-0.178005763250654</v>
      </c>
      <c r="L1838" s="53" t="n">
        <f aca="true">NORMINV(RAND(),0,L$7)</f>
        <v>0.17990118930599</v>
      </c>
      <c r="M1838" s="53" t="n">
        <f aca="true">NORMINV(RAND(),0,M$7)</f>
        <v>-0.00938068680374888</v>
      </c>
      <c r="N1838" s="53" t="n">
        <f aca="true">NORMINV(RAND(),0,N$7)</f>
        <v>0.409789883708028</v>
      </c>
      <c r="O1838" s="53" t="n">
        <f aca="false">SUM(J1838:N1838)</f>
        <v>4.68294598236492</v>
      </c>
    </row>
    <row r="1839" customFormat="false" ht="15" hidden="false" customHeight="false" outlineLevel="0" collapsed="false">
      <c r="A1839" s="2" t="n">
        <v>1831</v>
      </c>
      <c r="B1839" s="53" t="n">
        <f aca="true">NORMINV(RAND(),0,B$7)</f>
        <v>-3.20449814363417</v>
      </c>
      <c r="C1839" s="53" t="n">
        <f aca="true">NORMINV(RAND(),0,C$7)</f>
        <v>-1.22234892485978</v>
      </c>
      <c r="D1839" s="53" t="n">
        <f aca="true">NORMINV(RAND(),0,D$7)</f>
        <v>2.53809518961767</v>
      </c>
      <c r="E1839" s="53" t="n">
        <f aca="true">NORMINV(RAND(),0,E$7)</f>
        <v>-0.127545980357755</v>
      </c>
      <c r="F1839" s="53" t="n">
        <f aca="true">NORMINV(RAND(),0,F$7)</f>
        <v>0.0976340856115495</v>
      </c>
      <c r="G1839" s="53" t="n">
        <f aca="true">NORMINV(RAND(),0,G$7)</f>
        <v>-1.92748911659399</v>
      </c>
      <c r="H1839" s="53" t="n">
        <f aca="true">NORMINV(RAND(),0,H$7)</f>
        <v>0.568681862681528</v>
      </c>
      <c r="I1839" s="53" t="n">
        <f aca="false">SUM(B1839:H1839)</f>
        <v>-3.27747102753495</v>
      </c>
      <c r="J1839" s="53" t="n">
        <f aca="true">NORMINV(RAND(),0,J$7)</f>
        <v>2.28327977291762</v>
      </c>
      <c r="K1839" s="53" t="n">
        <f aca="true">NORMINV(RAND(),0,K$7)</f>
        <v>-0.226643250791797</v>
      </c>
      <c r="L1839" s="53" t="n">
        <f aca="true">NORMINV(RAND(),0,L$7)</f>
        <v>0.215833266533989</v>
      </c>
      <c r="M1839" s="53" t="n">
        <f aca="true">NORMINV(RAND(),0,M$7)</f>
        <v>-0.147856695084205</v>
      </c>
      <c r="N1839" s="53" t="n">
        <f aca="true">NORMINV(RAND(),0,N$7)</f>
        <v>0.221626916164915</v>
      </c>
      <c r="O1839" s="53" t="n">
        <f aca="false">SUM(J1839:N1839)</f>
        <v>2.34624000974052</v>
      </c>
    </row>
    <row r="1840" customFormat="false" ht="15" hidden="false" customHeight="false" outlineLevel="0" collapsed="false">
      <c r="A1840" s="2" t="n">
        <v>1832</v>
      </c>
      <c r="B1840" s="53" t="n">
        <f aca="true">NORMINV(RAND(),0,B$7)</f>
        <v>-0.809779000277277</v>
      </c>
      <c r="C1840" s="53" t="n">
        <f aca="true">NORMINV(RAND(),0,C$7)</f>
        <v>0.106620106872335</v>
      </c>
      <c r="D1840" s="53" t="n">
        <f aca="true">NORMINV(RAND(),0,D$7)</f>
        <v>-1.97994684843107</v>
      </c>
      <c r="E1840" s="53" t="n">
        <f aca="true">NORMINV(RAND(),0,E$7)</f>
        <v>-0.182036023726737</v>
      </c>
      <c r="F1840" s="53" t="n">
        <f aca="true">NORMINV(RAND(),0,F$7)</f>
        <v>0.0653788964840541</v>
      </c>
      <c r="G1840" s="53" t="n">
        <f aca="true">NORMINV(RAND(),0,G$7)</f>
        <v>0.465347203709434</v>
      </c>
      <c r="H1840" s="53" t="n">
        <f aca="true">NORMINV(RAND(),0,H$7)</f>
        <v>-0.240525260190897</v>
      </c>
      <c r="I1840" s="53" t="n">
        <f aca="false">SUM(B1840:H1840)</f>
        <v>-2.57494092556015</v>
      </c>
      <c r="J1840" s="53" t="n">
        <f aca="true">NORMINV(RAND(),0,J$7)</f>
        <v>-1.12495603577107</v>
      </c>
      <c r="K1840" s="53" t="n">
        <f aca="true">NORMINV(RAND(),0,K$7)</f>
        <v>0.988418985039934</v>
      </c>
      <c r="L1840" s="53" t="n">
        <f aca="true">NORMINV(RAND(),0,L$7)</f>
        <v>-0.497411807795081</v>
      </c>
      <c r="M1840" s="53" t="n">
        <f aca="true">NORMINV(RAND(),0,M$7)</f>
        <v>0.267786151656885</v>
      </c>
      <c r="N1840" s="53" t="n">
        <f aca="true">NORMINV(RAND(),0,N$7)</f>
        <v>0.0772720781973487</v>
      </c>
      <c r="O1840" s="53" t="n">
        <f aca="false">SUM(J1840:N1840)</f>
        <v>-0.288890628671981</v>
      </c>
    </row>
    <row r="1841" customFormat="false" ht="15" hidden="false" customHeight="false" outlineLevel="0" collapsed="false">
      <c r="A1841" s="2" t="n">
        <v>1833</v>
      </c>
      <c r="B1841" s="53" t="n">
        <f aca="true">NORMINV(RAND(),0,B$7)</f>
        <v>2.14201854346539</v>
      </c>
      <c r="C1841" s="53" t="n">
        <f aca="true">NORMINV(RAND(),0,C$7)</f>
        <v>0.348298973677536</v>
      </c>
      <c r="D1841" s="53" t="n">
        <f aca="true">NORMINV(RAND(),0,D$7)</f>
        <v>-2.27658756634037</v>
      </c>
      <c r="E1841" s="53" t="n">
        <f aca="true">NORMINV(RAND(),0,E$7)</f>
        <v>0.872188045233812</v>
      </c>
      <c r="F1841" s="53" t="n">
        <f aca="true">NORMINV(RAND(),0,F$7)</f>
        <v>0.185643670732651</v>
      </c>
      <c r="G1841" s="53" t="n">
        <f aca="true">NORMINV(RAND(),0,G$7)</f>
        <v>-2.17031657414426</v>
      </c>
      <c r="H1841" s="53" t="n">
        <f aca="true">NORMINV(RAND(),0,H$7)</f>
        <v>0.0624199675914184</v>
      </c>
      <c r="I1841" s="53" t="n">
        <f aca="false">SUM(B1841:H1841)</f>
        <v>-0.836334939783811</v>
      </c>
      <c r="J1841" s="53" t="n">
        <f aca="true">NORMINV(RAND(),0,J$7)</f>
        <v>-3.47615221518362</v>
      </c>
      <c r="K1841" s="53" t="n">
        <f aca="true">NORMINV(RAND(),0,K$7)</f>
        <v>-1.17603524328483</v>
      </c>
      <c r="L1841" s="53" t="n">
        <f aca="true">NORMINV(RAND(),0,L$7)</f>
        <v>0.463832821450355</v>
      </c>
      <c r="M1841" s="53" t="n">
        <f aca="true">NORMINV(RAND(),0,M$7)</f>
        <v>0.29142736175528</v>
      </c>
      <c r="N1841" s="53" t="n">
        <f aca="true">NORMINV(RAND(),0,N$7)</f>
        <v>0.074616119029317</v>
      </c>
      <c r="O1841" s="53" t="n">
        <f aca="false">SUM(J1841:N1841)</f>
        <v>-3.8223111562335</v>
      </c>
    </row>
    <row r="1842" customFormat="false" ht="15" hidden="false" customHeight="false" outlineLevel="0" collapsed="false">
      <c r="A1842" s="2" t="n">
        <v>1834</v>
      </c>
      <c r="B1842" s="53" t="n">
        <f aca="true">NORMINV(RAND(),0,B$7)</f>
        <v>-0.864920525275594</v>
      </c>
      <c r="C1842" s="53" t="n">
        <f aca="true">NORMINV(RAND(),0,C$7)</f>
        <v>2.1527197712682</v>
      </c>
      <c r="D1842" s="53" t="n">
        <f aca="true">NORMINV(RAND(),0,D$7)</f>
        <v>-2.05744294164771</v>
      </c>
      <c r="E1842" s="53" t="n">
        <f aca="true">NORMINV(RAND(),0,E$7)</f>
        <v>-0.218791579811268</v>
      </c>
      <c r="F1842" s="53" t="n">
        <f aca="true">NORMINV(RAND(),0,F$7)</f>
        <v>0.245630485428528</v>
      </c>
      <c r="G1842" s="53" t="n">
        <f aca="true">NORMINV(RAND(),0,G$7)</f>
        <v>0.636516317570161</v>
      </c>
      <c r="H1842" s="53" t="n">
        <f aca="true">NORMINV(RAND(),0,H$7)</f>
        <v>-0.197974719032879</v>
      </c>
      <c r="I1842" s="53" t="n">
        <f aca="false">SUM(B1842:H1842)</f>
        <v>-0.304263191500564</v>
      </c>
      <c r="J1842" s="53" t="n">
        <f aca="true">NORMINV(RAND(),0,J$7)</f>
        <v>-2.67498424238326</v>
      </c>
      <c r="K1842" s="53" t="n">
        <f aca="true">NORMINV(RAND(),0,K$7)</f>
        <v>0.0452070666146746</v>
      </c>
      <c r="L1842" s="53" t="n">
        <f aca="true">NORMINV(RAND(),0,L$7)</f>
        <v>0.494803539750935</v>
      </c>
      <c r="M1842" s="53" t="n">
        <f aca="true">NORMINV(RAND(),0,M$7)</f>
        <v>-0.0883693679571122</v>
      </c>
      <c r="N1842" s="53" t="n">
        <f aca="true">NORMINV(RAND(),0,N$7)</f>
        <v>-0.050122840224855</v>
      </c>
      <c r="O1842" s="53" t="n">
        <f aca="false">SUM(J1842:N1842)</f>
        <v>-2.27346584419961</v>
      </c>
    </row>
    <row r="1843" customFormat="false" ht="15" hidden="false" customHeight="false" outlineLevel="0" collapsed="false">
      <c r="A1843" s="2" t="n">
        <v>1835</v>
      </c>
      <c r="B1843" s="53" t="n">
        <f aca="true">NORMINV(RAND(),0,B$7)</f>
        <v>0.332477092207994</v>
      </c>
      <c r="C1843" s="53" t="n">
        <f aca="true">NORMINV(RAND(),0,C$7)</f>
        <v>-0.537568226244388</v>
      </c>
      <c r="D1843" s="53" t="n">
        <f aca="true">NORMINV(RAND(),0,D$7)</f>
        <v>-2.59797185563526</v>
      </c>
      <c r="E1843" s="53" t="n">
        <f aca="true">NORMINV(RAND(),0,E$7)</f>
        <v>0.485420161709459</v>
      </c>
      <c r="F1843" s="53" t="n">
        <f aca="true">NORMINV(RAND(),0,F$7)</f>
        <v>0.0659945759883674</v>
      </c>
      <c r="G1843" s="53" t="n">
        <f aca="true">NORMINV(RAND(),0,G$7)</f>
        <v>-1.92503882306825</v>
      </c>
      <c r="H1843" s="53" t="n">
        <f aca="true">NORMINV(RAND(),0,H$7)</f>
        <v>0.339917451186016</v>
      </c>
      <c r="I1843" s="53" t="n">
        <f aca="false">SUM(B1843:H1843)</f>
        <v>-3.83676962385606</v>
      </c>
      <c r="J1843" s="53" t="n">
        <f aca="true">NORMINV(RAND(),0,J$7)</f>
        <v>2.32588903613464</v>
      </c>
      <c r="K1843" s="53" t="n">
        <f aca="true">NORMINV(RAND(),0,K$7)</f>
        <v>-0.10811335575895</v>
      </c>
      <c r="L1843" s="53" t="n">
        <f aca="true">NORMINV(RAND(),0,L$7)</f>
        <v>-0.169269410138402</v>
      </c>
      <c r="M1843" s="53" t="n">
        <f aca="true">NORMINV(RAND(),0,M$7)</f>
        <v>0.240512433915559</v>
      </c>
      <c r="N1843" s="53" t="n">
        <f aca="true">NORMINV(RAND(),0,N$7)</f>
        <v>0.00586302542610368</v>
      </c>
      <c r="O1843" s="53" t="n">
        <f aca="false">SUM(J1843:N1843)</f>
        <v>2.29488172957895</v>
      </c>
    </row>
    <row r="1844" customFormat="false" ht="15" hidden="false" customHeight="false" outlineLevel="0" collapsed="false">
      <c r="A1844" s="2" t="n">
        <v>1836</v>
      </c>
      <c r="B1844" s="53" t="n">
        <f aca="true">NORMINV(RAND(),0,B$7)</f>
        <v>2.29124654690081</v>
      </c>
      <c r="C1844" s="53" t="n">
        <f aca="true">NORMINV(RAND(),0,C$7)</f>
        <v>2.92551501020261</v>
      </c>
      <c r="D1844" s="53" t="n">
        <f aca="true">NORMINV(RAND(),0,D$7)</f>
        <v>-1.94215834641385</v>
      </c>
      <c r="E1844" s="53" t="n">
        <f aca="true">NORMINV(RAND(),0,E$7)</f>
        <v>-0.0294063668688684</v>
      </c>
      <c r="F1844" s="53" t="n">
        <f aca="true">NORMINV(RAND(),0,F$7)</f>
        <v>-0.183514814870504</v>
      </c>
      <c r="G1844" s="53" t="n">
        <f aca="true">NORMINV(RAND(),0,G$7)</f>
        <v>1.93452914296902</v>
      </c>
      <c r="H1844" s="53" t="n">
        <f aca="true">NORMINV(RAND(),0,H$7)</f>
        <v>-0.648610390618103</v>
      </c>
      <c r="I1844" s="53" t="n">
        <f aca="false">SUM(B1844:H1844)</f>
        <v>4.34760078130112</v>
      </c>
      <c r="J1844" s="53" t="n">
        <f aca="true">NORMINV(RAND(),0,J$7)</f>
        <v>-0.575832501618663</v>
      </c>
      <c r="K1844" s="53" t="n">
        <f aca="true">NORMINV(RAND(),0,K$7)</f>
        <v>0.784812039538966</v>
      </c>
      <c r="L1844" s="53" t="n">
        <f aca="true">NORMINV(RAND(),0,L$7)</f>
        <v>-0.250706611641168</v>
      </c>
      <c r="M1844" s="53" t="n">
        <f aca="true">NORMINV(RAND(),0,M$7)</f>
        <v>-0.0545103278342355</v>
      </c>
      <c r="N1844" s="53" t="n">
        <f aca="true">NORMINV(RAND(),0,N$7)</f>
        <v>0.377913172630158</v>
      </c>
      <c r="O1844" s="53" t="n">
        <f aca="false">SUM(J1844:N1844)</f>
        <v>0.281675771075058</v>
      </c>
    </row>
    <row r="1845" customFormat="false" ht="15" hidden="false" customHeight="false" outlineLevel="0" collapsed="false">
      <c r="A1845" s="2" t="n">
        <v>1837</v>
      </c>
      <c r="B1845" s="53" t="n">
        <f aca="true">NORMINV(RAND(),0,B$7)</f>
        <v>1.37089309672268</v>
      </c>
      <c r="C1845" s="53" t="n">
        <f aca="true">NORMINV(RAND(),0,C$7)</f>
        <v>0.698497290787999</v>
      </c>
      <c r="D1845" s="53" t="n">
        <f aca="true">NORMINV(RAND(),0,D$7)</f>
        <v>-0.374497717344421</v>
      </c>
      <c r="E1845" s="53" t="n">
        <f aca="true">NORMINV(RAND(),0,E$7)</f>
        <v>0.471052364834187</v>
      </c>
      <c r="F1845" s="53" t="n">
        <f aca="true">NORMINV(RAND(),0,F$7)</f>
        <v>0.19277853789442</v>
      </c>
      <c r="G1845" s="53" t="n">
        <f aca="true">NORMINV(RAND(),0,G$7)</f>
        <v>0.503185408798406</v>
      </c>
      <c r="H1845" s="53" t="n">
        <f aca="true">NORMINV(RAND(),0,H$7)</f>
        <v>-0.475112204692858</v>
      </c>
      <c r="I1845" s="53" t="n">
        <f aca="false">SUM(B1845:H1845)</f>
        <v>2.38679677700041</v>
      </c>
      <c r="J1845" s="53" t="n">
        <f aca="true">NORMINV(RAND(),0,J$7)</f>
        <v>-0.76874302867005</v>
      </c>
      <c r="K1845" s="53" t="n">
        <f aca="true">NORMINV(RAND(),0,K$7)</f>
        <v>0.796953487383925</v>
      </c>
      <c r="L1845" s="53" t="n">
        <f aca="true">NORMINV(RAND(),0,L$7)</f>
        <v>0.585881154343972</v>
      </c>
      <c r="M1845" s="53" t="n">
        <f aca="true">NORMINV(RAND(),0,M$7)</f>
        <v>-0.0281223723926417</v>
      </c>
      <c r="N1845" s="53" t="n">
        <f aca="true">NORMINV(RAND(),0,N$7)</f>
        <v>0.425360692977877</v>
      </c>
      <c r="O1845" s="53" t="n">
        <f aca="false">SUM(J1845:N1845)</f>
        <v>1.01132993364308</v>
      </c>
    </row>
    <row r="1846" customFormat="false" ht="15" hidden="false" customHeight="false" outlineLevel="0" collapsed="false">
      <c r="A1846" s="2" t="n">
        <v>1838</v>
      </c>
      <c r="B1846" s="53" t="n">
        <f aca="true">NORMINV(RAND(),0,B$7)</f>
        <v>-0.203318093962194</v>
      </c>
      <c r="C1846" s="53" t="n">
        <f aca="true">NORMINV(RAND(),0,C$7)</f>
        <v>0.938258451164317</v>
      </c>
      <c r="D1846" s="53" t="n">
        <f aca="true">NORMINV(RAND(),0,D$7)</f>
        <v>-1.14121719081974</v>
      </c>
      <c r="E1846" s="53" t="n">
        <f aca="true">NORMINV(RAND(),0,E$7)</f>
        <v>-0.29034527161111</v>
      </c>
      <c r="F1846" s="53" t="n">
        <f aca="true">NORMINV(RAND(),0,F$7)</f>
        <v>0.0946178735618482</v>
      </c>
      <c r="G1846" s="53" t="n">
        <f aca="true">NORMINV(RAND(),0,G$7)</f>
        <v>1.35502829418573</v>
      </c>
      <c r="H1846" s="53" t="n">
        <f aca="true">NORMINV(RAND(),0,H$7)</f>
        <v>0.218865016913454</v>
      </c>
      <c r="I1846" s="53" t="n">
        <f aca="false">SUM(B1846:H1846)</f>
        <v>0.971889079432306</v>
      </c>
      <c r="J1846" s="53" t="n">
        <f aca="true">NORMINV(RAND(),0,J$7)</f>
        <v>-0.110177879780512</v>
      </c>
      <c r="K1846" s="53" t="n">
        <f aca="true">NORMINV(RAND(),0,K$7)</f>
        <v>-0.00363939471029806</v>
      </c>
      <c r="L1846" s="53" t="n">
        <f aca="true">NORMINV(RAND(),0,L$7)</f>
        <v>-0.208348151387355</v>
      </c>
      <c r="M1846" s="53" t="n">
        <f aca="true">NORMINV(RAND(),0,M$7)</f>
        <v>-0.0907312203443832</v>
      </c>
      <c r="N1846" s="53" t="n">
        <f aca="true">NORMINV(RAND(),0,N$7)</f>
        <v>-0.133834341089592</v>
      </c>
      <c r="O1846" s="53" t="n">
        <f aca="false">SUM(J1846:N1846)</f>
        <v>-0.546730987312141</v>
      </c>
    </row>
    <row r="1847" customFormat="false" ht="15" hidden="false" customHeight="false" outlineLevel="0" collapsed="false">
      <c r="A1847" s="2" t="n">
        <v>1839</v>
      </c>
      <c r="B1847" s="53" t="n">
        <f aca="true">NORMINV(RAND(),0,B$7)</f>
        <v>0.702759501257296</v>
      </c>
      <c r="C1847" s="53" t="n">
        <f aca="true">NORMINV(RAND(),0,C$7)</f>
        <v>0.961428584022223</v>
      </c>
      <c r="D1847" s="53" t="n">
        <f aca="true">NORMINV(RAND(),0,D$7)</f>
        <v>0.597187345179815</v>
      </c>
      <c r="E1847" s="53" t="n">
        <f aca="true">NORMINV(RAND(),0,E$7)</f>
        <v>-0.0154946119198028</v>
      </c>
      <c r="F1847" s="53" t="n">
        <f aca="true">NORMINV(RAND(),0,F$7)</f>
        <v>-0.565597968175828</v>
      </c>
      <c r="G1847" s="53" t="n">
        <f aca="true">NORMINV(RAND(),0,G$7)</f>
        <v>1.70610835945081</v>
      </c>
      <c r="H1847" s="53" t="n">
        <f aca="true">NORMINV(RAND(),0,H$7)</f>
        <v>0.170159697121196</v>
      </c>
      <c r="I1847" s="53" t="n">
        <f aca="false">SUM(B1847:H1847)</f>
        <v>3.55655090693571</v>
      </c>
      <c r="J1847" s="53" t="n">
        <f aca="true">NORMINV(RAND(),0,J$7)</f>
        <v>-1.5624942612934</v>
      </c>
      <c r="K1847" s="53" t="n">
        <f aca="true">NORMINV(RAND(),0,K$7)</f>
        <v>0.3185283046222</v>
      </c>
      <c r="L1847" s="53" t="n">
        <f aca="true">NORMINV(RAND(),0,L$7)</f>
        <v>-0.222681599043463</v>
      </c>
      <c r="M1847" s="53" t="n">
        <f aca="true">NORMINV(RAND(),0,M$7)</f>
        <v>-0.0635942542917239</v>
      </c>
      <c r="N1847" s="53" t="n">
        <f aca="true">NORMINV(RAND(),0,N$7)</f>
        <v>0.390385891477421</v>
      </c>
      <c r="O1847" s="53" t="n">
        <f aca="false">SUM(J1847:N1847)</f>
        <v>-1.13985591852897</v>
      </c>
    </row>
    <row r="1848" customFormat="false" ht="15" hidden="false" customHeight="false" outlineLevel="0" collapsed="false">
      <c r="A1848" s="2" t="n">
        <v>1840</v>
      </c>
      <c r="B1848" s="53" t="n">
        <f aca="true">NORMINV(RAND(),0,B$7)</f>
        <v>-0.919549215399967</v>
      </c>
      <c r="C1848" s="53" t="n">
        <f aca="true">NORMINV(RAND(),0,C$7)</f>
        <v>-1.14409119489324</v>
      </c>
      <c r="D1848" s="53" t="n">
        <f aca="true">NORMINV(RAND(),0,D$7)</f>
        <v>-1.59423204031612</v>
      </c>
      <c r="E1848" s="53" t="n">
        <f aca="true">NORMINV(RAND(),0,E$7)</f>
        <v>-0.00415578178453468</v>
      </c>
      <c r="F1848" s="53" t="n">
        <f aca="true">NORMINV(RAND(),0,F$7)</f>
        <v>0.152128922169144</v>
      </c>
      <c r="G1848" s="53" t="n">
        <f aca="true">NORMINV(RAND(),0,G$7)</f>
        <v>-1.39801588860792</v>
      </c>
      <c r="H1848" s="53" t="n">
        <f aca="true">NORMINV(RAND(),0,H$7)</f>
        <v>-0.470244863077531</v>
      </c>
      <c r="I1848" s="53" t="n">
        <f aca="false">SUM(B1848:H1848)</f>
        <v>-5.37816006191017</v>
      </c>
      <c r="J1848" s="53" t="n">
        <f aca="true">NORMINV(RAND(),0,J$7)</f>
        <v>-3.22820502398119</v>
      </c>
      <c r="K1848" s="53" t="n">
        <f aca="true">NORMINV(RAND(),0,K$7)</f>
        <v>-0.0571017755189096</v>
      </c>
      <c r="L1848" s="53" t="n">
        <f aca="true">NORMINV(RAND(),0,L$7)</f>
        <v>0.527972526560987</v>
      </c>
      <c r="M1848" s="53" t="n">
        <f aca="true">NORMINV(RAND(),0,M$7)</f>
        <v>0.268243410134229</v>
      </c>
      <c r="N1848" s="53" t="n">
        <f aca="true">NORMINV(RAND(),0,N$7)</f>
        <v>-0.0245282545094627</v>
      </c>
      <c r="O1848" s="53" t="n">
        <f aca="false">SUM(J1848:N1848)</f>
        <v>-2.51361911731435</v>
      </c>
    </row>
    <row r="1849" customFormat="false" ht="15" hidden="false" customHeight="false" outlineLevel="0" collapsed="false">
      <c r="A1849" s="2" t="n">
        <v>1841</v>
      </c>
      <c r="B1849" s="53" t="n">
        <f aca="true">NORMINV(RAND(),0,B$7)</f>
        <v>-1.11954283709306</v>
      </c>
      <c r="C1849" s="53" t="n">
        <f aca="true">NORMINV(RAND(),0,C$7)</f>
        <v>-0.74917687083379</v>
      </c>
      <c r="D1849" s="53" t="n">
        <f aca="true">NORMINV(RAND(),0,D$7)</f>
        <v>3.28775901328152</v>
      </c>
      <c r="E1849" s="53" t="n">
        <f aca="true">NORMINV(RAND(),0,E$7)</f>
        <v>0.86176515473618</v>
      </c>
      <c r="F1849" s="53" t="n">
        <f aca="true">NORMINV(RAND(),0,F$7)</f>
        <v>-0.0637369465711074</v>
      </c>
      <c r="G1849" s="53" t="n">
        <f aca="true">NORMINV(RAND(),0,G$7)</f>
        <v>-1.26904955877328</v>
      </c>
      <c r="H1849" s="53" t="n">
        <f aca="true">NORMINV(RAND(),0,H$7)</f>
        <v>-0.744798301318357</v>
      </c>
      <c r="I1849" s="53" t="n">
        <f aca="false">SUM(B1849:H1849)</f>
        <v>0.203219653428107</v>
      </c>
      <c r="J1849" s="53" t="n">
        <f aca="true">NORMINV(RAND(),0,J$7)</f>
        <v>4.62799695571771</v>
      </c>
      <c r="K1849" s="53" t="n">
        <f aca="true">NORMINV(RAND(),0,K$7)</f>
        <v>0.470005767179778</v>
      </c>
      <c r="L1849" s="53" t="n">
        <f aca="true">NORMINV(RAND(),0,L$7)</f>
        <v>-0.194014612616324</v>
      </c>
      <c r="M1849" s="53" t="n">
        <f aca="true">NORMINV(RAND(),0,M$7)</f>
        <v>0.0351739701557392</v>
      </c>
      <c r="N1849" s="53" t="n">
        <f aca="true">NORMINV(RAND(),0,N$7)</f>
        <v>-0.207045050116391</v>
      </c>
      <c r="O1849" s="53" t="n">
        <f aca="false">SUM(J1849:N1849)</f>
        <v>4.73211703032052</v>
      </c>
    </row>
    <row r="1850" customFormat="false" ht="15" hidden="false" customHeight="false" outlineLevel="0" collapsed="false">
      <c r="A1850" s="2" t="n">
        <v>1842</v>
      </c>
      <c r="B1850" s="53" t="n">
        <f aca="true">NORMINV(RAND(),0,B$7)</f>
        <v>-1.08794990240286</v>
      </c>
      <c r="C1850" s="53" t="n">
        <f aca="true">NORMINV(RAND(),0,C$7)</f>
        <v>-1.50738846427328</v>
      </c>
      <c r="D1850" s="53" t="n">
        <f aca="true">NORMINV(RAND(),0,D$7)</f>
        <v>2.03900668892853</v>
      </c>
      <c r="E1850" s="53" t="n">
        <f aca="true">NORMINV(RAND(),0,E$7)</f>
        <v>-0.339153411861355</v>
      </c>
      <c r="F1850" s="53" t="n">
        <f aca="true">NORMINV(RAND(),0,F$7)</f>
        <v>0.0253891713651775</v>
      </c>
      <c r="G1850" s="53" t="n">
        <f aca="true">NORMINV(RAND(),0,G$7)</f>
        <v>-1.76111939291035</v>
      </c>
      <c r="H1850" s="53" t="n">
        <f aca="true">NORMINV(RAND(),0,H$7)</f>
        <v>-0.067253182947775</v>
      </c>
      <c r="I1850" s="53" t="n">
        <f aca="false">SUM(B1850:H1850)</f>
        <v>-2.69846849410191</v>
      </c>
      <c r="J1850" s="53" t="n">
        <f aca="true">NORMINV(RAND(),0,J$7)</f>
        <v>3.003340122221</v>
      </c>
      <c r="K1850" s="53" t="n">
        <f aca="true">NORMINV(RAND(),0,K$7)</f>
        <v>-0.657722030265085</v>
      </c>
      <c r="L1850" s="53" t="n">
        <f aca="true">NORMINV(RAND(),0,L$7)</f>
        <v>0.0938575133705964</v>
      </c>
      <c r="M1850" s="53" t="n">
        <f aca="true">NORMINV(RAND(),0,M$7)</f>
        <v>0.0320733218383295</v>
      </c>
      <c r="N1850" s="53" t="n">
        <f aca="true">NORMINV(RAND(),0,N$7)</f>
        <v>-0.0246159493467885</v>
      </c>
      <c r="O1850" s="53" t="n">
        <f aca="false">SUM(J1850:N1850)</f>
        <v>2.44693297781806</v>
      </c>
    </row>
    <row r="1851" customFormat="false" ht="15" hidden="false" customHeight="false" outlineLevel="0" collapsed="false">
      <c r="A1851" s="2" t="n">
        <v>1843</v>
      </c>
      <c r="B1851" s="53" t="n">
        <f aca="true">NORMINV(RAND(),0,B$7)</f>
        <v>-0.527678322403113</v>
      </c>
      <c r="C1851" s="53" t="n">
        <f aca="true">NORMINV(RAND(),0,C$7)</f>
        <v>-1.61691136573254</v>
      </c>
      <c r="D1851" s="53" t="n">
        <f aca="true">NORMINV(RAND(),0,D$7)</f>
        <v>-0.570322126385435</v>
      </c>
      <c r="E1851" s="53" t="n">
        <f aca="true">NORMINV(RAND(),0,E$7)</f>
        <v>0.0459194836601626</v>
      </c>
      <c r="F1851" s="53" t="n">
        <f aca="true">NORMINV(RAND(),0,F$7)</f>
        <v>-0.282744284043082</v>
      </c>
      <c r="G1851" s="53" t="n">
        <f aca="true">NORMINV(RAND(),0,G$7)</f>
        <v>2.05535209854631</v>
      </c>
      <c r="H1851" s="53" t="n">
        <f aca="true">NORMINV(RAND(),0,H$7)</f>
        <v>0.0989685113435535</v>
      </c>
      <c r="I1851" s="53" t="n">
        <f aca="false">SUM(B1851:H1851)</f>
        <v>-0.797416005014136</v>
      </c>
      <c r="J1851" s="53" t="n">
        <f aca="true">NORMINV(RAND(),0,J$7)</f>
        <v>-1.39420632695601</v>
      </c>
      <c r="K1851" s="53" t="n">
        <f aca="true">NORMINV(RAND(),0,K$7)</f>
        <v>0.426680103271809</v>
      </c>
      <c r="L1851" s="53" t="n">
        <f aca="true">NORMINV(RAND(),0,L$7)</f>
        <v>-0.0959474425101038</v>
      </c>
      <c r="M1851" s="53" t="n">
        <f aca="true">NORMINV(RAND(),0,M$7)</f>
        <v>-0.253724342826307</v>
      </c>
      <c r="N1851" s="53" t="n">
        <f aca="true">NORMINV(RAND(),0,N$7)</f>
        <v>-0.53706437352964</v>
      </c>
      <c r="O1851" s="53" t="n">
        <f aca="false">SUM(J1851:N1851)</f>
        <v>-1.85426238255025</v>
      </c>
    </row>
    <row r="1852" customFormat="false" ht="15" hidden="false" customHeight="false" outlineLevel="0" collapsed="false">
      <c r="A1852" s="2" t="n">
        <v>1844</v>
      </c>
      <c r="B1852" s="53" t="n">
        <f aca="true">NORMINV(RAND(),0,B$7)</f>
        <v>-1.08509656814266</v>
      </c>
      <c r="C1852" s="53" t="n">
        <f aca="true">NORMINV(RAND(),0,C$7)</f>
        <v>-1.98061383041871</v>
      </c>
      <c r="D1852" s="53" t="n">
        <f aca="true">NORMINV(RAND(),0,D$7)</f>
        <v>2.99007419256213</v>
      </c>
      <c r="E1852" s="53" t="n">
        <f aca="true">NORMINV(RAND(),0,E$7)</f>
        <v>-0.0606309143803538</v>
      </c>
      <c r="F1852" s="53" t="n">
        <f aca="true">NORMINV(RAND(),0,F$7)</f>
        <v>-0.367822812286837</v>
      </c>
      <c r="G1852" s="53" t="n">
        <f aca="true">NORMINV(RAND(),0,G$7)</f>
        <v>0.0120034030783419</v>
      </c>
      <c r="H1852" s="53" t="n">
        <f aca="true">NORMINV(RAND(),0,H$7)</f>
        <v>0.133216033655558</v>
      </c>
      <c r="I1852" s="53" t="n">
        <f aca="false">SUM(B1852:H1852)</f>
        <v>-0.358870495932533</v>
      </c>
      <c r="J1852" s="53" t="n">
        <f aca="true">NORMINV(RAND(),0,J$7)</f>
        <v>1.86122575154818</v>
      </c>
      <c r="K1852" s="53" t="n">
        <f aca="true">NORMINV(RAND(),0,K$7)</f>
        <v>0.778373774096349</v>
      </c>
      <c r="L1852" s="53" t="n">
        <f aca="true">NORMINV(RAND(),0,L$7)</f>
        <v>-0.340173819795693</v>
      </c>
      <c r="M1852" s="53" t="n">
        <f aca="true">NORMINV(RAND(),0,M$7)</f>
        <v>-0.122504808778506</v>
      </c>
      <c r="N1852" s="53" t="n">
        <f aca="true">NORMINV(RAND(),0,N$7)</f>
        <v>-0.0681680028876629</v>
      </c>
      <c r="O1852" s="53" t="n">
        <f aca="false">SUM(J1852:N1852)</f>
        <v>2.10875289418267</v>
      </c>
    </row>
    <row r="1853" customFormat="false" ht="15" hidden="false" customHeight="false" outlineLevel="0" collapsed="false">
      <c r="A1853" s="2" t="n">
        <v>1845</v>
      </c>
      <c r="B1853" s="53" t="n">
        <f aca="true">NORMINV(RAND(),0,B$7)</f>
        <v>2.92306467193397</v>
      </c>
      <c r="C1853" s="53" t="n">
        <f aca="true">NORMINV(RAND(),0,C$7)</f>
        <v>-0.837540394274318</v>
      </c>
      <c r="D1853" s="53" t="n">
        <f aca="true">NORMINV(RAND(),0,D$7)</f>
        <v>1.18850746334783</v>
      </c>
      <c r="E1853" s="53" t="n">
        <f aca="true">NORMINV(RAND(),0,E$7)</f>
        <v>-0.929099419757437</v>
      </c>
      <c r="F1853" s="53" t="n">
        <f aca="true">NORMINV(RAND(),0,F$7)</f>
        <v>0.275227742742533</v>
      </c>
      <c r="G1853" s="53" t="n">
        <f aca="true">NORMINV(RAND(),0,G$7)</f>
        <v>-1.13063787237835</v>
      </c>
      <c r="H1853" s="53" t="n">
        <f aca="true">NORMINV(RAND(),0,H$7)</f>
        <v>-0.722430699751525</v>
      </c>
      <c r="I1853" s="53" t="n">
        <f aca="false">SUM(B1853:H1853)</f>
        <v>0.767091491862702</v>
      </c>
      <c r="J1853" s="53" t="n">
        <f aca="true">NORMINV(RAND(),0,J$7)</f>
        <v>-0.222755337747227</v>
      </c>
      <c r="K1853" s="53" t="n">
        <f aca="true">NORMINV(RAND(),0,K$7)</f>
        <v>-0.206140537565706</v>
      </c>
      <c r="L1853" s="53" t="n">
        <f aca="true">NORMINV(RAND(),0,L$7)</f>
        <v>0.225848364082355</v>
      </c>
      <c r="M1853" s="53" t="n">
        <f aca="true">NORMINV(RAND(),0,M$7)</f>
        <v>0.0215410958198246</v>
      </c>
      <c r="N1853" s="53" t="n">
        <f aca="true">NORMINV(RAND(),0,N$7)</f>
        <v>0.43327726897571</v>
      </c>
      <c r="O1853" s="53" t="n">
        <f aca="false">SUM(J1853:N1853)</f>
        <v>0.251770853564957</v>
      </c>
    </row>
    <row r="1854" customFormat="false" ht="15" hidden="false" customHeight="false" outlineLevel="0" collapsed="false">
      <c r="A1854" s="2" t="n">
        <v>1846</v>
      </c>
      <c r="B1854" s="53" t="n">
        <f aca="true">NORMINV(RAND(),0,B$7)</f>
        <v>-0.768013440906915</v>
      </c>
      <c r="C1854" s="53" t="n">
        <f aca="true">NORMINV(RAND(),0,C$7)</f>
        <v>1.75570328528034</v>
      </c>
      <c r="D1854" s="53" t="n">
        <f aca="true">NORMINV(RAND(),0,D$7)</f>
        <v>0.831263566780253</v>
      </c>
      <c r="E1854" s="53" t="n">
        <f aca="true">NORMINV(RAND(),0,E$7)</f>
        <v>-0.667736620847944</v>
      </c>
      <c r="F1854" s="53" t="n">
        <f aca="true">NORMINV(RAND(),0,F$7)</f>
        <v>0.636809343221299</v>
      </c>
      <c r="G1854" s="53" t="n">
        <f aca="true">NORMINV(RAND(),0,G$7)</f>
        <v>2.07719978579654</v>
      </c>
      <c r="H1854" s="53" t="n">
        <f aca="true">NORMINV(RAND(),0,H$7)</f>
        <v>-0.0147875910882812</v>
      </c>
      <c r="I1854" s="53" t="n">
        <f aca="false">SUM(B1854:H1854)</f>
        <v>3.85043832823529</v>
      </c>
      <c r="J1854" s="53" t="n">
        <f aca="true">NORMINV(RAND(),0,J$7)</f>
        <v>0.676307076709142</v>
      </c>
      <c r="K1854" s="53" t="n">
        <f aca="true">NORMINV(RAND(),0,K$7)</f>
        <v>0.142678859556953</v>
      </c>
      <c r="L1854" s="53" t="n">
        <f aca="true">NORMINV(RAND(),0,L$7)</f>
        <v>-0.213523154233535</v>
      </c>
      <c r="M1854" s="53" t="n">
        <f aca="true">NORMINV(RAND(),0,M$7)</f>
        <v>-0.0424554791643706</v>
      </c>
      <c r="N1854" s="53" t="n">
        <f aca="true">NORMINV(RAND(),0,N$7)</f>
        <v>0.233890558074828</v>
      </c>
      <c r="O1854" s="53" t="n">
        <f aca="false">SUM(J1854:N1854)</f>
        <v>0.796897860943017</v>
      </c>
    </row>
    <row r="1855" customFormat="false" ht="15" hidden="false" customHeight="false" outlineLevel="0" collapsed="false">
      <c r="A1855" s="2" t="n">
        <v>1847</v>
      </c>
      <c r="B1855" s="53" t="n">
        <f aca="true">NORMINV(RAND(),0,B$7)</f>
        <v>-0.611317655117878</v>
      </c>
      <c r="C1855" s="53" t="n">
        <f aca="true">NORMINV(RAND(),0,C$7)</f>
        <v>-0.749062527180885</v>
      </c>
      <c r="D1855" s="53" t="n">
        <f aca="true">NORMINV(RAND(),0,D$7)</f>
        <v>-3.02416087493352</v>
      </c>
      <c r="E1855" s="53" t="n">
        <f aca="true">NORMINV(RAND(),0,E$7)</f>
        <v>0.0703475231046427</v>
      </c>
      <c r="F1855" s="53" t="n">
        <f aca="true">NORMINV(RAND(),0,F$7)</f>
        <v>0.302471538451717</v>
      </c>
      <c r="G1855" s="53" t="n">
        <f aca="true">NORMINV(RAND(),0,G$7)</f>
        <v>-1.03969889240616</v>
      </c>
      <c r="H1855" s="53" t="n">
        <f aca="true">NORMINV(RAND(),0,H$7)</f>
        <v>-0.702518319118826</v>
      </c>
      <c r="I1855" s="53" t="n">
        <f aca="false">SUM(B1855:H1855)</f>
        <v>-5.75393920720091</v>
      </c>
      <c r="J1855" s="53" t="n">
        <f aca="true">NORMINV(RAND(),0,J$7)</f>
        <v>2.37702068042013</v>
      </c>
      <c r="K1855" s="53" t="n">
        <f aca="true">NORMINV(RAND(),0,K$7)</f>
        <v>-0.87809668091015</v>
      </c>
      <c r="L1855" s="53" t="n">
        <f aca="true">NORMINV(RAND(),0,L$7)</f>
        <v>-0.176983006712211</v>
      </c>
      <c r="M1855" s="53" t="n">
        <f aca="true">NORMINV(RAND(),0,M$7)</f>
        <v>-0.292215631776345</v>
      </c>
      <c r="N1855" s="53" t="n">
        <f aca="true">NORMINV(RAND(),0,N$7)</f>
        <v>-0.0626167871298898</v>
      </c>
      <c r="O1855" s="53" t="n">
        <f aca="false">SUM(J1855:N1855)</f>
        <v>0.967108573891534</v>
      </c>
    </row>
    <row r="1856" customFormat="false" ht="15" hidden="false" customHeight="false" outlineLevel="0" collapsed="false">
      <c r="A1856" s="2" t="n">
        <v>1848</v>
      </c>
      <c r="B1856" s="53" t="n">
        <f aca="true">NORMINV(RAND(),0,B$7)</f>
        <v>-0.818714775427753</v>
      </c>
      <c r="C1856" s="53" t="n">
        <f aca="true">NORMINV(RAND(),0,C$7)</f>
        <v>1.368026814666</v>
      </c>
      <c r="D1856" s="53" t="n">
        <f aca="true">NORMINV(RAND(),0,D$7)</f>
        <v>1.26307356109439</v>
      </c>
      <c r="E1856" s="53" t="n">
        <f aca="true">NORMINV(RAND(),0,E$7)</f>
        <v>-0.201911563212919</v>
      </c>
      <c r="F1856" s="53" t="n">
        <f aca="true">NORMINV(RAND(),0,F$7)</f>
        <v>0.219078615370628</v>
      </c>
      <c r="G1856" s="53" t="n">
        <f aca="true">NORMINV(RAND(),0,G$7)</f>
        <v>-0.785501734785684</v>
      </c>
      <c r="H1856" s="53" t="n">
        <f aca="true">NORMINV(RAND(),0,H$7)</f>
        <v>0.116125347809426</v>
      </c>
      <c r="I1856" s="53" t="n">
        <f aca="false">SUM(B1856:H1856)</f>
        <v>1.16017626551409</v>
      </c>
      <c r="J1856" s="53" t="n">
        <f aca="true">NORMINV(RAND(),0,J$7)</f>
        <v>-3.93971260099098</v>
      </c>
      <c r="K1856" s="53" t="n">
        <f aca="true">NORMINV(RAND(),0,K$7)</f>
        <v>-0.932253973830231</v>
      </c>
      <c r="L1856" s="53" t="n">
        <f aca="true">NORMINV(RAND(),0,L$7)</f>
        <v>-0.171643104116217</v>
      </c>
      <c r="M1856" s="53" t="n">
        <f aca="true">NORMINV(RAND(),0,M$7)</f>
        <v>0.101259947726712</v>
      </c>
      <c r="N1856" s="53" t="n">
        <f aca="true">NORMINV(RAND(),0,N$7)</f>
        <v>0.241664743640452</v>
      </c>
      <c r="O1856" s="53" t="n">
        <f aca="false">SUM(J1856:N1856)</f>
        <v>-4.70068498757026</v>
      </c>
    </row>
    <row r="1857" customFormat="false" ht="15" hidden="false" customHeight="false" outlineLevel="0" collapsed="false">
      <c r="A1857" s="2" t="n">
        <v>1849</v>
      </c>
      <c r="B1857" s="53" t="n">
        <f aca="true">NORMINV(RAND(),0,B$7)</f>
        <v>1.3488141831424</v>
      </c>
      <c r="C1857" s="53" t="n">
        <f aca="true">NORMINV(RAND(),0,C$7)</f>
        <v>-1.73389867114991</v>
      </c>
      <c r="D1857" s="53" t="n">
        <f aca="true">NORMINV(RAND(),0,D$7)</f>
        <v>-0.94810861199589</v>
      </c>
      <c r="E1857" s="53" t="n">
        <f aca="true">NORMINV(RAND(),0,E$7)</f>
        <v>0.339308977927939</v>
      </c>
      <c r="F1857" s="53" t="n">
        <f aca="true">NORMINV(RAND(),0,F$7)</f>
        <v>0.395314048626616</v>
      </c>
      <c r="G1857" s="53" t="n">
        <f aca="true">NORMINV(RAND(),0,G$7)</f>
        <v>1.29090549872581</v>
      </c>
      <c r="H1857" s="53" t="n">
        <f aca="true">NORMINV(RAND(),0,H$7)</f>
        <v>-0.01587662536132</v>
      </c>
      <c r="I1857" s="53" t="n">
        <f aca="false">SUM(B1857:H1857)</f>
        <v>0.67645879991565</v>
      </c>
      <c r="J1857" s="53" t="n">
        <f aca="true">NORMINV(RAND(),0,J$7)</f>
        <v>-1.05596049572379</v>
      </c>
      <c r="K1857" s="53" t="n">
        <f aca="true">NORMINV(RAND(),0,K$7)</f>
        <v>-0.400753206786319</v>
      </c>
      <c r="L1857" s="53" t="n">
        <f aca="true">NORMINV(RAND(),0,L$7)</f>
        <v>-0.418362015529306</v>
      </c>
      <c r="M1857" s="53" t="n">
        <f aca="true">NORMINV(RAND(),0,M$7)</f>
        <v>-0.230318714043835</v>
      </c>
      <c r="N1857" s="53" t="n">
        <f aca="true">NORMINV(RAND(),0,N$7)</f>
        <v>-0.0480683000059542</v>
      </c>
      <c r="O1857" s="53" t="n">
        <f aca="false">SUM(J1857:N1857)</f>
        <v>-2.1534627320892</v>
      </c>
    </row>
    <row r="1858" customFormat="false" ht="15" hidden="false" customHeight="false" outlineLevel="0" collapsed="false">
      <c r="A1858" s="2" t="n">
        <v>1850</v>
      </c>
      <c r="B1858" s="53" t="n">
        <f aca="true">NORMINV(RAND(),0,B$7)</f>
        <v>1.00889460324842</v>
      </c>
      <c r="C1858" s="53" t="n">
        <f aca="true">NORMINV(RAND(),0,C$7)</f>
        <v>-2.58004484476183</v>
      </c>
      <c r="D1858" s="53" t="n">
        <f aca="true">NORMINV(RAND(),0,D$7)</f>
        <v>-0.744818805677841</v>
      </c>
      <c r="E1858" s="53" t="n">
        <f aca="true">NORMINV(RAND(),0,E$7)</f>
        <v>-0.549982214727368</v>
      </c>
      <c r="F1858" s="53" t="n">
        <f aca="true">NORMINV(RAND(),0,F$7)</f>
        <v>-0.037880003553798</v>
      </c>
      <c r="G1858" s="53" t="n">
        <f aca="true">NORMINV(RAND(),0,G$7)</f>
        <v>-1.17515642220165</v>
      </c>
      <c r="H1858" s="53" t="n">
        <f aca="true">NORMINV(RAND(),0,H$7)</f>
        <v>0.197543853176601</v>
      </c>
      <c r="I1858" s="53" t="n">
        <f aca="false">SUM(B1858:H1858)</f>
        <v>-3.88144383449747</v>
      </c>
      <c r="J1858" s="53" t="n">
        <f aca="true">NORMINV(RAND(),0,J$7)</f>
        <v>-2.51117587624988</v>
      </c>
      <c r="K1858" s="53" t="n">
        <f aca="true">NORMINV(RAND(),0,K$7)</f>
        <v>-0.81368764364708</v>
      </c>
      <c r="L1858" s="53" t="n">
        <f aca="true">NORMINV(RAND(),0,L$7)</f>
        <v>-0.183313151870561</v>
      </c>
      <c r="M1858" s="53" t="n">
        <f aca="true">NORMINV(RAND(),0,M$7)</f>
        <v>-0.277180767399029</v>
      </c>
      <c r="N1858" s="53" t="n">
        <f aca="true">NORMINV(RAND(),0,N$7)</f>
        <v>-0.0941490581796971</v>
      </c>
      <c r="O1858" s="53" t="n">
        <f aca="false">SUM(J1858:N1858)</f>
        <v>-3.87950649734625</v>
      </c>
    </row>
    <row r="1859" customFormat="false" ht="15" hidden="false" customHeight="false" outlineLevel="0" collapsed="false">
      <c r="A1859" s="2" t="n">
        <v>1851</v>
      </c>
      <c r="B1859" s="53" t="n">
        <f aca="true">NORMINV(RAND(),0,B$7)</f>
        <v>0.866443511034789</v>
      </c>
      <c r="C1859" s="53" t="n">
        <f aca="true">NORMINV(RAND(),0,C$7)</f>
        <v>-1.50687512121585</v>
      </c>
      <c r="D1859" s="53" t="n">
        <f aca="true">NORMINV(RAND(),0,D$7)</f>
        <v>-0.73066268722831</v>
      </c>
      <c r="E1859" s="53" t="n">
        <f aca="true">NORMINV(RAND(),0,E$7)</f>
        <v>-0.566109008154396</v>
      </c>
      <c r="F1859" s="53" t="n">
        <f aca="true">NORMINV(RAND(),0,F$7)</f>
        <v>-0.133273294432372</v>
      </c>
      <c r="G1859" s="53" t="n">
        <f aca="true">NORMINV(RAND(),0,G$7)</f>
        <v>0.439826226547176</v>
      </c>
      <c r="H1859" s="53" t="n">
        <f aca="true">NORMINV(RAND(),0,H$7)</f>
        <v>0.690517357100214</v>
      </c>
      <c r="I1859" s="53" t="n">
        <f aca="false">SUM(B1859:H1859)</f>
        <v>-0.940133016348744</v>
      </c>
      <c r="J1859" s="53" t="n">
        <f aca="true">NORMINV(RAND(),0,J$7)</f>
        <v>-2.7794914950445</v>
      </c>
      <c r="K1859" s="53" t="n">
        <f aca="true">NORMINV(RAND(),0,K$7)</f>
        <v>0.106748608593288</v>
      </c>
      <c r="L1859" s="53" t="n">
        <f aca="true">NORMINV(RAND(),0,L$7)</f>
        <v>-0.377636114358089</v>
      </c>
      <c r="M1859" s="53" t="n">
        <f aca="true">NORMINV(RAND(),0,M$7)</f>
        <v>-0.17078625078238</v>
      </c>
      <c r="N1859" s="53" t="n">
        <f aca="true">NORMINV(RAND(),0,N$7)</f>
        <v>-0.425988879981102</v>
      </c>
      <c r="O1859" s="53" t="n">
        <f aca="false">SUM(J1859:N1859)</f>
        <v>-3.64715413157279</v>
      </c>
    </row>
    <row r="1860" customFormat="false" ht="15" hidden="false" customHeight="false" outlineLevel="0" collapsed="false">
      <c r="A1860" s="2" t="n">
        <v>1852</v>
      </c>
      <c r="B1860" s="53" t="n">
        <f aca="true">NORMINV(RAND(),0,B$7)</f>
        <v>0.0858379639650401</v>
      </c>
      <c r="C1860" s="53" t="n">
        <f aca="true">NORMINV(RAND(),0,C$7)</f>
        <v>1.05268828869277</v>
      </c>
      <c r="D1860" s="53" t="n">
        <f aca="true">NORMINV(RAND(),0,D$7)</f>
        <v>0.253593308921876</v>
      </c>
      <c r="E1860" s="53" t="n">
        <f aca="true">NORMINV(RAND(),0,E$7)</f>
        <v>-0.372078364232983</v>
      </c>
      <c r="F1860" s="53" t="n">
        <f aca="true">NORMINV(RAND(),0,F$7)</f>
        <v>0.0828677513488707</v>
      </c>
      <c r="G1860" s="53" t="n">
        <f aca="true">NORMINV(RAND(),0,G$7)</f>
        <v>-0.526459126378552</v>
      </c>
      <c r="H1860" s="53" t="n">
        <f aca="true">NORMINV(RAND(),0,H$7)</f>
        <v>0.140965562974727</v>
      </c>
      <c r="I1860" s="53" t="n">
        <f aca="false">SUM(B1860:H1860)</f>
        <v>0.717415385291744</v>
      </c>
      <c r="J1860" s="53" t="n">
        <f aca="true">NORMINV(RAND(),0,J$7)</f>
        <v>-0.317573339785447</v>
      </c>
      <c r="K1860" s="53" t="n">
        <f aca="true">NORMINV(RAND(),0,K$7)</f>
        <v>-1.05182886009345</v>
      </c>
      <c r="L1860" s="53" t="n">
        <f aca="true">NORMINV(RAND(),0,L$7)</f>
        <v>0.230404372959106</v>
      </c>
      <c r="M1860" s="53" t="n">
        <f aca="true">NORMINV(RAND(),0,M$7)</f>
        <v>-0.0410204510713265</v>
      </c>
      <c r="N1860" s="53" t="n">
        <f aca="true">NORMINV(RAND(),0,N$7)</f>
        <v>0.560062064200456</v>
      </c>
      <c r="O1860" s="53" t="n">
        <f aca="false">SUM(J1860:N1860)</f>
        <v>-0.619956213790665</v>
      </c>
    </row>
    <row r="1861" customFormat="false" ht="15" hidden="false" customHeight="false" outlineLevel="0" collapsed="false">
      <c r="A1861" s="2" t="n">
        <v>1853</v>
      </c>
      <c r="B1861" s="53" t="n">
        <f aca="true">NORMINV(RAND(),0,B$7)</f>
        <v>-1.25304946820083</v>
      </c>
      <c r="C1861" s="53" t="n">
        <f aca="true">NORMINV(RAND(),0,C$7)</f>
        <v>-0.21956552721596</v>
      </c>
      <c r="D1861" s="53" t="n">
        <f aca="true">NORMINV(RAND(),0,D$7)</f>
        <v>2.78769301482734</v>
      </c>
      <c r="E1861" s="53" t="n">
        <f aca="true">NORMINV(RAND(),0,E$7)</f>
        <v>-0.0539015734416225</v>
      </c>
      <c r="F1861" s="53" t="n">
        <f aca="true">NORMINV(RAND(),0,F$7)</f>
        <v>-0.190441875765059</v>
      </c>
      <c r="G1861" s="53" t="n">
        <f aca="true">NORMINV(RAND(),0,G$7)</f>
        <v>-0.0411048582215457</v>
      </c>
      <c r="H1861" s="53" t="n">
        <f aca="true">NORMINV(RAND(),0,H$7)</f>
        <v>0.303716225954098</v>
      </c>
      <c r="I1861" s="53" t="n">
        <f aca="false">SUM(B1861:H1861)</f>
        <v>1.33334593793642</v>
      </c>
      <c r="J1861" s="53" t="n">
        <f aca="true">NORMINV(RAND(),0,J$7)</f>
        <v>1.30250637617611</v>
      </c>
      <c r="K1861" s="53" t="n">
        <f aca="true">NORMINV(RAND(),0,K$7)</f>
        <v>0.3200331506094</v>
      </c>
      <c r="L1861" s="53" t="n">
        <f aca="true">NORMINV(RAND(),0,L$7)</f>
        <v>-0.43995183555501</v>
      </c>
      <c r="M1861" s="53" t="n">
        <f aca="true">NORMINV(RAND(),0,M$7)</f>
        <v>-0.0148913928975411</v>
      </c>
      <c r="N1861" s="53" t="n">
        <f aca="true">NORMINV(RAND(),0,N$7)</f>
        <v>-0.681849110867467</v>
      </c>
      <c r="O1861" s="53" t="n">
        <f aca="false">SUM(J1861:N1861)</f>
        <v>0.485847187465488</v>
      </c>
    </row>
    <row r="1862" customFormat="false" ht="15" hidden="false" customHeight="false" outlineLevel="0" collapsed="false">
      <c r="A1862" s="2" t="n">
        <v>1854</v>
      </c>
      <c r="B1862" s="53" t="n">
        <f aca="true">NORMINV(RAND(),0,B$7)</f>
        <v>1.49164439204581</v>
      </c>
      <c r="C1862" s="53" t="n">
        <f aca="true">NORMINV(RAND(),0,C$7)</f>
        <v>-0.284022297176577</v>
      </c>
      <c r="D1862" s="53" t="n">
        <f aca="true">NORMINV(RAND(),0,D$7)</f>
        <v>-0.133947985279994</v>
      </c>
      <c r="E1862" s="53" t="n">
        <f aca="true">NORMINV(RAND(),0,E$7)</f>
        <v>-0.469831458424731</v>
      </c>
      <c r="F1862" s="53" t="n">
        <f aca="true">NORMINV(RAND(),0,F$7)</f>
        <v>0.359797101133433</v>
      </c>
      <c r="G1862" s="53" t="n">
        <f aca="true">NORMINV(RAND(),0,G$7)</f>
        <v>-1.217826082996</v>
      </c>
      <c r="H1862" s="53" t="n">
        <f aca="true">NORMINV(RAND(),0,H$7)</f>
        <v>-0.552827511902044</v>
      </c>
      <c r="I1862" s="53" t="n">
        <f aca="false">SUM(B1862:H1862)</f>
        <v>-0.807013842600099</v>
      </c>
      <c r="J1862" s="53" t="n">
        <f aca="true">NORMINV(RAND(),0,J$7)</f>
        <v>1.91514463163724</v>
      </c>
      <c r="K1862" s="53" t="n">
        <f aca="true">NORMINV(RAND(),0,K$7)</f>
        <v>0.569904130585581</v>
      </c>
      <c r="L1862" s="53" t="n">
        <f aca="true">NORMINV(RAND(),0,L$7)</f>
        <v>0.303877762506283</v>
      </c>
      <c r="M1862" s="53" t="n">
        <f aca="true">NORMINV(RAND(),0,M$7)</f>
        <v>0.0245558308528521</v>
      </c>
      <c r="N1862" s="53" t="n">
        <f aca="true">NORMINV(RAND(),0,N$7)</f>
        <v>0.182006346165232</v>
      </c>
      <c r="O1862" s="53" t="n">
        <f aca="false">SUM(J1862:N1862)</f>
        <v>2.99548870174719</v>
      </c>
    </row>
    <row r="1863" customFormat="false" ht="15" hidden="false" customHeight="false" outlineLevel="0" collapsed="false">
      <c r="A1863" s="2" t="n">
        <v>1855</v>
      </c>
      <c r="B1863" s="53" t="n">
        <f aca="true">NORMINV(RAND(),0,B$7)</f>
        <v>1.66430501440959</v>
      </c>
      <c r="C1863" s="53" t="n">
        <f aca="true">NORMINV(RAND(),0,C$7)</f>
        <v>0.968334534279533</v>
      </c>
      <c r="D1863" s="53" t="n">
        <f aca="true">NORMINV(RAND(),0,D$7)</f>
        <v>-3.83549082564406</v>
      </c>
      <c r="E1863" s="53" t="n">
        <f aca="true">NORMINV(RAND(),0,E$7)</f>
        <v>-0.12501737095602</v>
      </c>
      <c r="F1863" s="53" t="n">
        <f aca="true">NORMINV(RAND(),0,F$7)</f>
        <v>-0.229478725044917</v>
      </c>
      <c r="G1863" s="53" t="n">
        <f aca="true">NORMINV(RAND(),0,G$7)</f>
        <v>-0.993531954189368</v>
      </c>
      <c r="H1863" s="53" t="n">
        <f aca="true">NORMINV(RAND(),0,H$7)</f>
        <v>0.234186883494739</v>
      </c>
      <c r="I1863" s="53" t="n">
        <f aca="false">SUM(B1863:H1863)</f>
        <v>-2.31669244365051</v>
      </c>
      <c r="J1863" s="53" t="n">
        <f aca="true">NORMINV(RAND(),0,J$7)</f>
        <v>-5.34928552864696</v>
      </c>
      <c r="K1863" s="53" t="n">
        <f aca="true">NORMINV(RAND(),0,K$7)</f>
        <v>0.265136320377569</v>
      </c>
      <c r="L1863" s="53" t="n">
        <f aca="true">NORMINV(RAND(),0,L$7)</f>
        <v>0.299494691113446</v>
      </c>
      <c r="M1863" s="53" t="n">
        <f aca="true">NORMINV(RAND(),0,M$7)</f>
        <v>-0.116316935698272</v>
      </c>
      <c r="N1863" s="53" t="n">
        <f aca="true">NORMINV(RAND(),0,N$7)</f>
        <v>-0.450382695304427</v>
      </c>
      <c r="O1863" s="53" t="n">
        <f aca="false">SUM(J1863:N1863)</f>
        <v>-5.35135414815865</v>
      </c>
    </row>
    <row r="1864" customFormat="false" ht="15" hidden="false" customHeight="false" outlineLevel="0" collapsed="false">
      <c r="A1864" s="2" t="n">
        <v>1856</v>
      </c>
      <c r="B1864" s="53" t="n">
        <f aca="true">NORMINV(RAND(),0,B$7)</f>
        <v>1.99364265974112</v>
      </c>
      <c r="C1864" s="53" t="n">
        <f aca="true">NORMINV(RAND(),0,C$7)</f>
        <v>-1.09783143022101</v>
      </c>
      <c r="D1864" s="53" t="n">
        <f aca="true">NORMINV(RAND(),0,D$7)</f>
        <v>0.709829768940181</v>
      </c>
      <c r="E1864" s="53" t="n">
        <f aca="true">NORMINV(RAND(),0,E$7)</f>
        <v>-0.0865565547514157</v>
      </c>
      <c r="F1864" s="53" t="n">
        <f aca="true">NORMINV(RAND(),0,F$7)</f>
        <v>0.376904471650723</v>
      </c>
      <c r="G1864" s="53" t="n">
        <f aca="true">NORMINV(RAND(),0,G$7)</f>
        <v>-0.516649409315949</v>
      </c>
      <c r="H1864" s="53" t="n">
        <f aca="true">NORMINV(RAND(),0,H$7)</f>
        <v>0.137610565866482</v>
      </c>
      <c r="I1864" s="53" t="n">
        <f aca="false">SUM(B1864:H1864)</f>
        <v>1.51695007191013</v>
      </c>
      <c r="J1864" s="53" t="n">
        <f aca="true">NORMINV(RAND(),0,J$7)</f>
        <v>0.734686200029085</v>
      </c>
      <c r="K1864" s="53" t="n">
        <f aca="true">NORMINV(RAND(),0,K$7)</f>
        <v>-0.959050263200983</v>
      </c>
      <c r="L1864" s="53" t="n">
        <f aca="true">NORMINV(RAND(),0,L$7)</f>
        <v>0.406855235950258</v>
      </c>
      <c r="M1864" s="53" t="n">
        <f aca="true">NORMINV(RAND(),0,M$7)</f>
        <v>-0.0896967493899685</v>
      </c>
      <c r="N1864" s="53" t="n">
        <f aca="true">NORMINV(RAND(),0,N$7)</f>
        <v>0.0893600359371794</v>
      </c>
      <c r="O1864" s="53" t="n">
        <f aca="false">SUM(J1864:N1864)</f>
        <v>0.182154459325571</v>
      </c>
    </row>
    <row r="1865" customFormat="false" ht="15" hidden="false" customHeight="false" outlineLevel="0" collapsed="false">
      <c r="A1865" s="2" t="n">
        <v>1857</v>
      </c>
      <c r="B1865" s="53" t="n">
        <f aca="true">NORMINV(RAND(),0,B$7)</f>
        <v>-1.11976261243367</v>
      </c>
      <c r="C1865" s="53" t="n">
        <f aca="true">NORMINV(RAND(),0,C$7)</f>
        <v>1.2670259080358</v>
      </c>
      <c r="D1865" s="53" t="n">
        <f aca="true">NORMINV(RAND(),0,D$7)</f>
        <v>-1.76968571069094</v>
      </c>
      <c r="E1865" s="53" t="n">
        <f aca="true">NORMINV(RAND(),0,E$7)</f>
        <v>-0.402958596895105</v>
      </c>
      <c r="F1865" s="53" t="n">
        <f aca="true">NORMINV(RAND(),0,F$7)</f>
        <v>0.287913748387749</v>
      </c>
      <c r="G1865" s="53" t="n">
        <f aca="true">NORMINV(RAND(),0,G$7)</f>
        <v>2.05290284520325</v>
      </c>
      <c r="H1865" s="53" t="n">
        <f aca="true">NORMINV(RAND(),0,H$7)</f>
        <v>-0.515575386490789</v>
      </c>
      <c r="I1865" s="53" t="n">
        <f aca="false">SUM(B1865:H1865)</f>
        <v>-0.200139804883705</v>
      </c>
      <c r="J1865" s="53" t="n">
        <f aca="true">NORMINV(RAND(),0,J$7)</f>
        <v>0.201961310590779</v>
      </c>
      <c r="K1865" s="53" t="n">
        <f aca="true">NORMINV(RAND(),0,K$7)</f>
        <v>1.5965911346353</v>
      </c>
      <c r="L1865" s="53" t="n">
        <f aca="true">NORMINV(RAND(),0,L$7)</f>
        <v>0.182100023684506</v>
      </c>
      <c r="M1865" s="53" t="n">
        <f aca="true">NORMINV(RAND(),0,M$7)</f>
        <v>0.231568294355785</v>
      </c>
      <c r="N1865" s="53" t="n">
        <f aca="true">NORMINV(RAND(),0,N$7)</f>
        <v>-0.0852946935405311</v>
      </c>
      <c r="O1865" s="53" t="n">
        <f aca="false">SUM(J1865:N1865)</f>
        <v>2.12692606972584</v>
      </c>
    </row>
    <row r="1866" customFormat="false" ht="15" hidden="false" customHeight="false" outlineLevel="0" collapsed="false">
      <c r="A1866" s="2" t="n">
        <v>1858</v>
      </c>
      <c r="B1866" s="53" t="n">
        <f aca="true">NORMINV(RAND(),0,B$7)</f>
        <v>-0.509181417384938</v>
      </c>
      <c r="C1866" s="53" t="n">
        <f aca="true">NORMINV(RAND(),0,C$7)</f>
        <v>1.19329029484155</v>
      </c>
      <c r="D1866" s="53" t="n">
        <f aca="true">NORMINV(RAND(),0,D$7)</f>
        <v>-0.765788659713966</v>
      </c>
      <c r="E1866" s="53" t="n">
        <f aca="true">NORMINV(RAND(),0,E$7)</f>
        <v>-0.688094850859563</v>
      </c>
      <c r="F1866" s="53" t="n">
        <f aca="true">NORMINV(RAND(),0,F$7)</f>
        <v>-0.115511372423881</v>
      </c>
      <c r="G1866" s="53" t="n">
        <f aca="true">NORMINV(RAND(),0,G$7)</f>
        <v>-0.867827502943235</v>
      </c>
      <c r="H1866" s="53" t="n">
        <f aca="true">NORMINV(RAND(),0,H$7)</f>
        <v>-0.0302578077741413</v>
      </c>
      <c r="I1866" s="53" t="n">
        <f aca="false">SUM(B1866:H1866)</f>
        <v>-1.78337131625818</v>
      </c>
      <c r="J1866" s="53" t="n">
        <f aca="true">NORMINV(RAND(),0,J$7)</f>
        <v>0.354988806333617</v>
      </c>
      <c r="K1866" s="53" t="n">
        <f aca="true">NORMINV(RAND(),0,K$7)</f>
        <v>0.673384832109383</v>
      </c>
      <c r="L1866" s="53" t="n">
        <f aca="true">NORMINV(RAND(),0,L$7)</f>
        <v>0.245578771192474</v>
      </c>
      <c r="M1866" s="53" t="n">
        <f aca="true">NORMINV(RAND(),0,M$7)</f>
        <v>0.410574909280593</v>
      </c>
      <c r="N1866" s="53" t="n">
        <f aca="true">NORMINV(RAND(),0,N$7)</f>
        <v>0.500984726674863</v>
      </c>
      <c r="O1866" s="53" t="n">
        <f aca="false">SUM(J1866:N1866)</f>
        <v>2.18551204559093</v>
      </c>
    </row>
    <row r="1867" customFormat="false" ht="15" hidden="false" customHeight="false" outlineLevel="0" collapsed="false">
      <c r="A1867" s="2" t="n">
        <v>1859</v>
      </c>
      <c r="B1867" s="53" t="n">
        <f aca="true">NORMINV(RAND(),0,B$7)</f>
        <v>1.16324353506418</v>
      </c>
      <c r="C1867" s="53" t="n">
        <f aca="true">NORMINV(RAND(),0,C$7)</f>
        <v>1.41073705012734</v>
      </c>
      <c r="D1867" s="53" t="n">
        <f aca="true">NORMINV(RAND(),0,D$7)</f>
        <v>-1.26516986583022</v>
      </c>
      <c r="E1867" s="53" t="n">
        <f aca="true">NORMINV(RAND(),0,E$7)</f>
        <v>-0.20870936447963</v>
      </c>
      <c r="F1867" s="53" t="n">
        <f aca="true">NORMINV(RAND(),0,F$7)</f>
        <v>-0.0140421476316244</v>
      </c>
      <c r="G1867" s="53" t="n">
        <f aca="true">NORMINV(RAND(),0,G$7)</f>
        <v>-0.427985640287235</v>
      </c>
      <c r="H1867" s="53" t="n">
        <f aca="true">NORMINV(RAND(),0,H$7)</f>
        <v>0.590396600471327</v>
      </c>
      <c r="I1867" s="53" t="n">
        <f aca="false">SUM(B1867:H1867)</f>
        <v>1.24847016743414</v>
      </c>
      <c r="J1867" s="53" t="n">
        <f aca="true">NORMINV(RAND(),0,J$7)</f>
        <v>0.512473230163581</v>
      </c>
      <c r="K1867" s="53" t="n">
        <f aca="true">NORMINV(RAND(),0,K$7)</f>
        <v>0.104062228552248</v>
      </c>
      <c r="L1867" s="53" t="n">
        <f aca="true">NORMINV(RAND(),0,L$7)</f>
        <v>0.275134569720541</v>
      </c>
      <c r="M1867" s="53" t="n">
        <f aca="true">NORMINV(RAND(),0,M$7)</f>
        <v>0.0448570692807815</v>
      </c>
      <c r="N1867" s="53" t="n">
        <f aca="true">NORMINV(RAND(),0,N$7)</f>
        <v>-0.13826863946912</v>
      </c>
      <c r="O1867" s="53" t="n">
        <f aca="false">SUM(J1867:N1867)</f>
        <v>0.798258458248031</v>
      </c>
    </row>
    <row r="1868" customFormat="false" ht="15" hidden="false" customHeight="false" outlineLevel="0" collapsed="false">
      <c r="A1868" s="2" t="n">
        <v>1860</v>
      </c>
      <c r="B1868" s="53" t="n">
        <f aca="true">NORMINV(RAND(),0,B$7)</f>
        <v>-1.12295554802949</v>
      </c>
      <c r="C1868" s="53" t="n">
        <f aca="true">NORMINV(RAND(),0,C$7)</f>
        <v>-0.548017134144439</v>
      </c>
      <c r="D1868" s="53" t="n">
        <f aca="true">NORMINV(RAND(),0,D$7)</f>
        <v>2.00490759202828</v>
      </c>
      <c r="E1868" s="53" t="n">
        <f aca="true">NORMINV(RAND(),0,E$7)</f>
        <v>-0.0900062897947995</v>
      </c>
      <c r="F1868" s="53" t="n">
        <f aca="true">NORMINV(RAND(),0,F$7)</f>
        <v>0.121385623069844</v>
      </c>
      <c r="G1868" s="53" t="n">
        <f aca="true">NORMINV(RAND(),0,G$7)</f>
        <v>0.326405524251746</v>
      </c>
      <c r="H1868" s="53" t="n">
        <f aca="true">NORMINV(RAND(),0,H$7)</f>
        <v>0.293320176135669</v>
      </c>
      <c r="I1868" s="53" t="n">
        <f aca="false">SUM(B1868:H1868)</f>
        <v>0.985039943516809</v>
      </c>
      <c r="J1868" s="53" t="n">
        <f aca="true">NORMINV(RAND(),0,J$7)</f>
        <v>-4.05810330949097</v>
      </c>
      <c r="K1868" s="53" t="n">
        <f aca="true">NORMINV(RAND(),0,K$7)</f>
        <v>-0.157117820872369</v>
      </c>
      <c r="L1868" s="53" t="n">
        <f aca="true">NORMINV(RAND(),0,L$7)</f>
        <v>0.848264879560154</v>
      </c>
      <c r="M1868" s="53" t="n">
        <f aca="true">NORMINV(RAND(),0,M$7)</f>
        <v>0.150495429127623</v>
      </c>
      <c r="N1868" s="53" t="n">
        <f aca="true">NORMINV(RAND(),0,N$7)</f>
        <v>0.0670125201681965</v>
      </c>
      <c r="O1868" s="53" t="n">
        <f aca="false">SUM(J1868:N1868)</f>
        <v>-3.14944830150737</v>
      </c>
    </row>
    <row r="1869" customFormat="false" ht="15" hidden="false" customHeight="false" outlineLevel="0" collapsed="false">
      <c r="A1869" s="2" t="n">
        <v>1861</v>
      </c>
      <c r="B1869" s="53" t="n">
        <f aca="true">NORMINV(RAND(),0,B$7)</f>
        <v>3.43283195164942</v>
      </c>
      <c r="C1869" s="53" t="n">
        <f aca="true">NORMINV(RAND(),0,C$7)</f>
        <v>0.483421543494626</v>
      </c>
      <c r="D1869" s="53" t="n">
        <f aca="true">NORMINV(RAND(),0,D$7)</f>
        <v>3.41280063005774</v>
      </c>
      <c r="E1869" s="53" t="n">
        <f aca="true">NORMINV(RAND(),0,E$7)</f>
        <v>-0.47466936957508</v>
      </c>
      <c r="F1869" s="53" t="n">
        <f aca="true">NORMINV(RAND(),0,F$7)</f>
        <v>0.367873483731056</v>
      </c>
      <c r="G1869" s="53" t="n">
        <f aca="true">NORMINV(RAND(),0,G$7)</f>
        <v>0.25680048434321</v>
      </c>
      <c r="H1869" s="53" t="n">
        <f aca="true">NORMINV(RAND(),0,H$7)</f>
        <v>-0.595379465518993</v>
      </c>
      <c r="I1869" s="53" t="n">
        <f aca="false">SUM(B1869:H1869)</f>
        <v>6.88367925818198</v>
      </c>
      <c r="J1869" s="53" t="n">
        <f aca="true">NORMINV(RAND(),0,J$7)</f>
        <v>1.13451419518839</v>
      </c>
      <c r="K1869" s="53" t="n">
        <f aca="true">NORMINV(RAND(),0,K$7)</f>
        <v>1.02531361966279</v>
      </c>
      <c r="L1869" s="53" t="n">
        <f aca="true">NORMINV(RAND(),0,L$7)</f>
        <v>-0.167748702946906</v>
      </c>
      <c r="M1869" s="53" t="n">
        <f aca="true">NORMINV(RAND(),0,M$7)</f>
        <v>-0.442423274290029</v>
      </c>
      <c r="N1869" s="53" t="n">
        <f aca="true">NORMINV(RAND(),0,N$7)</f>
        <v>0.881874891929117</v>
      </c>
      <c r="O1869" s="53" t="n">
        <f aca="false">SUM(J1869:N1869)</f>
        <v>2.43153072954336</v>
      </c>
    </row>
    <row r="1870" customFormat="false" ht="15" hidden="false" customHeight="false" outlineLevel="0" collapsed="false">
      <c r="A1870" s="2" t="n">
        <v>1862</v>
      </c>
      <c r="B1870" s="53" t="n">
        <f aca="true">NORMINV(RAND(),0,B$7)</f>
        <v>2.45828268412929</v>
      </c>
      <c r="C1870" s="53" t="n">
        <f aca="true">NORMINV(RAND(),0,C$7)</f>
        <v>0.34874949633149</v>
      </c>
      <c r="D1870" s="53" t="n">
        <f aca="true">NORMINV(RAND(),0,D$7)</f>
        <v>-0.874570445010293</v>
      </c>
      <c r="E1870" s="53" t="n">
        <f aca="true">NORMINV(RAND(),0,E$7)</f>
        <v>0.510449066748053</v>
      </c>
      <c r="F1870" s="53" t="n">
        <f aca="true">NORMINV(RAND(),0,F$7)</f>
        <v>-0.0630260805609449</v>
      </c>
      <c r="G1870" s="53" t="n">
        <f aca="true">NORMINV(RAND(),0,G$7)</f>
        <v>3.03915222973477</v>
      </c>
      <c r="H1870" s="53" t="n">
        <f aca="true">NORMINV(RAND(),0,H$7)</f>
        <v>0.228170519251561</v>
      </c>
      <c r="I1870" s="53" t="n">
        <f aca="false">SUM(B1870:H1870)</f>
        <v>5.64720747062392</v>
      </c>
      <c r="J1870" s="53" t="n">
        <f aca="true">NORMINV(RAND(),0,J$7)</f>
        <v>-0.493865477142036</v>
      </c>
      <c r="K1870" s="53" t="n">
        <f aca="true">NORMINV(RAND(),0,K$7)</f>
        <v>-0.860601308117506</v>
      </c>
      <c r="L1870" s="53" t="n">
        <f aca="true">NORMINV(RAND(),0,L$7)</f>
        <v>0.60595303412715</v>
      </c>
      <c r="M1870" s="53" t="n">
        <f aca="true">NORMINV(RAND(),0,M$7)</f>
        <v>-0.18940644241463</v>
      </c>
      <c r="N1870" s="53" t="n">
        <f aca="true">NORMINV(RAND(),0,N$7)</f>
        <v>-0.443302143719959</v>
      </c>
      <c r="O1870" s="53" t="n">
        <f aca="false">SUM(J1870:N1870)</f>
        <v>-1.38122233726698</v>
      </c>
    </row>
    <row r="1871" customFormat="false" ht="15" hidden="false" customHeight="false" outlineLevel="0" collapsed="false">
      <c r="A1871" s="2" t="n">
        <v>1863</v>
      </c>
      <c r="B1871" s="53" t="n">
        <f aca="true">NORMINV(RAND(),0,B$7)</f>
        <v>1.6635552934193</v>
      </c>
      <c r="C1871" s="53" t="n">
        <f aca="true">NORMINV(RAND(),0,C$7)</f>
        <v>1.25456980473262</v>
      </c>
      <c r="D1871" s="53" t="n">
        <f aca="true">NORMINV(RAND(),0,D$7)</f>
        <v>0.686925387112994</v>
      </c>
      <c r="E1871" s="53" t="n">
        <f aca="true">NORMINV(RAND(),0,E$7)</f>
        <v>0.393478558500883</v>
      </c>
      <c r="F1871" s="53" t="n">
        <f aca="true">NORMINV(RAND(),0,F$7)</f>
        <v>0.396444349725767</v>
      </c>
      <c r="G1871" s="53" t="n">
        <f aca="true">NORMINV(RAND(),0,G$7)</f>
        <v>0.332448341746494</v>
      </c>
      <c r="H1871" s="53" t="n">
        <f aca="true">NORMINV(RAND(),0,H$7)</f>
        <v>0.449241080696497</v>
      </c>
      <c r="I1871" s="53" t="n">
        <f aca="false">SUM(B1871:H1871)</f>
        <v>5.17666281593456</v>
      </c>
      <c r="J1871" s="53" t="n">
        <f aca="true">NORMINV(RAND(),0,J$7)</f>
        <v>-3.36970705634823</v>
      </c>
      <c r="K1871" s="53" t="n">
        <f aca="true">NORMINV(RAND(),0,K$7)</f>
        <v>-0.65123809377846</v>
      </c>
      <c r="L1871" s="53" t="n">
        <f aca="true">NORMINV(RAND(),0,L$7)</f>
        <v>0.742511910685015</v>
      </c>
      <c r="M1871" s="53" t="n">
        <f aca="true">NORMINV(RAND(),0,M$7)</f>
        <v>-0.278073186655785</v>
      </c>
      <c r="N1871" s="53" t="n">
        <f aca="true">NORMINV(RAND(),0,N$7)</f>
        <v>0.0306441573592823</v>
      </c>
      <c r="O1871" s="53" t="n">
        <f aca="false">SUM(J1871:N1871)</f>
        <v>-3.52586226873818</v>
      </c>
    </row>
    <row r="1872" customFormat="false" ht="15" hidden="false" customHeight="false" outlineLevel="0" collapsed="false">
      <c r="A1872" s="2" t="n">
        <v>1864</v>
      </c>
      <c r="B1872" s="53" t="n">
        <f aca="true">NORMINV(RAND(),0,B$7)</f>
        <v>1.29967252607448</v>
      </c>
      <c r="C1872" s="53" t="n">
        <f aca="true">NORMINV(RAND(),0,C$7)</f>
        <v>2.7350527252572</v>
      </c>
      <c r="D1872" s="53" t="n">
        <f aca="true">NORMINV(RAND(),0,D$7)</f>
        <v>-0.173273589098004</v>
      </c>
      <c r="E1872" s="53" t="n">
        <f aca="true">NORMINV(RAND(),0,E$7)</f>
        <v>-0.526608118832906</v>
      </c>
      <c r="F1872" s="53" t="n">
        <f aca="true">NORMINV(RAND(),0,F$7)</f>
        <v>-0.24020419711608</v>
      </c>
      <c r="G1872" s="53" t="n">
        <f aca="true">NORMINV(RAND(),0,G$7)</f>
        <v>-2.64321924586151</v>
      </c>
      <c r="H1872" s="53" t="n">
        <f aca="true">NORMINV(RAND(),0,H$7)</f>
        <v>-0.353328889160061</v>
      </c>
      <c r="I1872" s="53" t="n">
        <f aca="false">SUM(B1872:H1872)</f>
        <v>0.0980912112631118</v>
      </c>
      <c r="J1872" s="53" t="n">
        <f aca="true">NORMINV(RAND(),0,J$7)</f>
        <v>-1.75257446957059</v>
      </c>
      <c r="K1872" s="53" t="n">
        <f aca="true">NORMINV(RAND(),0,K$7)</f>
        <v>0.0549231256084714</v>
      </c>
      <c r="L1872" s="53" t="n">
        <f aca="true">NORMINV(RAND(),0,L$7)</f>
        <v>0.368240355937976</v>
      </c>
      <c r="M1872" s="53" t="n">
        <f aca="true">NORMINV(RAND(),0,M$7)</f>
        <v>0.0901428441797306</v>
      </c>
      <c r="N1872" s="53" t="n">
        <f aca="true">NORMINV(RAND(),0,N$7)</f>
        <v>0.262864020742912</v>
      </c>
      <c r="O1872" s="53" t="n">
        <f aca="false">SUM(J1872:N1872)</f>
        <v>-0.976404123101501</v>
      </c>
    </row>
    <row r="1873" customFormat="false" ht="15" hidden="false" customHeight="false" outlineLevel="0" collapsed="false">
      <c r="A1873" s="2" t="n">
        <v>1865</v>
      </c>
      <c r="B1873" s="53" t="n">
        <f aca="true">NORMINV(RAND(),0,B$7)</f>
        <v>1.52866854470181</v>
      </c>
      <c r="C1873" s="53" t="n">
        <f aca="true">NORMINV(RAND(),0,C$7)</f>
        <v>1.19430399836253</v>
      </c>
      <c r="D1873" s="53" t="n">
        <f aca="true">NORMINV(RAND(),0,D$7)</f>
        <v>-0.630947023936094</v>
      </c>
      <c r="E1873" s="53" t="n">
        <f aca="true">NORMINV(RAND(),0,E$7)</f>
        <v>-0.435116881621958</v>
      </c>
      <c r="F1873" s="53" t="n">
        <f aca="true">NORMINV(RAND(),0,F$7)</f>
        <v>0.479914323514777</v>
      </c>
      <c r="G1873" s="53" t="n">
        <f aca="true">NORMINV(RAND(),0,G$7)</f>
        <v>-0.957506552156058</v>
      </c>
      <c r="H1873" s="53" t="n">
        <f aca="true">NORMINV(RAND(),0,H$7)</f>
        <v>-0.0855404411049588</v>
      </c>
      <c r="I1873" s="53" t="n">
        <f aca="false">SUM(B1873:H1873)</f>
        <v>1.09377596776005</v>
      </c>
      <c r="J1873" s="53" t="n">
        <f aca="true">NORMINV(RAND(),0,J$7)</f>
        <v>0.274426856113358</v>
      </c>
      <c r="K1873" s="53" t="n">
        <f aca="true">NORMINV(RAND(),0,K$7)</f>
        <v>0.249384752402817</v>
      </c>
      <c r="L1873" s="53" t="n">
        <f aca="true">NORMINV(RAND(),0,L$7)</f>
        <v>0.169071711601201</v>
      </c>
      <c r="M1873" s="53" t="n">
        <f aca="true">NORMINV(RAND(),0,M$7)</f>
        <v>-0.460426900395879</v>
      </c>
      <c r="N1873" s="53" t="n">
        <f aca="true">NORMINV(RAND(),0,N$7)</f>
        <v>0.483658187813169</v>
      </c>
      <c r="O1873" s="53" t="n">
        <f aca="false">SUM(J1873:N1873)</f>
        <v>0.716114607534665</v>
      </c>
    </row>
    <row r="1874" customFormat="false" ht="15" hidden="false" customHeight="false" outlineLevel="0" collapsed="false">
      <c r="A1874" s="2" t="n">
        <v>1866</v>
      </c>
      <c r="B1874" s="53" t="n">
        <f aca="true">NORMINV(RAND(),0,B$7)</f>
        <v>0.957998395574573</v>
      </c>
      <c r="C1874" s="53" t="n">
        <f aca="true">NORMINV(RAND(),0,C$7)</f>
        <v>2.17827914091296</v>
      </c>
      <c r="D1874" s="53" t="n">
        <f aca="true">NORMINV(RAND(),0,D$7)</f>
        <v>-1.88119086611897</v>
      </c>
      <c r="E1874" s="53" t="n">
        <f aca="true">NORMINV(RAND(),0,E$7)</f>
        <v>0.431612613048513</v>
      </c>
      <c r="F1874" s="53" t="n">
        <f aca="true">NORMINV(RAND(),0,F$7)</f>
        <v>0.122174736086523</v>
      </c>
      <c r="G1874" s="53" t="n">
        <f aca="true">NORMINV(RAND(),0,G$7)</f>
        <v>-1.78236671054709</v>
      </c>
      <c r="H1874" s="53" t="n">
        <f aca="true">NORMINV(RAND(),0,H$7)</f>
        <v>0.196252362758892</v>
      </c>
      <c r="I1874" s="53" t="n">
        <f aca="false">SUM(B1874:H1874)</f>
        <v>0.2227596717154</v>
      </c>
      <c r="J1874" s="53" t="n">
        <f aca="true">NORMINV(RAND(),0,J$7)</f>
        <v>1.19210835658459</v>
      </c>
      <c r="K1874" s="53" t="n">
        <f aca="true">NORMINV(RAND(),0,K$7)</f>
        <v>1.03808625129251</v>
      </c>
      <c r="L1874" s="53" t="n">
        <f aca="true">NORMINV(RAND(),0,L$7)</f>
        <v>-0.464924831196452</v>
      </c>
      <c r="M1874" s="53" t="n">
        <f aca="true">NORMINV(RAND(),0,M$7)</f>
        <v>0.00521823754743952</v>
      </c>
      <c r="N1874" s="53" t="n">
        <f aca="true">NORMINV(RAND(),0,N$7)</f>
        <v>0.0638072990182563</v>
      </c>
      <c r="O1874" s="53" t="n">
        <f aca="false">SUM(J1874:N1874)</f>
        <v>1.83429531324633</v>
      </c>
    </row>
    <row r="1875" customFormat="false" ht="15" hidden="false" customHeight="false" outlineLevel="0" collapsed="false">
      <c r="A1875" s="2" t="n">
        <v>1867</v>
      </c>
      <c r="B1875" s="53" t="n">
        <f aca="true">NORMINV(RAND(),0,B$7)</f>
        <v>0.813045218602799</v>
      </c>
      <c r="C1875" s="53" t="n">
        <f aca="true">NORMINV(RAND(),0,C$7)</f>
        <v>0.640793576419708</v>
      </c>
      <c r="D1875" s="53" t="n">
        <f aca="true">NORMINV(RAND(),0,D$7)</f>
        <v>2.03472757448427</v>
      </c>
      <c r="E1875" s="53" t="n">
        <f aca="true">NORMINV(RAND(),0,E$7)</f>
        <v>0.571325783472013</v>
      </c>
      <c r="F1875" s="53" t="n">
        <f aca="true">NORMINV(RAND(),0,F$7)</f>
        <v>-0.231043296596248</v>
      </c>
      <c r="G1875" s="53" t="n">
        <f aca="true">NORMINV(RAND(),0,G$7)</f>
        <v>-1.31629395395469</v>
      </c>
      <c r="H1875" s="53" t="n">
        <f aca="true">NORMINV(RAND(),0,H$7)</f>
        <v>-0.0284216176205445</v>
      </c>
      <c r="I1875" s="53" t="n">
        <f aca="false">SUM(B1875:H1875)</f>
        <v>2.48413328480731</v>
      </c>
      <c r="J1875" s="53" t="n">
        <f aca="true">NORMINV(RAND(),0,J$7)</f>
        <v>2.19770628302822</v>
      </c>
      <c r="K1875" s="53" t="n">
        <f aca="true">NORMINV(RAND(),0,K$7)</f>
        <v>-0.200464359683924</v>
      </c>
      <c r="L1875" s="53" t="n">
        <f aca="true">NORMINV(RAND(),0,L$7)</f>
        <v>0.0165865123506753</v>
      </c>
      <c r="M1875" s="53" t="n">
        <f aca="true">NORMINV(RAND(),0,M$7)</f>
        <v>-0.15969915238445</v>
      </c>
      <c r="N1875" s="53" t="n">
        <f aca="true">NORMINV(RAND(),0,N$7)</f>
        <v>0.128662353579449</v>
      </c>
      <c r="O1875" s="53" t="n">
        <f aca="false">SUM(J1875:N1875)</f>
        <v>1.98279163688996</v>
      </c>
    </row>
    <row r="1876" customFormat="false" ht="15" hidden="false" customHeight="false" outlineLevel="0" collapsed="false">
      <c r="A1876" s="2" t="n">
        <v>1868</v>
      </c>
      <c r="B1876" s="53" t="n">
        <f aca="true">NORMINV(RAND(),0,B$7)</f>
        <v>2.6786188035832</v>
      </c>
      <c r="C1876" s="53" t="n">
        <f aca="true">NORMINV(RAND(),0,C$7)</f>
        <v>-1.03114003034102</v>
      </c>
      <c r="D1876" s="53" t="n">
        <f aca="true">NORMINV(RAND(),0,D$7)</f>
        <v>-1.45415773728116</v>
      </c>
      <c r="E1876" s="53" t="n">
        <f aca="true">NORMINV(RAND(),0,E$7)</f>
        <v>-0.405549716917062</v>
      </c>
      <c r="F1876" s="53" t="n">
        <f aca="true">NORMINV(RAND(),0,F$7)</f>
        <v>-0.445348442958372</v>
      </c>
      <c r="G1876" s="53" t="n">
        <f aca="true">NORMINV(RAND(),0,G$7)</f>
        <v>0.807482124487327</v>
      </c>
      <c r="H1876" s="53" t="n">
        <f aca="true">NORMINV(RAND(),0,H$7)</f>
        <v>-0.89881216560694</v>
      </c>
      <c r="I1876" s="53" t="n">
        <f aca="false">SUM(B1876:H1876)</f>
        <v>-0.748907165034029</v>
      </c>
      <c r="J1876" s="53" t="n">
        <f aca="true">NORMINV(RAND(),0,J$7)</f>
        <v>3.23488484240664</v>
      </c>
      <c r="K1876" s="53" t="n">
        <f aca="true">NORMINV(RAND(),0,K$7)</f>
        <v>-1.21797419957523</v>
      </c>
      <c r="L1876" s="53" t="n">
        <f aca="true">NORMINV(RAND(),0,L$7)</f>
        <v>-0.0463467546867181</v>
      </c>
      <c r="M1876" s="53" t="n">
        <f aca="true">NORMINV(RAND(),0,M$7)</f>
        <v>0.299982384542763</v>
      </c>
      <c r="N1876" s="53" t="n">
        <f aca="true">NORMINV(RAND(),0,N$7)</f>
        <v>0.047511803783035</v>
      </c>
      <c r="O1876" s="53" t="n">
        <f aca="false">SUM(J1876:N1876)</f>
        <v>2.31805807647049</v>
      </c>
    </row>
    <row r="1877" customFormat="false" ht="15" hidden="false" customHeight="false" outlineLevel="0" collapsed="false">
      <c r="A1877" s="2" t="n">
        <v>1869</v>
      </c>
      <c r="B1877" s="53" t="n">
        <f aca="true">NORMINV(RAND(),0,B$7)</f>
        <v>0.664720967315023</v>
      </c>
      <c r="C1877" s="53" t="n">
        <f aca="true">NORMINV(RAND(),0,C$7)</f>
        <v>-0.49122613666363</v>
      </c>
      <c r="D1877" s="53" t="n">
        <f aca="true">NORMINV(RAND(),0,D$7)</f>
        <v>-0.599058736331889</v>
      </c>
      <c r="E1877" s="53" t="n">
        <f aca="true">NORMINV(RAND(),0,E$7)</f>
        <v>-0.386718589030878</v>
      </c>
      <c r="F1877" s="53" t="n">
        <f aca="true">NORMINV(RAND(),0,F$7)</f>
        <v>-0.191583644062741</v>
      </c>
      <c r="G1877" s="53" t="n">
        <f aca="true">NORMINV(RAND(),0,G$7)</f>
        <v>0.774146420794902</v>
      </c>
      <c r="H1877" s="53" t="n">
        <f aca="true">NORMINV(RAND(),0,H$7)</f>
        <v>0.326892085286396</v>
      </c>
      <c r="I1877" s="53" t="n">
        <f aca="false">SUM(B1877:H1877)</f>
        <v>0.0971723673071838</v>
      </c>
      <c r="J1877" s="53" t="n">
        <f aca="true">NORMINV(RAND(),0,J$7)</f>
        <v>0.772461730702438</v>
      </c>
      <c r="K1877" s="53" t="n">
        <f aca="true">NORMINV(RAND(),0,K$7)</f>
        <v>-0.794685383865008</v>
      </c>
      <c r="L1877" s="53" t="n">
        <f aca="true">NORMINV(RAND(),0,L$7)</f>
        <v>0.671382230309295</v>
      </c>
      <c r="M1877" s="53" t="n">
        <f aca="true">NORMINV(RAND(),0,M$7)</f>
        <v>0.216924127197617</v>
      </c>
      <c r="N1877" s="53" t="n">
        <f aca="true">NORMINV(RAND(),0,N$7)</f>
        <v>0.598774320536317</v>
      </c>
      <c r="O1877" s="53" t="n">
        <f aca="false">SUM(J1877:N1877)</f>
        <v>1.46485702488066</v>
      </c>
    </row>
    <row r="1878" customFormat="false" ht="15" hidden="false" customHeight="false" outlineLevel="0" collapsed="false">
      <c r="A1878" s="2" t="n">
        <v>1870</v>
      </c>
      <c r="B1878" s="53" t="n">
        <f aca="true">NORMINV(RAND(),0,B$7)</f>
        <v>-1.39122137303677</v>
      </c>
      <c r="C1878" s="53" t="n">
        <f aca="true">NORMINV(RAND(),0,C$7)</f>
        <v>2.1866965197735</v>
      </c>
      <c r="D1878" s="53" t="n">
        <f aca="true">NORMINV(RAND(),0,D$7)</f>
        <v>-2.56040304687196</v>
      </c>
      <c r="E1878" s="53" t="n">
        <f aca="true">NORMINV(RAND(),0,E$7)</f>
        <v>-0.794172705024031</v>
      </c>
      <c r="F1878" s="53" t="n">
        <f aca="true">NORMINV(RAND(),0,F$7)</f>
        <v>0.365682075669604</v>
      </c>
      <c r="G1878" s="53" t="n">
        <f aca="true">NORMINV(RAND(),0,G$7)</f>
        <v>-0.437598145336675</v>
      </c>
      <c r="H1878" s="53" t="n">
        <f aca="true">NORMINV(RAND(),0,H$7)</f>
        <v>0.108830052988807</v>
      </c>
      <c r="I1878" s="53" t="n">
        <f aca="false">SUM(B1878:H1878)</f>
        <v>-2.52218662183753</v>
      </c>
      <c r="J1878" s="53" t="n">
        <f aca="true">NORMINV(RAND(),0,J$7)</f>
        <v>4.12451498933275</v>
      </c>
      <c r="K1878" s="53" t="n">
        <f aca="true">NORMINV(RAND(),0,K$7)</f>
        <v>0.0129534533618226</v>
      </c>
      <c r="L1878" s="53" t="n">
        <f aca="true">NORMINV(RAND(),0,L$7)</f>
        <v>-0.0164110618680008</v>
      </c>
      <c r="M1878" s="53" t="n">
        <f aca="true">NORMINV(RAND(),0,M$7)</f>
        <v>-0.227542968364834</v>
      </c>
      <c r="N1878" s="53" t="n">
        <f aca="true">NORMINV(RAND(),0,N$7)</f>
        <v>0.581658278185345</v>
      </c>
      <c r="O1878" s="53" t="n">
        <f aca="false">SUM(J1878:N1878)</f>
        <v>4.47517269064709</v>
      </c>
    </row>
    <row r="1879" customFormat="false" ht="15" hidden="false" customHeight="false" outlineLevel="0" collapsed="false">
      <c r="A1879" s="2" t="n">
        <v>1871</v>
      </c>
      <c r="B1879" s="53" t="n">
        <f aca="true">NORMINV(RAND(),0,B$7)</f>
        <v>-1.3227148906478</v>
      </c>
      <c r="C1879" s="53" t="n">
        <f aca="true">NORMINV(RAND(),0,C$7)</f>
        <v>1.56120923238269</v>
      </c>
      <c r="D1879" s="53" t="n">
        <f aca="true">NORMINV(RAND(),0,D$7)</f>
        <v>-0.119834404262141</v>
      </c>
      <c r="E1879" s="53" t="n">
        <f aca="true">NORMINV(RAND(),0,E$7)</f>
        <v>0.336746062146142</v>
      </c>
      <c r="F1879" s="53" t="n">
        <f aca="true">NORMINV(RAND(),0,F$7)</f>
        <v>-0.341675789172558</v>
      </c>
      <c r="G1879" s="53" t="n">
        <f aca="true">NORMINV(RAND(),0,G$7)</f>
        <v>-0.110356465566758</v>
      </c>
      <c r="H1879" s="53" t="n">
        <f aca="true">NORMINV(RAND(),0,H$7)</f>
        <v>0.529818949949603</v>
      </c>
      <c r="I1879" s="53" t="n">
        <f aca="false">SUM(B1879:H1879)</f>
        <v>0.533192694829177</v>
      </c>
      <c r="J1879" s="53" t="n">
        <f aca="true">NORMINV(RAND(),0,J$7)</f>
        <v>-0.749511219805621</v>
      </c>
      <c r="K1879" s="53" t="n">
        <f aca="true">NORMINV(RAND(),0,K$7)</f>
        <v>0.660223820436832</v>
      </c>
      <c r="L1879" s="53" t="n">
        <f aca="true">NORMINV(RAND(),0,L$7)</f>
        <v>-0.729850252083976</v>
      </c>
      <c r="M1879" s="53" t="n">
        <f aca="true">NORMINV(RAND(),0,M$7)</f>
        <v>-0.0784691776636409</v>
      </c>
      <c r="N1879" s="53" t="n">
        <f aca="true">NORMINV(RAND(),0,N$7)</f>
        <v>0.0381814905743607</v>
      </c>
      <c r="O1879" s="53" t="n">
        <f aca="false">SUM(J1879:N1879)</f>
        <v>-0.859425338542046</v>
      </c>
    </row>
    <row r="1880" customFormat="false" ht="15" hidden="false" customHeight="false" outlineLevel="0" collapsed="false">
      <c r="A1880" s="2" t="n">
        <v>1872</v>
      </c>
      <c r="B1880" s="53" t="n">
        <f aca="true">NORMINV(RAND(),0,B$7)</f>
        <v>-1.39435532239121</v>
      </c>
      <c r="C1880" s="53" t="n">
        <f aca="true">NORMINV(RAND(),0,C$7)</f>
        <v>1.75422389737716</v>
      </c>
      <c r="D1880" s="53" t="n">
        <f aca="true">NORMINV(RAND(),0,D$7)</f>
        <v>-0.0178977688147308</v>
      </c>
      <c r="E1880" s="53" t="n">
        <f aca="true">NORMINV(RAND(),0,E$7)</f>
        <v>0.227676239025143</v>
      </c>
      <c r="F1880" s="53" t="n">
        <f aca="true">NORMINV(RAND(),0,F$7)</f>
        <v>-0.158533840510347</v>
      </c>
      <c r="G1880" s="53" t="n">
        <f aca="true">NORMINV(RAND(),0,G$7)</f>
        <v>0.134122946969756</v>
      </c>
      <c r="H1880" s="53" t="n">
        <f aca="true">NORMINV(RAND(),0,H$7)</f>
        <v>-0.304968450317874</v>
      </c>
      <c r="I1880" s="53" t="n">
        <f aca="false">SUM(B1880:H1880)</f>
        <v>0.240267701337897</v>
      </c>
      <c r="J1880" s="53" t="n">
        <f aca="true">NORMINV(RAND(),0,J$7)</f>
        <v>-3.82684684283234</v>
      </c>
      <c r="K1880" s="53" t="n">
        <f aca="true">NORMINV(RAND(),0,K$7)</f>
        <v>-1.13095885807095</v>
      </c>
      <c r="L1880" s="53" t="n">
        <f aca="true">NORMINV(RAND(),0,L$7)</f>
        <v>0.335172606891039</v>
      </c>
      <c r="M1880" s="53" t="n">
        <f aca="true">NORMINV(RAND(),0,M$7)</f>
        <v>-0.0118688364879012</v>
      </c>
      <c r="N1880" s="53" t="n">
        <f aca="true">NORMINV(RAND(),0,N$7)</f>
        <v>-0.0272271006865407</v>
      </c>
      <c r="O1880" s="53" t="n">
        <f aca="false">SUM(J1880:N1880)</f>
        <v>-4.66172903118669</v>
      </c>
    </row>
    <row r="1881" customFormat="false" ht="15" hidden="false" customHeight="false" outlineLevel="0" collapsed="false">
      <c r="A1881" s="2" t="n">
        <v>1873</v>
      </c>
      <c r="B1881" s="53" t="n">
        <f aca="true">NORMINV(RAND(),0,B$7)</f>
        <v>-1.79695992452703</v>
      </c>
      <c r="C1881" s="53" t="n">
        <f aca="true">NORMINV(RAND(),0,C$7)</f>
        <v>1.21594369122728</v>
      </c>
      <c r="D1881" s="53" t="n">
        <f aca="true">NORMINV(RAND(),0,D$7)</f>
        <v>-0.69876370061385</v>
      </c>
      <c r="E1881" s="53" t="n">
        <f aca="true">NORMINV(RAND(),0,E$7)</f>
        <v>-0.551348795229211</v>
      </c>
      <c r="F1881" s="53" t="n">
        <f aca="true">NORMINV(RAND(),0,F$7)</f>
        <v>-0.349679920916974</v>
      </c>
      <c r="G1881" s="53" t="n">
        <f aca="true">NORMINV(RAND(),0,G$7)</f>
        <v>1.72558229773551</v>
      </c>
      <c r="H1881" s="53" t="n">
        <f aca="true">NORMINV(RAND(),0,H$7)</f>
        <v>-0.0432085489955626</v>
      </c>
      <c r="I1881" s="53" t="n">
        <f aca="false">SUM(B1881:H1881)</f>
        <v>-0.49843490131984</v>
      </c>
      <c r="J1881" s="53" t="n">
        <f aca="true">NORMINV(RAND(),0,J$7)</f>
        <v>-0.664996843739254</v>
      </c>
      <c r="K1881" s="53" t="n">
        <f aca="true">NORMINV(RAND(),0,K$7)</f>
        <v>0.761032994558631</v>
      </c>
      <c r="L1881" s="53" t="n">
        <f aca="true">NORMINV(RAND(),0,L$7)</f>
        <v>0.11919075837323</v>
      </c>
      <c r="M1881" s="53" t="n">
        <f aca="true">NORMINV(RAND(),0,M$7)</f>
        <v>0.0475097679230143</v>
      </c>
      <c r="N1881" s="53" t="n">
        <f aca="true">NORMINV(RAND(),0,N$7)</f>
        <v>0.0753355187106806</v>
      </c>
      <c r="O1881" s="53" t="n">
        <f aca="false">SUM(J1881:N1881)</f>
        <v>0.338072195826302</v>
      </c>
    </row>
    <row r="1882" customFormat="false" ht="15" hidden="false" customHeight="false" outlineLevel="0" collapsed="false">
      <c r="A1882" s="2" t="n">
        <v>1874</v>
      </c>
      <c r="B1882" s="53" t="n">
        <f aca="true">NORMINV(RAND(),0,B$7)</f>
        <v>0.0909316471148217</v>
      </c>
      <c r="C1882" s="53" t="n">
        <f aca="true">NORMINV(RAND(),0,C$7)</f>
        <v>0.508694267739242</v>
      </c>
      <c r="D1882" s="53" t="n">
        <f aca="true">NORMINV(RAND(),0,D$7)</f>
        <v>0.391273670953871</v>
      </c>
      <c r="E1882" s="53" t="n">
        <f aca="true">NORMINV(RAND(),0,E$7)</f>
        <v>-0.0457495305282302</v>
      </c>
      <c r="F1882" s="53" t="n">
        <f aca="true">NORMINV(RAND(),0,F$7)</f>
        <v>0.424709235417565</v>
      </c>
      <c r="G1882" s="53" t="n">
        <f aca="true">NORMINV(RAND(),0,G$7)</f>
        <v>0.722425203642559</v>
      </c>
      <c r="H1882" s="53" t="n">
        <f aca="true">NORMINV(RAND(),0,H$7)</f>
        <v>0.300259816904297</v>
      </c>
      <c r="I1882" s="53" t="n">
        <f aca="false">SUM(B1882:H1882)</f>
        <v>2.39254431124413</v>
      </c>
      <c r="J1882" s="53" t="n">
        <f aca="true">NORMINV(RAND(),0,J$7)</f>
        <v>-3.78223187504849</v>
      </c>
      <c r="K1882" s="53" t="n">
        <f aca="true">NORMINV(RAND(),0,K$7)</f>
        <v>-0.329826968807242</v>
      </c>
      <c r="L1882" s="53" t="n">
        <f aca="true">NORMINV(RAND(),0,L$7)</f>
        <v>0.58493370364935</v>
      </c>
      <c r="M1882" s="53" t="n">
        <f aca="true">NORMINV(RAND(),0,M$7)</f>
        <v>-0.243553624359133</v>
      </c>
      <c r="N1882" s="53" t="n">
        <f aca="true">NORMINV(RAND(),0,N$7)</f>
        <v>-0.387336930245775</v>
      </c>
      <c r="O1882" s="53" t="n">
        <f aca="false">SUM(J1882:N1882)</f>
        <v>-4.1580156948113</v>
      </c>
    </row>
    <row r="1883" customFormat="false" ht="15" hidden="false" customHeight="false" outlineLevel="0" collapsed="false">
      <c r="A1883" s="2" t="n">
        <v>1875</v>
      </c>
      <c r="B1883" s="53" t="n">
        <f aca="true">NORMINV(RAND(),0,B$7)</f>
        <v>-1.47207033218047</v>
      </c>
      <c r="C1883" s="53" t="n">
        <f aca="true">NORMINV(RAND(),0,C$7)</f>
        <v>0.131783595228949</v>
      </c>
      <c r="D1883" s="53" t="n">
        <f aca="true">NORMINV(RAND(),0,D$7)</f>
        <v>0.268239069386374</v>
      </c>
      <c r="E1883" s="53" t="n">
        <f aca="true">NORMINV(RAND(),0,E$7)</f>
        <v>-0.220177619712447</v>
      </c>
      <c r="F1883" s="53" t="n">
        <f aca="true">NORMINV(RAND(),0,F$7)</f>
        <v>0.0988901371154412</v>
      </c>
      <c r="G1883" s="53" t="n">
        <f aca="true">NORMINV(RAND(),0,G$7)</f>
        <v>1.92379822090221</v>
      </c>
      <c r="H1883" s="53" t="n">
        <f aca="true">NORMINV(RAND(),0,H$7)</f>
        <v>-0.175601375378169</v>
      </c>
      <c r="I1883" s="53" t="n">
        <f aca="false">SUM(B1883:H1883)</f>
        <v>0.554861695361891</v>
      </c>
      <c r="J1883" s="53" t="n">
        <f aca="true">NORMINV(RAND(),0,J$7)</f>
        <v>-0.245346936958101</v>
      </c>
      <c r="K1883" s="53" t="n">
        <f aca="true">NORMINV(RAND(),0,K$7)</f>
        <v>-1.03317734831581</v>
      </c>
      <c r="L1883" s="53" t="n">
        <f aca="true">NORMINV(RAND(),0,L$7)</f>
        <v>-0.016489096069467</v>
      </c>
      <c r="M1883" s="53" t="n">
        <f aca="true">NORMINV(RAND(),0,M$7)</f>
        <v>0.296120089702821</v>
      </c>
      <c r="N1883" s="53" t="n">
        <f aca="true">NORMINV(RAND(),0,N$7)</f>
        <v>0.194743551960666</v>
      </c>
      <c r="O1883" s="53" t="n">
        <f aca="false">SUM(J1883:N1883)</f>
        <v>-0.804149739679894</v>
      </c>
    </row>
    <row r="1884" customFormat="false" ht="15" hidden="false" customHeight="false" outlineLevel="0" collapsed="false">
      <c r="A1884" s="2" t="n">
        <v>1876</v>
      </c>
      <c r="B1884" s="53" t="n">
        <f aca="true">NORMINV(RAND(),0,B$7)</f>
        <v>-0.771955937727195</v>
      </c>
      <c r="C1884" s="53" t="n">
        <f aca="true">NORMINV(RAND(),0,C$7)</f>
        <v>-0.134139795684031</v>
      </c>
      <c r="D1884" s="53" t="n">
        <f aca="true">NORMINV(RAND(),0,D$7)</f>
        <v>-0.639369974585448</v>
      </c>
      <c r="E1884" s="53" t="n">
        <f aca="true">NORMINV(RAND(),0,E$7)</f>
        <v>0.019891178063992</v>
      </c>
      <c r="F1884" s="53" t="n">
        <f aca="true">NORMINV(RAND(),0,F$7)</f>
        <v>-0.039833602035763</v>
      </c>
      <c r="G1884" s="53" t="n">
        <f aca="true">NORMINV(RAND(),0,G$7)</f>
        <v>-0.609028760268739</v>
      </c>
      <c r="H1884" s="53" t="n">
        <f aca="true">NORMINV(RAND(),0,H$7)</f>
        <v>-0.140452693319847</v>
      </c>
      <c r="I1884" s="53" t="n">
        <f aca="false">SUM(B1884:H1884)</f>
        <v>-2.31488958555703</v>
      </c>
      <c r="J1884" s="53" t="n">
        <f aca="true">NORMINV(RAND(),0,J$7)</f>
        <v>0.405553632697054</v>
      </c>
      <c r="K1884" s="53" t="n">
        <f aca="true">NORMINV(RAND(),0,K$7)</f>
        <v>-0.0061326285042566</v>
      </c>
      <c r="L1884" s="53" t="n">
        <f aca="true">NORMINV(RAND(),0,L$7)</f>
        <v>0.104805831735634</v>
      </c>
      <c r="M1884" s="53" t="n">
        <f aca="true">NORMINV(RAND(),0,M$7)</f>
        <v>0.080936734461447</v>
      </c>
      <c r="N1884" s="53" t="n">
        <f aca="true">NORMINV(RAND(),0,N$7)</f>
        <v>-0.180530271549977</v>
      </c>
      <c r="O1884" s="53" t="n">
        <f aca="false">SUM(J1884:N1884)</f>
        <v>0.404633298839901</v>
      </c>
    </row>
    <row r="1885" customFormat="false" ht="15" hidden="false" customHeight="false" outlineLevel="0" collapsed="false">
      <c r="A1885" s="2" t="n">
        <v>1877</v>
      </c>
      <c r="B1885" s="53" t="n">
        <f aca="true">NORMINV(RAND(),0,B$7)</f>
        <v>-1.55617394898489</v>
      </c>
      <c r="C1885" s="53" t="n">
        <f aca="true">NORMINV(RAND(),0,C$7)</f>
        <v>-0.17675421966145</v>
      </c>
      <c r="D1885" s="53" t="n">
        <f aca="true">NORMINV(RAND(),0,D$7)</f>
        <v>-0.216818834649381</v>
      </c>
      <c r="E1885" s="53" t="n">
        <f aca="true">NORMINV(RAND(),0,E$7)</f>
        <v>0.369609888006431</v>
      </c>
      <c r="F1885" s="53" t="n">
        <f aca="true">NORMINV(RAND(),0,F$7)</f>
        <v>-0.298564145789265</v>
      </c>
      <c r="G1885" s="53" t="n">
        <f aca="true">NORMINV(RAND(),0,G$7)</f>
        <v>-1.97831158487921</v>
      </c>
      <c r="H1885" s="53" t="n">
        <f aca="true">NORMINV(RAND(),0,H$7)</f>
        <v>-0.0428258966605847</v>
      </c>
      <c r="I1885" s="53" t="n">
        <f aca="false">SUM(B1885:H1885)</f>
        <v>-3.89983874261835</v>
      </c>
      <c r="J1885" s="53" t="n">
        <f aca="true">NORMINV(RAND(),0,J$7)</f>
        <v>4.92809344858514</v>
      </c>
      <c r="K1885" s="53" t="n">
        <f aca="true">NORMINV(RAND(),0,K$7)</f>
        <v>0.473316641373683</v>
      </c>
      <c r="L1885" s="53" t="n">
        <f aca="true">NORMINV(RAND(),0,L$7)</f>
        <v>0.130857767007757</v>
      </c>
      <c r="M1885" s="53" t="n">
        <f aca="true">NORMINV(RAND(),0,M$7)</f>
        <v>0.0952799697563525</v>
      </c>
      <c r="N1885" s="53" t="n">
        <f aca="true">NORMINV(RAND(),0,N$7)</f>
        <v>-0.15484546568679</v>
      </c>
      <c r="O1885" s="53" t="n">
        <f aca="false">SUM(J1885:N1885)</f>
        <v>5.47270236103614</v>
      </c>
    </row>
    <row r="1886" customFormat="false" ht="15" hidden="false" customHeight="false" outlineLevel="0" collapsed="false">
      <c r="A1886" s="2" t="n">
        <v>1878</v>
      </c>
      <c r="B1886" s="53" t="n">
        <f aca="true">NORMINV(RAND(),0,B$7)</f>
        <v>1.27631448654931</v>
      </c>
      <c r="C1886" s="53" t="n">
        <f aca="true">NORMINV(RAND(),0,C$7)</f>
        <v>-2.91916468928895</v>
      </c>
      <c r="D1886" s="53" t="n">
        <f aca="true">NORMINV(RAND(),0,D$7)</f>
        <v>0.452754753755277</v>
      </c>
      <c r="E1886" s="53" t="n">
        <f aca="true">NORMINV(RAND(),0,E$7)</f>
        <v>0.180003760963491</v>
      </c>
      <c r="F1886" s="53" t="n">
        <f aca="true">NORMINV(RAND(),0,F$7)</f>
        <v>0.133970631662115</v>
      </c>
      <c r="G1886" s="53" t="n">
        <f aca="true">NORMINV(RAND(),0,G$7)</f>
        <v>-0.105008382259965</v>
      </c>
      <c r="H1886" s="53" t="n">
        <f aca="true">NORMINV(RAND(),0,H$7)</f>
        <v>0.257812705254503</v>
      </c>
      <c r="I1886" s="53" t="n">
        <f aca="false">SUM(B1886:H1886)</f>
        <v>-0.723316733364218</v>
      </c>
      <c r="J1886" s="53" t="n">
        <f aca="true">NORMINV(RAND(),0,J$7)</f>
        <v>-3.43967406929889</v>
      </c>
      <c r="K1886" s="53" t="n">
        <f aca="true">NORMINV(RAND(),0,K$7)</f>
        <v>0.148842045739849</v>
      </c>
      <c r="L1886" s="53" t="n">
        <f aca="true">NORMINV(RAND(),0,L$7)</f>
        <v>0.453465184265562</v>
      </c>
      <c r="M1886" s="53" t="n">
        <f aca="true">NORMINV(RAND(),0,M$7)</f>
        <v>-0.0261097727618488</v>
      </c>
      <c r="N1886" s="53" t="n">
        <f aca="true">NORMINV(RAND(),0,N$7)</f>
        <v>-0.103653788547124</v>
      </c>
      <c r="O1886" s="53" t="n">
        <f aca="false">SUM(J1886:N1886)</f>
        <v>-2.96713040060245</v>
      </c>
    </row>
    <row r="1887" customFormat="false" ht="15" hidden="false" customHeight="false" outlineLevel="0" collapsed="false">
      <c r="A1887" s="2" t="n">
        <v>1879</v>
      </c>
      <c r="B1887" s="53" t="n">
        <f aca="true">NORMINV(RAND(),0,B$7)</f>
        <v>0.528585994664056</v>
      </c>
      <c r="C1887" s="53" t="n">
        <f aca="true">NORMINV(RAND(),0,C$7)</f>
        <v>0.349754392894696</v>
      </c>
      <c r="D1887" s="53" t="n">
        <f aca="true">NORMINV(RAND(),0,D$7)</f>
        <v>0.932906412066919</v>
      </c>
      <c r="E1887" s="53" t="n">
        <f aca="true">NORMINV(RAND(),0,E$7)</f>
        <v>-0.561810549079082</v>
      </c>
      <c r="F1887" s="53" t="n">
        <f aca="true">NORMINV(RAND(),0,F$7)</f>
        <v>-0.549273678677966</v>
      </c>
      <c r="G1887" s="53" t="n">
        <f aca="true">NORMINV(RAND(),0,G$7)</f>
        <v>0.662153286184978</v>
      </c>
      <c r="H1887" s="53" t="n">
        <f aca="true">NORMINV(RAND(),0,H$7)</f>
        <v>-0.0449057024585024</v>
      </c>
      <c r="I1887" s="53" t="n">
        <f aca="false">SUM(B1887:H1887)</f>
        <v>1.3174101555951</v>
      </c>
      <c r="J1887" s="53" t="n">
        <f aca="true">NORMINV(RAND(),0,J$7)</f>
        <v>-0.504234399785431</v>
      </c>
      <c r="K1887" s="53" t="n">
        <f aca="true">NORMINV(RAND(),0,K$7)</f>
        <v>1.29367839847541</v>
      </c>
      <c r="L1887" s="53" t="n">
        <f aca="true">NORMINV(RAND(),0,L$7)</f>
        <v>0.44984374985734</v>
      </c>
      <c r="M1887" s="53" t="n">
        <f aca="true">NORMINV(RAND(),0,M$7)</f>
        <v>-0.12280212187975</v>
      </c>
      <c r="N1887" s="53" t="n">
        <f aca="true">NORMINV(RAND(),0,N$7)</f>
        <v>-0.260825902106753</v>
      </c>
      <c r="O1887" s="53" t="n">
        <f aca="false">SUM(J1887:N1887)</f>
        <v>0.855659724560817</v>
      </c>
    </row>
    <row r="1888" customFormat="false" ht="15" hidden="false" customHeight="false" outlineLevel="0" collapsed="false">
      <c r="A1888" s="2" t="n">
        <v>1880</v>
      </c>
      <c r="B1888" s="53" t="n">
        <f aca="true">NORMINV(RAND(),0,B$7)</f>
        <v>0.361540373813473</v>
      </c>
      <c r="C1888" s="53" t="n">
        <f aca="true">NORMINV(RAND(),0,C$7)</f>
        <v>-1.06632797865443</v>
      </c>
      <c r="D1888" s="53" t="n">
        <f aca="true">NORMINV(RAND(),0,D$7)</f>
        <v>1.28192971244904</v>
      </c>
      <c r="E1888" s="53" t="n">
        <f aca="true">NORMINV(RAND(),0,E$7)</f>
        <v>-0.300636822880345</v>
      </c>
      <c r="F1888" s="53" t="n">
        <f aca="true">NORMINV(RAND(),0,F$7)</f>
        <v>-0.55116724289058</v>
      </c>
      <c r="G1888" s="53" t="n">
        <f aca="true">NORMINV(RAND(),0,G$7)</f>
        <v>1.1322979963916</v>
      </c>
      <c r="H1888" s="53" t="n">
        <f aca="true">NORMINV(RAND(),0,H$7)</f>
        <v>-0.409445149721383</v>
      </c>
      <c r="I1888" s="53" t="n">
        <f aca="false">SUM(B1888:H1888)</f>
        <v>0.448190888507369</v>
      </c>
      <c r="J1888" s="53" t="n">
        <f aca="true">NORMINV(RAND(),0,J$7)</f>
        <v>0.386128065774932</v>
      </c>
      <c r="K1888" s="53" t="n">
        <f aca="true">NORMINV(RAND(),0,K$7)</f>
        <v>1.14116751935843</v>
      </c>
      <c r="L1888" s="53" t="n">
        <f aca="true">NORMINV(RAND(),0,L$7)</f>
        <v>0.538983149610366</v>
      </c>
      <c r="M1888" s="53" t="n">
        <f aca="true">NORMINV(RAND(),0,M$7)</f>
        <v>0.211102298029104</v>
      </c>
      <c r="N1888" s="53" t="n">
        <f aca="true">NORMINV(RAND(),0,N$7)</f>
        <v>-0.144241514147821</v>
      </c>
      <c r="O1888" s="53" t="n">
        <f aca="false">SUM(J1888:N1888)</f>
        <v>2.13313951862501</v>
      </c>
    </row>
    <row r="1889" customFormat="false" ht="15" hidden="false" customHeight="false" outlineLevel="0" collapsed="false">
      <c r="A1889" s="2" t="n">
        <v>1881</v>
      </c>
      <c r="B1889" s="53" t="n">
        <f aca="true">NORMINV(RAND(),0,B$7)</f>
        <v>1.56046475133878</v>
      </c>
      <c r="C1889" s="53" t="n">
        <f aca="true">NORMINV(RAND(),0,C$7)</f>
        <v>1.56903655107385</v>
      </c>
      <c r="D1889" s="53" t="n">
        <f aca="true">NORMINV(RAND(),0,D$7)</f>
        <v>2.75813210141968</v>
      </c>
      <c r="E1889" s="53" t="n">
        <f aca="true">NORMINV(RAND(),0,E$7)</f>
        <v>-0.222249182750227</v>
      </c>
      <c r="F1889" s="53" t="n">
        <f aca="true">NORMINV(RAND(),0,F$7)</f>
        <v>0.122741996544556</v>
      </c>
      <c r="G1889" s="53" t="n">
        <f aca="true">NORMINV(RAND(),0,G$7)</f>
        <v>0.269643436962265</v>
      </c>
      <c r="H1889" s="53" t="n">
        <f aca="true">NORMINV(RAND(),0,H$7)</f>
        <v>0.0142645428000227</v>
      </c>
      <c r="I1889" s="53" t="n">
        <f aca="false">SUM(B1889:H1889)</f>
        <v>6.07203419738892</v>
      </c>
      <c r="J1889" s="53" t="n">
        <f aca="true">NORMINV(RAND(),0,J$7)</f>
        <v>-0.374373800013748</v>
      </c>
      <c r="K1889" s="53" t="n">
        <f aca="true">NORMINV(RAND(),0,K$7)</f>
        <v>-0.688644679372549</v>
      </c>
      <c r="L1889" s="53" t="n">
        <f aca="true">NORMINV(RAND(),0,L$7)</f>
        <v>-0.00613785150538439</v>
      </c>
      <c r="M1889" s="53" t="n">
        <f aca="true">NORMINV(RAND(),0,M$7)</f>
        <v>-0.257770654239277</v>
      </c>
      <c r="N1889" s="53" t="n">
        <f aca="true">NORMINV(RAND(),0,N$7)</f>
        <v>0.257265337899905</v>
      </c>
      <c r="O1889" s="53" t="n">
        <f aca="false">SUM(J1889:N1889)</f>
        <v>-1.06966164723105</v>
      </c>
    </row>
    <row r="1890" customFormat="false" ht="15" hidden="false" customHeight="false" outlineLevel="0" collapsed="false">
      <c r="A1890" s="2" t="n">
        <v>1882</v>
      </c>
      <c r="B1890" s="53" t="n">
        <f aca="true">NORMINV(RAND(),0,B$7)</f>
        <v>-1.73354163497525</v>
      </c>
      <c r="C1890" s="53" t="n">
        <f aca="true">NORMINV(RAND(),0,C$7)</f>
        <v>0.47193870578768</v>
      </c>
      <c r="D1890" s="53" t="n">
        <f aca="true">NORMINV(RAND(),0,D$7)</f>
        <v>-2.00988377235052</v>
      </c>
      <c r="E1890" s="53" t="n">
        <f aca="true">NORMINV(RAND(),0,E$7)</f>
        <v>0.0425401942497333</v>
      </c>
      <c r="F1890" s="53" t="n">
        <f aca="true">NORMINV(RAND(),0,F$7)</f>
        <v>0.0560070111871348</v>
      </c>
      <c r="G1890" s="53" t="n">
        <f aca="true">NORMINV(RAND(),0,G$7)</f>
        <v>0.694589864527287</v>
      </c>
      <c r="H1890" s="53" t="n">
        <f aca="true">NORMINV(RAND(),0,H$7)</f>
        <v>-0.203484601171979</v>
      </c>
      <c r="I1890" s="53" t="n">
        <f aca="false">SUM(B1890:H1890)</f>
        <v>-2.68183423274591</v>
      </c>
      <c r="J1890" s="53" t="n">
        <f aca="true">NORMINV(RAND(),0,J$7)</f>
        <v>-3.53275066263604</v>
      </c>
      <c r="K1890" s="53" t="n">
        <f aca="true">NORMINV(RAND(),0,K$7)</f>
        <v>0.317201824880515</v>
      </c>
      <c r="L1890" s="53" t="n">
        <f aca="true">NORMINV(RAND(),0,L$7)</f>
        <v>0.0511765438496598</v>
      </c>
      <c r="M1890" s="53" t="n">
        <f aca="true">NORMINV(RAND(),0,M$7)</f>
        <v>0.139169346808438</v>
      </c>
      <c r="N1890" s="53" t="n">
        <f aca="true">NORMINV(RAND(),0,N$7)</f>
        <v>-0.112240319885747</v>
      </c>
      <c r="O1890" s="53" t="n">
        <f aca="false">SUM(J1890:N1890)</f>
        <v>-3.13744326698318</v>
      </c>
    </row>
    <row r="1891" customFormat="false" ht="15" hidden="false" customHeight="false" outlineLevel="0" collapsed="false">
      <c r="A1891" s="2" t="n">
        <v>1883</v>
      </c>
      <c r="B1891" s="53" t="n">
        <f aca="true">NORMINV(RAND(),0,B$7)</f>
        <v>-0.590866451159493</v>
      </c>
      <c r="C1891" s="53" t="n">
        <f aca="true">NORMINV(RAND(),0,C$7)</f>
        <v>0.524369833259373</v>
      </c>
      <c r="D1891" s="53" t="n">
        <f aca="true">NORMINV(RAND(),0,D$7)</f>
        <v>-1.45583818397005</v>
      </c>
      <c r="E1891" s="53" t="n">
        <f aca="true">NORMINV(RAND(),0,E$7)</f>
        <v>0.174350143743155</v>
      </c>
      <c r="F1891" s="53" t="n">
        <f aca="true">NORMINV(RAND(),0,F$7)</f>
        <v>-0.393219518090646</v>
      </c>
      <c r="G1891" s="53" t="n">
        <f aca="true">NORMINV(RAND(),0,G$7)</f>
        <v>-2.99203841067308</v>
      </c>
      <c r="H1891" s="53" t="n">
        <f aca="true">NORMINV(RAND(),0,H$7)</f>
        <v>0.244081534150934</v>
      </c>
      <c r="I1891" s="53" t="n">
        <f aca="false">SUM(B1891:H1891)</f>
        <v>-4.4891610527398</v>
      </c>
      <c r="J1891" s="53" t="n">
        <f aca="true">NORMINV(RAND(),0,J$7)</f>
        <v>1.16127782615745</v>
      </c>
      <c r="K1891" s="53" t="n">
        <f aca="true">NORMINV(RAND(),0,K$7)</f>
        <v>1.10796862486595</v>
      </c>
      <c r="L1891" s="53" t="n">
        <f aca="true">NORMINV(RAND(),0,L$7)</f>
        <v>0.123011542640371</v>
      </c>
      <c r="M1891" s="53" t="n">
        <f aca="true">NORMINV(RAND(),0,M$7)</f>
        <v>0.118715354140006</v>
      </c>
      <c r="N1891" s="53" t="n">
        <f aca="true">NORMINV(RAND(),0,N$7)</f>
        <v>0.540546857939929</v>
      </c>
      <c r="O1891" s="53" t="n">
        <f aca="false">SUM(J1891:N1891)</f>
        <v>3.0515202057437</v>
      </c>
    </row>
    <row r="1892" customFormat="false" ht="15" hidden="false" customHeight="false" outlineLevel="0" collapsed="false">
      <c r="A1892" s="2" t="n">
        <v>1884</v>
      </c>
      <c r="B1892" s="53" t="n">
        <f aca="true">NORMINV(RAND(),0,B$7)</f>
        <v>1.85954810837372</v>
      </c>
      <c r="C1892" s="53" t="n">
        <f aca="true">NORMINV(RAND(),0,C$7)</f>
        <v>-1.27802266443038</v>
      </c>
      <c r="D1892" s="53" t="n">
        <f aca="true">NORMINV(RAND(),0,D$7)</f>
        <v>0.409789333413372</v>
      </c>
      <c r="E1892" s="53" t="n">
        <f aca="true">NORMINV(RAND(),0,E$7)</f>
        <v>-0.572786225734949</v>
      </c>
      <c r="F1892" s="53" t="n">
        <f aca="true">NORMINV(RAND(),0,F$7)</f>
        <v>0.166204531619106</v>
      </c>
      <c r="G1892" s="53" t="n">
        <f aca="true">NORMINV(RAND(),0,G$7)</f>
        <v>0.647170628531472</v>
      </c>
      <c r="H1892" s="53" t="n">
        <f aca="true">NORMINV(RAND(),0,H$7)</f>
        <v>0.0359798249195154</v>
      </c>
      <c r="I1892" s="53" t="n">
        <f aca="false">SUM(B1892:H1892)</f>
        <v>1.26788353669185</v>
      </c>
      <c r="J1892" s="53" t="n">
        <f aca="true">NORMINV(RAND(),0,J$7)</f>
        <v>1.05982840911788</v>
      </c>
      <c r="K1892" s="53" t="n">
        <f aca="true">NORMINV(RAND(),0,K$7)</f>
        <v>-1.00502664948742</v>
      </c>
      <c r="L1892" s="53" t="n">
        <f aca="true">NORMINV(RAND(),0,L$7)</f>
        <v>0.52842090740718</v>
      </c>
      <c r="M1892" s="53" t="n">
        <f aca="true">NORMINV(RAND(),0,M$7)</f>
        <v>-0.322838823098843</v>
      </c>
      <c r="N1892" s="53" t="n">
        <f aca="true">NORMINV(RAND(),0,N$7)</f>
        <v>0.00638445434776526</v>
      </c>
      <c r="O1892" s="53" t="n">
        <f aca="false">SUM(J1892:N1892)</f>
        <v>0.266768298286564</v>
      </c>
    </row>
    <row r="1893" customFormat="false" ht="15" hidden="false" customHeight="false" outlineLevel="0" collapsed="false">
      <c r="A1893" s="2" t="n">
        <v>1885</v>
      </c>
      <c r="B1893" s="53" t="n">
        <f aca="true">NORMINV(RAND(),0,B$7)</f>
        <v>0.340981330347318</v>
      </c>
      <c r="C1893" s="53" t="n">
        <f aca="true">NORMINV(RAND(),0,C$7)</f>
        <v>1.30173176759116</v>
      </c>
      <c r="D1893" s="53" t="n">
        <f aca="true">NORMINV(RAND(),0,D$7)</f>
        <v>3.48060264870029</v>
      </c>
      <c r="E1893" s="53" t="n">
        <f aca="true">NORMINV(RAND(),0,E$7)</f>
        <v>-0.0501894304824837</v>
      </c>
      <c r="F1893" s="53" t="n">
        <f aca="true">NORMINV(RAND(),0,F$7)</f>
        <v>-0.59873128382589</v>
      </c>
      <c r="G1893" s="53" t="n">
        <f aca="true">NORMINV(RAND(),0,G$7)</f>
        <v>-0.0681847626363927</v>
      </c>
      <c r="H1893" s="53" t="n">
        <f aca="true">NORMINV(RAND(),0,H$7)</f>
        <v>0.272670199518986</v>
      </c>
      <c r="I1893" s="53" t="n">
        <f aca="false">SUM(B1893:H1893)</f>
        <v>4.67888046921298</v>
      </c>
      <c r="J1893" s="53" t="n">
        <f aca="true">NORMINV(RAND(),0,J$7)</f>
        <v>2.30439015441328</v>
      </c>
      <c r="K1893" s="53" t="n">
        <f aca="true">NORMINV(RAND(),0,K$7)</f>
        <v>-0.0834017386981408</v>
      </c>
      <c r="L1893" s="53" t="n">
        <f aca="true">NORMINV(RAND(),0,L$7)</f>
        <v>0.148095340487612</v>
      </c>
      <c r="M1893" s="53" t="n">
        <f aca="true">NORMINV(RAND(),0,M$7)</f>
        <v>-0.144292484969212</v>
      </c>
      <c r="N1893" s="53" t="n">
        <f aca="true">NORMINV(RAND(),0,N$7)</f>
        <v>-0.262047931418716</v>
      </c>
      <c r="O1893" s="53" t="n">
        <f aca="false">SUM(J1893:N1893)</f>
        <v>1.96274333981483</v>
      </c>
    </row>
    <row r="1894" customFormat="false" ht="15" hidden="false" customHeight="false" outlineLevel="0" collapsed="false">
      <c r="A1894" s="2" t="n">
        <v>1886</v>
      </c>
      <c r="B1894" s="53" t="n">
        <f aca="true">NORMINV(RAND(),0,B$7)</f>
        <v>-1.19552542436803</v>
      </c>
      <c r="C1894" s="53" t="n">
        <f aca="true">NORMINV(RAND(),0,C$7)</f>
        <v>-1.3193199181414</v>
      </c>
      <c r="D1894" s="53" t="n">
        <f aca="true">NORMINV(RAND(),0,D$7)</f>
        <v>2.33329822551617</v>
      </c>
      <c r="E1894" s="53" t="n">
        <f aca="true">NORMINV(RAND(),0,E$7)</f>
        <v>-0.435628512131601</v>
      </c>
      <c r="F1894" s="53" t="n">
        <f aca="true">NORMINV(RAND(),0,F$7)</f>
        <v>0.0584199272203106</v>
      </c>
      <c r="G1894" s="53" t="n">
        <f aca="true">NORMINV(RAND(),0,G$7)</f>
        <v>1.37038552661211</v>
      </c>
      <c r="H1894" s="53" t="n">
        <f aca="true">NORMINV(RAND(),0,H$7)</f>
        <v>-0.465916721713078</v>
      </c>
      <c r="I1894" s="53" t="n">
        <f aca="false">SUM(B1894:H1894)</f>
        <v>0.345713102994487</v>
      </c>
      <c r="J1894" s="53" t="n">
        <f aca="true">NORMINV(RAND(),0,J$7)</f>
        <v>1.05327096233572</v>
      </c>
      <c r="K1894" s="53" t="n">
        <f aca="true">NORMINV(RAND(),0,K$7)</f>
        <v>-1.1659946155655</v>
      </c>
      <c r="L1894" s="53" t="n">
        <f aca="true">NORMINV(RAND(),0,L$7)</f>
        <v>0.21607448536714</v>
      </c>
      <c r="M1894" s="53" t="n">
        <f aca="true">NORMINV(RAND(),0,M$7)</f>
        <v>0.235226815169409</v>
      </c>
      <c r="N1894" s="53" t="n">
        <f aca="true">NORMINV(RAND(),0,N$7)</f>
        <v>0.379804266712098</v>
      </c>
      <c r="O1894" s="53" t="n">
        <f aca="false">SUM(J1894:N1894)</f>
        <v>0.718381914018872</v>
      </c>
    </row>
    <row r="1895" customFormat="false" ht="15" hidden="false" customHeight="false" outlineLevel="0" collapsed="false">
      <c r="A1895" s="2" t="n">
        <v>1887</v>
      </c>
      <c r="B1895" s="53" t="n">
        <f aca="true">NORMINV(RAND(),0,B$7)</f>
        <v>2.2903469949061</v>
      </c>
      <c r="C1895" s="53" t="n">
        <f aca="true">NORMINV(RAND(),0,C$7)</f>
        <v>1.07577516432927</v>
      </c>
      <c r="D1895" s="53" t="n">
        <f aca="true">NORMINV(RAND(),0,D$7)</f>
        <v>0.844512860664088</v>
      </c>
      <c r="E1895" s="53" t="n">
        <f aca="true">NORMINV(RAND(),0,E$7)</f>
        <v>0.183624538038164</v>
      </c>
      <c r="F1895" s="53" t="n">
        <f aca="true">NORMINV(RAND(),0,F$7)</f>
        <v>-0.238372409162553</v>
      </c>
      <c r="G1895" s="53" t="n">
        <f aca="true">NORMINV(RAND(),0,G$7)</f>
        <v>0.301031934715715</v>
      </c>
      <c r="H1895" s="53" t="n">
        <f aca="true">NORMINV(RAND(),0,H$7)</f>
        <v>-0.190678099263535</v>
      </c>
      <c r="I1895" s="53" t="n">
        <f aca="false">SUM(B1895:H1895)</f>
        <v>4.26624098422725</v>
      </c>
      <c r="J1895" s="53" t="n">
        <f aca="true">NORMINV(RAND(),0,J$7)</f>
        <v>-1.95779515980566</v>
      </c>
      <c r="K1895" s="53" t="n">
        <f aca="true">NORMINV(RAND(),0,K$7)</f>
        <v>0.420044637641503</v>
      </c>
      <c r="L1895" s="53" t="n">
        <f aca="true">NORMINV(RAND(),0,L$7)</f>
        <v>-0.641133339180948</v>
      </c>
      <c r="M1895" s="53" t="n">
        <f aca="true">NORMINV(RAND(),0,M$7)</f>
        <v>0.107034612347987</v>
      </c>
      <c r="N1895" s="53" t="n">
        <f aca="true">NORMINV(RAND(),0,N$7)</f>
        <v>0.44956299489437</v>
      </c>
      <c r="O1895" s="53" t="n">
        <f aca="false">SUM(J1895:N1895)</f>
        <v>-1.62228625410275</v>
      </c>
    </row>
    <row r="1896" customFormat="false" ht="15" hidden="false" customHeight="false" outlineLevel="0" collapsed="false">
      <c r="A1896" s="2" t="n">
        <v>1888</v>
      </c>
      <c r="B1896" s="53" t="n">
        <f aca="true">NORMINV(RAND(),0,B$7)</f>
        <v>-3.17119026877974</v>
      </c>
      <c r="C1896" s="53" t="n">
        <f aca="true">NORMINV(RAND(),0,C$7)</f>
        <v>2.58899322326901</v>
      </c>
      <c r="D1896" s="53" t="n">
        <f aca="true">NORMINV(RAND(),0,D$7)</f>
        <v>2.4217484480845</v>
      </c>
      <c r="E1896" s="53" t="n">
        <f aca="true">NORMINV(RAND(),0,E$7)</f>
        <v>0.408301630912372</v>
      </c>
      <c r="F1896" s="53" t="n">
        <f aca="true">NORMINV(RAND(),0,F$7)</f>
        <v>-0.204103722027755</v>
      </c>
      <c r="G1896" s="53" t="n">
        <f aca="true">NORMINV(RAND(),0,G$7)</f>
        <v>-0.569906802247794</v>
      </c>
      <c r="H1896" s="53" t="n">
        <f aca="true">NORMINV(RAND(),0,H$7)</f>
        <v>-0.188029722750981</v>
      </c>
      <c r="I1896" s="53" t="n">
        <f aca="false">SUM(B1896:H1896)</f>
        <v>1.28581278645961</v>
      </c>
      <c r="J1896" s="53" t="n">
        <f aca="true">NORMINV(RAND(),0,J$7)</f>
        <v>-2.69655178236744</v>
      </c>
      <c r="K1896" s="53" t="n">
        <f aca="true">NORMINV(RAND(),0,K$7)</f>
        <v>-0.232932043371557</v>
      </c>
      <c r="L1896" s="53" t="n">
        <f aca="true">NORMINV(RAND(),0,L$7)</f>
        <v>-0.539744898674129</v>
      </c>
      <c r="M1896" s="53" t="n">
        <f aca="true">NORMINV(RAND(),0,M$7)</f>
        <v>-0.0397502371218973</v>
      </c>
      <c r="N1896" s="53" t="n">
        <f aca="true">NORMINV(RAND(),0,N$7)</f>
        <v>0.715956932285835</v>
      </c>
      <c r="O1896" s="53" t="n">
        <f aca="false">SUM(J1896:N1896)</f>
        <v>-2.79302202924919</v>
      </c>
    </row>
    <row r="1897" customFormat="false" ht="15" hidden="false" customHeight="false" outlineLevel="0" collapsed="false">
      <c r="A1897" s="2" t="n">
        <v>1889</v>
      </c>
      <c r="B1897" s="53" t="n">
        <f aca="true">NORMINV(RAND(),0,B$7)</f>
        <v>-0.967447417500021</v>
      </c>
      <c r="C1897" s="53" t="n">
        <f aca="true">NORMINV(RAND(),0,C$7)</f>
        <v>-1.27139846156015</v>
      </c>
      <c r="D1897" s="53" t="n">
        <f aca="true">NORMINV(RAND(),0,D$7)</f>
        <v>-0.176090780538038</v>
      </c>
      <c r="E1897" s="53" t="n">
        <f aca="true">NORMINV(RAND(),0,E$7)</f>
        <v>0.215576220474249</v>
      </c>
      <c r="F1897" s="53" t="n">
        <f aca="true">NORMINV(RAND(),0,F$7)</f>
        <v>0.000720256183469007</v>
      </c>
      <c r="G1897" s="53" t="n">
        <f aca="true">NORMINV(RAND(),0,G$7)</f>
        <v>-0.514191272981102</v>
      </c>
      <c r="H1897" s="53" t="n">
        <f aca="true">NORMINV(RAND(),0,H$7)</f>
        <v>0.599404175911649</v>
      </c>
      <c r="I1897" s="53" t="n">
        <f aca="false">SUM(B1897:H1897)</f>
        <v>-2.11342728000995</v>
      </c>
      <c r="J1897" s="53" t="n">
        <f aca="true">NORMINV(RAND(),0,J$7)</f>
        <v>2.47006294697742</v>
      </c>
      <c r="K1897" s="53" t="n">
        <f aca="true">NORMINV(RAND(),0,K$7)</f>
        <v>0.534113491799626</v>
      </c>
      <c r="L1897" s="53" t="n">
        <f aca="true">NORMINV(RAND(),0,L$7)</f>
        <v>0.0188112594580979</v>
      </c>
      <c r="M1897" s="53" t="n">
        <f aca="true">NORMINV(RAND(),0,M$7)</f>
        <v>0.119735980687256</v>
      </c>
      <c r="N1897" s="53" t="n">
        <f aca="true">NORMINV(RAND(),0,N$7)</f>
        <v>0.34257697506967</v>
      </c>
      <c r="O1897" s="53" t="n">
        <f aca="false">SUM(J1897:N1897)</f>
        <v>3.48530065399207</v>
      </c>
    </row>
    <row r="1898" customFormat="false" ht="15" hidden="false" customHeight="false" outlineLevel="0" collapsed="false">
      <c r="A1898" s="2" t="n">
        <v>1890</v>
      </c>
      <c r="B1898" s="53" t="n">
        <f aca="true">NORMINV(RAND(),0,B$7)</f>
        <v>-0.0973888246392702</v>
      </c>
      <c r="C1898" s="53" t="n">
        <f aca="true">NORMINV(RAND(),0,C$7)</f>
        <v>-2.49868712153072</v>
      </c>
      <c r="D1898" s="53" t="n">
        <f aca="true">NORMINV(RAND(),0,D$7)</f>
        <v>-1.33802719927711</v>
      </c>
      <c r="E1898" s="53" t="n">
        <f aca="true">NORMINV(RAND(),0,E$7)</f>
        <v>0.0718187481276247</v>
      </c>
      <c r="F1898" s="53" t="n">
        <f aca="true">NORMINV(RAND(),0,F$7)</f>
        <v>-0.221591446377966</v>
      </c>
      <c r="G1898" s="53" t="n">
        <f aca="true">NORMINV(RAND(),0,G$7)</f>
        <v>1.66659030579557</v>
      </c>
      <c r="H1898" s="53" t="n">
        <f aca="true">NORMINV(RAND(),0,H$7)</f>
        <v>0.0169283842477758</v>
      </c>
      <c r="I1898" s="53" t="n">
        <f aca="false">SUM(B1898:H1898)</f>
        <v>-2.40035715365409</v>
      </c>
      <c r="J1898" s="53" t="n">
        <f aca="true">NORMINV(RAND(),0,J$7)</f>
        <v>-0.853641479422549</v>
      </c>
      <c r="K1898" s="53" t="n">
        <f aca="true">NORMINV(RAND(),0,K$7)</f>
        <v>0.397070611521752</v>
      </c>
      <c r="L1898" s="53" t="n">
        <f aca="true">NORMINV(RAND(),0,L$7)</f>
        <v>-0.118426337595214</v>
      </c>
      <c r="M1898" s="53" t="n">
        <f aca="true">NORMINV(RAND(),0,M$7)</f>
        <v>-0.131783054976402</v>
      </c>
      <c r="N1898" s="53" t="n">
        <f aca="true">NORMINV(RAND(),0,N$7)</f>
        <v>-0.315986917012945</v>
      </c>
      <c r="O1898" s="53" t="n">
        <f aca="false">SUM(J1898:N1898)</f>
        <v>-1.02276717748536</v>
      </c>
    </row>
    <row r="1899" customFormat="false" ht="15" hidden="false" customHeight="false" outlineLevel="0" collapsed="false">
      <c r="A1899" s="2" t="n">
        <v>1891</v>
      </c>
      <c r="B1899" s="53" t="n">
        <f aca="true">NORMINV(RAND(),0,B$7)</f>
        <v>-2.18920064889713</v>
      </c>
      <c r="C1899" s="53" t="n">
        <f aca="true">NORMINV(RAND(),0,C$7)</f>
        <v>-0.403028749861224</v>
      </c>
      <c r="D1899" s="53" t="n">
        <f aca="true">NORMINV(RAND(),0,D$7)</f>
        <v>-0.29061001480635</v>
      </c>
      <c r="E1899" s="53" t="n">
        <f aca="true">NORMINV(RAND(),0,E$7)</f>
        <v>-0.149681841639222</v>
      </c>
      <c r="F1899" s="53" t="n">
        <f aca="true">NORMINV(RAND(),0,F$7)</f>
        <v>-0.159453821703728</v>
      </c>
      <c r="G1899" s="53" t="n">
        <f aca="true">NORMINV(RAND(),0,G$7)</f>
        <v>4.22729533873662</v>
      </c>
      <c r="H1899" s="53" t="n">
        <f aca="true">NORMINV(RAND(),0,H$7)</f>
        <v>0.46366696456531</v>
      </c>
      <c r="I1899" s="53" t="n">
        <f aca="false">SUM(B1899:H1899)</f>
        <v>1.49898722639428</v>
      </c>
      <c r="J1899" s="53" t="n">
        <f aca="true">NORMINV(RAND(),0,J$7)</f>
        <v>-2.60059754261646</v>
      </c>
      <c r="K1899" s="53" t="n">
        <f aca="true">NORMINV(RAND(),0,K$7)</f>
        <v>-0.836436682395924</v>
      </c>
      <c r="L1899" s="53" t="n">
        <f aca="true">NORMINV(RAND(),0,L$7)</f>
        <v>0.325368059755759</v>
      </c>
      <c r="M1899" s="53" t="n">
        <f aca="true">NORMINV(RAND(),0,M$7)</f>
        <v>0.00443120244237386</v>
      </c>
      <c r="N1899" s="53" t="n">
        <f aca="true">NORMINV(RAND(),0,N$7)</f>
        <v>0.154894351093846</v>
      </c>
      <c r="O1899" s="53" t="n">
        <f aca="false">SUM(J1899:N1899)</f>
        <v>-2.95234061172041</v>
      </c>
    </row>
    <row r="1900" customFormat="false" ht="15" hidden="false" customHeight="false" outlineLevel="0" collapsed="false">
      <c r="A1900" s="2" t="n">
        <v>1892</v>
      </c>
      <c r="B1900" s="53" t="n">
        <f aca="true">NORMINV(RAND(),0,B$7)</f>
        <v>1.3344757529518</v>
      </c>
      <c r="C1900" s="53" t="n">
        <f aca="true">NORMINV(RAND(),0,C$7)</f>
        <v>4.01936296176416</v>
      </c>
      <c r="D1900" s="53" t="n">
        <f aca="true">NORMINV(RAND(),0,D$7)</f>
        <v>2.58468886251071</v>
      </c>
      <c r="E1900" s="53" t="n">
        <f aca="true">NORMINV(RAND(),0,E$7)</f>
        <v>0.14296877397513</v>
      </c>
      <c r="F1900" s="53" t="n">
        <f aca="true">NORMINV(RAND(),0,F$7)</f>
        <v>0.0805802545184506</v>
      </c>
      <c r="G1900" s="53" t="n">
        <f aca="true">NORMINV(RAND(),0,G$7)</f>
        <v>-1.81344547318286</v>
      </c>
      <c r="H1900" s="53" t="n">
        <f aca="true">NORMINV(RAND(),0,H$7)</f>
        <v>-0.591665366671902</v>
      </c>
      <c r="I1900" s="53" t="n">
        <f aca="false">SUM(B1900:H1900)</f>
        <v>5.75696576586549</v>
      </c>
      <c r="J1900" s="53" t="n">
        <f aca="true">NORMINV(RAND(),0,J$7)</f>
        <v>-1.17107036346471</v>
      </c>
      <c r="K1900" s="53" t="n">
        <f aca="true">NORMINV(RAND(),0,K$7)</f>
        <v>-1.46410878530947</v>
      </c>
      <c r="L1900" s="53" t="n">
        <f aca="true">NORMINV(RAND(),0,L$7)</f>
        <v>-0.0886110586688421</v>
      </c>
      <c r="M1900" s="53" t="n">
        <f aca="true">NORMINV(RAND(),0,M$7)</f>
        <v>0.00198767257476733</v>
      </c>
      <c r="N1900" s="53" t="n">
        <f aca="true">NORMINV(RAND(),0,N$7)</f>
        <v>-0.183486944442204</v>
      </c>
      <c r="O1900" s="53" t="n">
        <f aca="false">SUM(J1900:N1900)</f>
        <v>-2.90528947931046</v>
      </c>
    </row>
    <row r="1901" customFormat="false" ht="15" hidden="false" customHeight="false" outlineLevel="0" collapsed="false">
      <c r="A1901" s="2" t="n">
        <v>1893</v>
      </c>
      <c r="B1901" s="53" t="n">
        <f aca="true">NORMINV(RAND(),0,B$7)</f>
        <v>0.775455135598285</v>
      </c>
      <c r="C1901" s="53" t="n">
        <f aca="true">NORMINV(RAND(),0,C$7)</f>
        <v>-0.933031041290815</v>
      </c>
      <c r="D1901" s="53" t="n">
        <f aca="true">NORMINV(RAND(),0,D$7)</f>
        <v>-1.36271902158894</v>
      </c>
      <c r="E1901" s="53" t="n">
        <f aca="true">NORMINV(RAND(),0,E$7)</f>
        <v>-0.311915867394291</v>
      </c>
      <c r="F1901" s="53" t="n">
        <f aca="true">NORMINV(RAND(),0,F$7)</f>
        <v>0.338990041978958</v>
      </c>
      <c r="G1901" s="53" t="n">
        <f aca="true">NORMINV(RAND(),0,G$7)</f>
        <v>3.14836269666715</v>
      </c>
      <c r="H1901" s="53" t="n">
        <f aca="true">NORMINV(RAND(),0,H$7)</f>
        <v>-0.219955534521756</v>
      </c>
      <c r="I1901" s="53" t="n">
        <f aca="false">SUM(B1901:H1901)</f>
        <v>1.43518640944859</v>
      </c>
      <c r="J1901" s="53" t="n">
        <f aca="true">NORMINV(RAND(),0,J$7)</f>
        <v>0.559053807703858</v>
      </c>
      <c r="K1901" s="53" t="n">
        <f aca="true">NORMINV(RAND(),0,K$7)</f>
        <v>-1.06100191351883</v>
      </c>
      <c r="L1901" s="53" t="n">
        <f aca="true">NORMINV(RAND(),0,L$7)</f>
        <v>-0.710402844221545</v>
      </c>
      <c r="M1901" s="53" t="n">
        <f aca="true">NORMINV(RAND(),0,M$7)</f>
        <v>-0.0744013850660421</v>
      </c>
      <c r="N1901" s="53" t="n">
        <f aca="true">NORMINV(RAND(),0,N$7)</f>
        <v>0.235569895993829</v>
      </c>
      <c r="O1901" s="53" t="n">
        <f aca="false">SUM(J1901:N1901)</f>
        <v>-1.05118243910873</v>
      </c>
    </row>
    <row r="1902" customFormat="false" ht="15" hidden="false" customHeight="false" outlineLevel="0" collapsed="false">
      <c r="A1902" s="2" t="n">
        <v>1894</v>
      </c>
      <c r="B1902" s="53" t="n">
        <f aca="true">NORMINV(RAND(),0,B$7)</f>
        <v>-1.17977723100859</v>
      </c>
      <c r="C1902" s="53" t="n">
        <f aca="true">NORMINV(RAND(),0,C$7)</f>
        <v>0.831220778105392</v>
      </c>
      <c r="D1902" s="53" t="n">
        <f aca="true">NORMINV(RAND(),0,D$7)</f>
        <v>2.41044464492555</v>
      </c>
      <c r="E1902" s="53" t="n">
        <f aca="true">NORMINV(RAND(),0,E$7)</f>
        <v>0.18888789487168</v>
      </c>
      <c r="F1902" s="53" t="n">
        <f aca="true">NORMINV(RAND(),0,F$7)</f>
        <v>-0.208901941585459</v>
      </c>
      <c r="G1902" s="53" t="n">
        <f aca="true">NORMINV(RAND(),0,G$7)</f>
        <v>-3.16526288420817</v>
      </c>
      <c r="H1902" s="53" t="n">
        <f aca="true">NORMINV(RAND(),0,H$7)</f>
        <v>0.272486079100806</v>
      </c>
      <c r="I1902" s="53" t="n">
        <f aca="false">SUM(B1902:H1902)</f>
        <v>-0.850902659798793</v>
      </c>
      <c r="J1902" s="53" t="n">
        <f aca="true">NORMINV(RAND(),0,J$7)</f>
        <v>-1.02984730814377</v>
      </c>
      <c r="K1902" s="53" t="n">
        <f aca="true">NORMINV(RAND(),0,K$7)</f>
        <v>0.720191702895093</v>
      </c>
      <c r="L1902" s="53" t="n">
        <f aca="true">NORMINV(RAND(),0,L$7)</f>
        <v>0.00834133950872748</v>
      </c>
      <c r="M1902" s="53" t="n">
        <f aca="true">NORMINV(RAND(),0,M$7)</f>
        <v>-0.0612259783093932</v>
      </c>
      <c r="N1902" s="53" t="n">
        <f aca="true">NORMINV(RAND(),0,N$7)</f>
        <v>0.159335477529353</v>
      </c>
      <c r="O1902" s="53" t="n">
        <f aca="false">SUM(J1902:N1902)</f>
        <v>-0.203204766519994</v>
      </c>
    </row>
    <row r="1903" customFormat="false" ht="15" hidden="false" customHeight="false" outlineLevel="0" collapsed="false">
      <c r="A1903" s="2" t="n">
        <v>1895</v>
      </c>
      <c r="B1903" s="53" t="n">
        <f aca="true">NORMINV(RAND(),0,B$7)</f>
        <v>0.488553760933379</v>
      </c>
      <c r="C1903" s="53" t="n">
        <f aca="true">NORMINV(RAND(),0,C$7)</f>
        <v>-0.513589453529408</v>
      </c>
      <c r="D1903" s="53" t="n">
        <f aca="true">NORMINV(RAND(),0,D$7)</f>
        <v>-2.66233209667356</v>
      </c>
      <c r="E1903" s="53" t="n">
        <f aca="true">NORMINV(RAND(),0,E$7)</f>
        <v>-0.289862800858709</v>
      </c>
      <c r="F1903" s="53" t="n">
        <f aca="true">NORMINV(RAND(),0,F$7)</f>
        <v>0.0553600346540397</v>
      </c>
      <c r="G1903" s="53" t="n">
        <f aca="true">NORMINV(RAND(),0,G$7)</f>
        <v>1.19695141057719</v>
      </c>
      <c r="H1903" s="53" t="n">
        <f aca="true">NORMINV(RAND(),0,H$7)</f>
        <v>0.361034326401137</v>
      </c>
      <c r="I1903" s="53" t="n">
        <f aca="false">SUM(B1903:H1903)</f>
        <v>-1.36388481849593</v>
      </c>
      <c r="J1903" s="53" t="n">
        <f aca="true">NORMINV(RAND(),0,J$7)</f>
        <v>-1.30524013663428</v>
      </c>
      <c r="K1903" s="53" t="n">
        <f aca="true">NORMINV(RAND(),0,K$7)</f>
        <v>1.03113303089314</v>
      </c>
      <c r="L1903" s="53" t="n">
        <f aca="true">NORMINV(RAND(),0,L$7)</f>
        <v>-0.15069390674542</v>
      </c>
      <c r="M1903" s="53" t="n">
        <f aca="true">NORMINV(RAND(),0,M$7)</f>
        <v>0.22107663400628</v>
      </c>
      <c r="N1903" s="53" t="n">
        <f aca="true">NORMINV(RAND(),0,N$7)</f>
        <v>-0.291912448905574</v>
      </c>
      <c r="O1903" s="53" t="n">
        <f aca="false">SUM(J1903:N1903)</f>
        <v>-0.495636827385855</v>
      </c>
    </row>
    <row r="1904" customFormat="false" ht="15" hidden="false" customHeight="false" outlineLevel="0" collapsed="false">
      <c r="A1904" s="2" t="n">
        <v>1896</v>
      </c>
      <c r="B1904" s="53" t="n">
        <f aca="true">NORMINV(RAND(),0,B$7)</f>
        <v>-0.755696496082062</v>
      </c>
      <c r="C1904" s="53" t="n">
        <f aca="true">NORMINV(RAND(),0,C$7)</f>
        <v>0.802734413410059</v>
      </c>
      <c r="D1904" s="53" t="n">
        <f aca="true">NORMINV(RAND(),0,D$7)</f>
        <v>-2.97841187518719</v>
      </c>
      <c r="E1904" s="53" t="n">
        <f aca="true">NORMINV(RAND(),0,E$7)</f>
        <v>0.0135762553124425</v>
      </c>
      <c r="F1904" s="53" t="n">
        <f aca="true">NORMINV(RAND(),0,F$7)</f>
        <v>-0.0169966898689008</v>
      </c>
      <c r="G1904" s="53" t="n">
        <f aca="true">NORMINV(RAND(),0,G$7)</f>
        <v>-0.0643910259937159</v>
      </c>
      <c r="H1904" s="53" t="n">
        <f aca="true">NORMINV(RAND(),0,H$7)</f>
        <v>0.248323682091811</v>
      </c>
      <c r="I1904" s="53" t="n">
        <f aca="false">SUM(B1904:H1904)</f>
        <v>-2.75086173631755</v>
      </c>
      <c r="J1904" s="53" t="n">
        <f aca="true">NORMINV(RAND(),0,J$7)</f>
        <v>-1.08925385537264</v>
      </c>
      <c r="K1904" s="53" t="n">
        <f aca="true">NORMINV(RAND(),0,K$7)</f>
        <v>0.266816863515255</v>
      </c>
      <c r="L1904" s="53" t="n">
        <f aca="true">NORMINV(RAND(),0,L$7)</f>
        <v>-0.318392343718938</v>
      </c>
      <c r="M1904" s="53" t="n">
        <f aca="true">NORMINV(RAND(),0,M$7)</f>
        <v>0.111795183322531</v>
      </c>
      <c r="N1904" s="53" t="n">
        <f aca="true">NORMINV(RAND(),0,N$7)</f>
        <v>-0.170593473192728</v>
      </c>
      <c r="O1904" s="53" t="n">
        <f aca="false">SUM(J1904:N1904)</f>
        <v>-1.19962762544652</v>
      </c>
    </row>
    <row r="1905" customFormat="false" ht="15" hidden="false" customHeight="false" outlineLevel="0" collapsed="false">
      <c r="A1905" s="2" t="n">
        <v>1897</v>
      </c>
      <c r="B1905" s="53" t="n">
        <f aca="true">NORMINV(RAND(),0,B$7)</f>
        <v>0.317329387216027</v>
      </c>
      <c r="C1905" s="53" t="n">
        <f aca="true">NORMINV(RAND(),0,C$7)</f>
        <v>0.396825420964218</v>
      </c>
      <c r="D1905" s="53" t="n">
        <f aca="true">NORMINV(RAND(),0,D$7)</f>
        <v>1.41437978144029</v>
      </c>
      <c r="E1905" s="53" t="n">
        <f aca="true">NORMINV(RAND(),0,E$7)</f>
        <v>0.0522688348603176</v>
      </c>
      <c r="F1905" s="53" t="n">
        <f aca="true">NORMINV(RAND(),0,F$7)</f>
        <v>-0.486174311957637</v>
      </c>
      <c r="G1905" s="53" t="n">
        <f aca="true">NORMINV(RAND(),0,G$7)</f>
        <v>1.00968652608036</v>
      </c>
      <c r="H1905" s="53" t="n">
        <f aca="true">NORMINV(RAND(),0,H$7)</f>
        <v>-0.408882474609635</v>
      </c>
      <c r="I1905" s="53" t="n">
        <f aca="false">SUM(B1905:H1905)</f>
        <v>2.29543316399394</v>
      </c>
      <c r="J1905" s="53" t="n">
        <f aca="true">NORMINV(RAND(),0,J$7)</f>
        <v>-0.36002185929767</v>
      </c>
      <c r="K1905" s="53" t="n">
        <f aca="true">NORMINV(RAND(),0,K$7)</f>
        <v>0.114174098382762</v>
      </c>
      <c r="L1905" s="53" t="n">
        <f aca="true">NORMINV(RAND(),0,L$7)</f>
        <v>-0.27616021046124</v>
      </c>
      <c r="M1905" s="53" t="n">
        <f aca="true">NORMINV(RAND(),0,M$7)</f>
        <v>0.183736399813482</v>
      </c>
      <c r="N1905" s="53" t="n">
        <f aca="true">NORMINV(RAND(),0,N$7)</f>
        <v>0.335081013384786</v>
      </c>
      <c r="O1905" s="53" t="n">
        <f aca="false">SUM(J1905:N1905)</f>
        <v>-0.00319055817787955</v>
      </c>
    </row>
    <row r="1906" customFormat="false" ht="15" hidden="false" customHeight="false" outlineLevel="0" collapsed="false">
      <c r="A1906" s="2" t="n">
        <v>1898</v>
      </c>
      <c r="B1906" s="53" t="n">
        <f aca="true">NORMINV(RAND(),0,B$7)</f>
        <v>3.32441177573714</v>
      </c>
      <c r="C1906" s="53" t="n">
        <f aca="true">NORMINV(RAND(),0,C$7)</f>
        <v>1.51790664058963</v>
      </c>
      <c r="D1906" s="53" t="n">
        <f aca="true">NORMINV(RAND(),0,D$7)</f>
        <v>0.966890533476832</v>
      </c>
      <c r="E1906" s="53" t="n">
        <f aca="true">NORMINV(RAND(),0,E$7)</f>
        <v>-0.280075033459315</v>
      </c>
      <c r="F1906" s="53" t="n">
        <f aca="true">NORMINV(RAND(),0,F$7)</f>
        <v>0.281310322377349</v>
      </c>
      <c r="G1906" s="53" t="n">
        <f aca="true">NORMINV(RAND(),0,G$7)</f>
        <v>-1.14499613990294</v>
      </c>
      <c r="H1906" s="53" t="n">
        <f aca="true">NORMINV(RAND(),0,H$7)</f>
        <v>-0.367654100068859</v>
      </c>
      <c r="I1906" s="53" t="n">
        <f aca="false">SUM(B1906:H1906)</f>
        <v>4.29779399874985</v>
      </c>
      <c r="J1906" s="53" t="n">
        <f aca="true">NORMINV(RAND(),0,J$7)</f>
        <v>-1.63245607473585</v>
      </c>
      <c r="K1906" s="53" t="n">
        <f aca="true">NORMINV(RAND(),0,K$7)</f>
        <v>0.438780518331987</v>
      </c>
      <c r="L1906" s="53" t="n">
        <f aca="true">NORMINV(RAND(),0,L$7)</f>
        <v>0.170099729566659</v>
      </c>
      <c r="M1906" s="53" t="n">
        <f aca="true">NORMINV(RAND(),0,M$7)</f>
        <v>0.00902314803101094</v>
      </c>
      <c r="N1906" s="53" t="n">
        <f aca="true">NORMINV(RAND(),0,N$7)</f>
        <v>0.445363099454025</v>
      </c>
      <c r="O1906" s="53" t="n">
        <f aca="false">SUM(J1906:N1906)</f>
        <v>-0.569189579352171</v>
      </c>
    </row>
    <row r="1907" customFormat="false" ht="15" hidden="false" customHeight="false" outlineLevel="0" collapsed="false">
      <c r="A1907" s="2" t="n">
        <v>1899</v>
      </c>
      <c r="B1907" s="53" t="n">
        <f aca="true">NORMINV(RAND(),0,B$7)</f>
        <v>0.338128619085713</v>
      </c>
      <c r="C1907" s="53" t="n">
        <f aca="true">NORMINV(RAND(),0,C$7)</f>
        <v>1.85353079046245</v>
      </c>
      <c r="D1907" s="53" t="n">
        <f aca="true">NORMINV(RAND(),0,D$7)</f>
        <v>-2.6624899679615</v>
      </c>
      <c r="E1907" s="53" t="n">
        <f aca="true">NORMINV(RAND(),0,E$7)</f>
        <v>0.432214372651725</v>
      </c>
      <c r="F1907" s="53" t="n">
        <f aca="true">NORMINV(RAND(),0,F$7)</f>
        <v>-0.0998069483121908</v>
      </c>
      <c r="G1907" s="53" t="n">
        <f aca="true">NORMINV(RAND(),0,G$7)</f>
        <v>-0.15006452202662</v>
      </c>
      <c r="H1907" s="53" t="n">
        <f aca="true">NORMINV(RAND(),0,H$7)</f>
        <v>-0.164716023585471</v>
      </c>
      <c r="I1907" s="53" t="n">
        <f aca="false">SUM(B1907:H1907)</f>
        <v>-0.453203679685896</v>
      </c>
      <c r="J1907" s="53" t="n">
        <f aca="true">NORMINV(RAND(),0,J$7)</f>
        <v>-0.610495440586903</v>
      </c>
      <c r="K1907" s="53" t="n">
        <f aca="true">NORMINV(RAND(),0,K$7)</f>
        <v>0.768413843084708</v>
      </c>
      <c r="L1907" s="53" t="n">
        <f aca="true">NORMINV(RAND(),0,L$7)</f>
        <v>0.0202831580366497</v>
      </c>
      <c r="M1907" s="53" t="n">
        <f aca="true">NORMINV(RAND(),0,M$7)</f>
        <v>-0.201831148693362</v>
      </c>
      <c r="N1907" s="53" t="n">
        <f aca="true">NORMINV(RAND(),0,N$7)</f>
        <v>0.0856372904371099</v>
      </c>
      <c r="O1907" s="53" t="n">
        <f aca="false">SUM(J1907:N1907)</f>
        <v>0.0620077022782023</v>
      </c>
    </row>
    <row r="1908" customFormat="false" ht="15" hidden="false" customHeight="false" outlineLevel="0" collapsed="false">
      <c r="A1908" s="2" t="n">
        <v>1900</v>
      </c>
      <c r="B1908" s="53" t="n">
        <f aca="true">NORMINV(RAND(),0,B$7)</f>
        <v>0.656347220805693</v>
      </c>
      <c r="C1908" s="53" t="n">
        <f aca="true">NORMINV(RAND(),0,C$7)</f>
        <v>0.5686601076684</v>
      </c>
      <c r="D1908" s="53" t="n">
        <f aca="true">NORMINV(RAND(),0,D$7)</f>
        <v>2.92875717559775</v>
      </c>
      <c r="E1908" s="53" t="n">
        <f aca="true">NORMINV(RAND(),0,E$7)</f>
        <v>0.319592361609758</v>
      </c>
      <c r="F1908" s="53" t="n">
        <f aca="true">NORMINV(RAND(),0,F$7)</f>
        <v>-0.119213775420536</v>
      </c>
      <c r="G1908" s="53" t="n">
        <f aca="true">NORMINV(RAND(),0,G$7)</f>
        <v>-2.04948743855412</v>
      </c>
      <c r="H1908" s="53" t="n">
        <f aca="true">NORMINV(RAND(),0,H$7)</f>
        <v>0.111799602606208</v>
      </c>
      <c r="I1908" s="53" t="n">
        <f aca="false">SUM(B1908:H1908)</f>
        <v>2.41645525431315</v>
      </c>
      <c r="J1908" s="53" t="n">
        <f aca="true">NORMINV(RAND(),0,J$7)</f>
        <v>-2.06115676331832</v>
      </c>
      <c r="K1908" s="53" t="n">
        <f aca="true">NORMINV(RAND(),0,K$7)</f>
        <v>-0.106528759358055</v>
      </c>
      <c r="L1908" s="53" t="n">
        <f aca="true">NORMINV(RAND(),0,L$7)</f>
        <v>0.032431583039641</v>
      </c>
      <c r="M1908" s="53" t="n">
        <f aca="true">NORMINV(RAND(),0,M$7)</f>
        <v>0.0437700605362143</v>
      </c>
      <c r="N1908" s="53" t="n">
        <f aca="true">NORMINV(RAND(),0,N$7)</f>
        <v>0.0774253617043535</v>
      </c>
      <c r="O1908" s="53" t="n">
        <f aca="false">SUM(J1908:N1908)</f>
        <v>-2.01405851739617</v>
      </c>
    </row>
    <row r="1909" customFormat="false" ht="15" hidden="false" customHeight="false" outlineLevel="0" collapsed="false">
      <c r="A1909" s="2" t="n">
        <v>1901</v>
      </c>
      <c r="B1909" s="53" t="n">
        <f aca="true">NORMINV(RAND(),0,B$7)</f>
        <v>1.95112039829585</v>
      </c>
      <c r="C1909" s="53" t="n">
        <f aca="true">NORMINV(RAND(),0,C$7)</f>
        <v>0.707846914471904</v>
      </c>
      <c r="D1909" s="53" t="n">
        <f aca="true">NORMINV(RAND(),0,D$7)</f>
        <v>3.70585917565282</v>
      </c>
      <c r="E1909" s="53" t="n">
        <f aca="true">NORMINV(RAND(),0,E$7)</f>
        <v>0.534872996300982</v>
      </c>
      <c r="F1909" s="53" t="n">
        <f aca="true">NORMINV(RAND(),0,F$7)</f>
        <v>0.335397037339953</v>
      </c>
      <c r="G1909" s="53" t="n">
        <f aca="true">NORMINV(RAND(),0,G$7)</f>
        <v>1.72337911678453</v>
      </c>
      <c r="H1909" s="53" t="n">
        <f aca="true">NORMINV(RAND(),0,H$7)</f>
        <v>0.274596405393429</v>
      </c>
      <c r="I1909" s="53" t="n">
        <f aca="false">SUM(B1909:H1909)</f>
        <v>9.23307204423946</v>
      </c>
      <c r="J1909" s="53" t="n">
        <f aca="true">NORMINV(RAND(),0,J$7)</f>
        <v>-1.18715281622723</v>
      </c>
      <c r="K1909" s="53" t="n">
        <f aca="true">NORMINV(RAND(),0,K$7)</f>
        <v>-0.0622100751197587</v>
      </c>
      <c r="L1909" s="53" t="n">
        <f aca="true">NORMINV(RAND(),0,L$7)</f>
        <v>0.124584545171858</v>
      </c>
      <c r="M1909" s="53" t="n">
        <f aca="true">NORMINV(RAND(),0,M$7)</f>
        <v>0.0605429910149164</v>
      </c>
      <c r="N1909" s="53" t="n">
        <f aca="true">NORMINV(RAND(),0,N$7)</f>
        <v>0.450920994603039</v>
      </c>
      <c r="O1909" s="53" t="n">
        <f aca="false">SUM(J1909:N1909)</f>
        <v>-0.61331436055718</v>
      </c>
    </row>
    <row r="1910" customFormat="false" ht="15" hidden="false" customHeight="false" outlineLevel="0" collapsed="false">
      <c r="A1910" s="2" t="n">
        <v>1902</v>
      </c>
      <c r="B1910" s="53" t="n">
        <f aca="true">NORMINV(RAND(),0,B$7)</f>
        <v>-0.522883288085473</v>
      </c>
      <c r="C1910" s="53" t="n">
        <f aca="true">NORMINV(RAND(),0,C$7)</f>
        <v>-2.29528944210233</v>
      </c>
      <c r="D1910" s="53" t="n">
        <f aca="true">NORMINV(RAND(),0,D$7)</f>
        <v>0.503536350366869</v>
      </c>
      <c r="E1910" s="53" t="n">
        <f aca="true">NORMINV(RAND(),0,E$7)</f>
        <v>-0.434165295802085</v>
      </c>
      <c r="F1910" s="53" t="n">
        <f aca="true">NORMINV(RAND(),0,F$7)</f>
        <v>0.174120428794573</v>
      </c>
      <c r="G1910" s="53" t="n">
        <f aca="true">NORMINV(RAND(),0,G$7)</f>
        <v>-1.43179117080907</v>
      </c>
      <c r="H1910" s="53" t="n">
        <f aca="true">NORMINV(RAND(),0,H$7)</f>
        <v>-0.200328894256089</v>
      </c>
      <c r="I1910" s="53" t="n">
        <f aca="false">SUM(B1910:H1910)</f>
        <v>-4.2068013118936</v>
      </c>
      <c r="J1910" s="53" t="n">
        <f aca="true">NORMINV(RAND(),0,J$7)</f>
        <v>1.98427624178245</v>
      </c>
      <c r="K1910" s="53" t="n">
        <f aca="true">NORMINV(RAND(),0,K$7)</f>
        <v>1.15715969679115</v>
      </c>
      <c r="L1910" s="53" t="n">
        <f aca="true">NORMINV(RAND(),0,L$7)</f>
        <v>0.381795010136847</v>
      </c>
      <c r="M1910" s="53" t="n">
        <f aca="true">NORMINV(RAND(),0,M$7)</f>
        <v>0.0652207915294768</v>
      </c>
      <c r="N1910" s="53" t="n">
        <f aca="true">NORMINV(RAND(),0,N$7)</f>
        <v>0.536672734383862</v>
      </c>
      <c r="O1910" s="53" t="n">
        <f aca="false">SUM(J1910:N1910)</f>
        <v>4.12512447462378</v>
      </c>
    </row>
    <row r="1911" customFormat="false" ht="15" hidden="false" customHeight="false" outlineLevel="0" collapsed="false">
      <c r="A1911" s="2" t="n">
        <v>1903</v>
      </c>
      <c r="B1911" s="53" t="n">
        <f aca="true">NORMINV(RAND(),0,B$7)</f>
        <v>-0.899325841946402</v>
      </c>
      <c r="C1911" s="53" t="n">
        <f aca="true">NORMINV(RAND(),0,C$7)</f>
        <v>-0.870705645340845</v>
      </c>
      <c r="D1911" s="53" t="n">
        <f aca="true">NORMINV(RAND(),0,D$7)</f>
        <v>-0.876788187182149</v>
      </c>
      <c r="E1911" s="53" t="n">
        <f aca="true">NORMINV(RAND(),0,E$7)</f>
        <v>-0.0250756128328666</v>
      </c>
      <c r="F1911" s="53" t="n">
        <f aca="true">NORMINV(RAND(),0,F$7)</f>
        <v>-0.478173369938847</v>
      </c>
      <c r="G1911" s="53" t="n">
        <f aca="true">NORMINV(RAND(),0,G$7)</f>
        <v>1.41562668437769</v>
      </c>
      <c r="H1911" s="53" t="n">
        <f aca="true">NORMINV(RAND(),0,H$7)</f>
        <v>-0.564845020245338</v>
      </c>
      <c r="I1911" s="53" t="n">
        <f aca="false">SUM(B1911:H1911)</f>
        <v>-2.29928699310875</v>
      </c>
      <c r="J1911" s="53" t="n">
        <f aca="true">NORMINV(RAND(),0,J$7)</f>
        <v>1.28226326754795</v>
      </c>
      <c r="K1911" s="53" t="n">
        <f aca="true">NORMINV(RAND(),0,K$7)</f>
        <v>0.916088068399946</v>
      </c>
      <c r="L1911" s="53" t="n">
        <f aca="true">NORMINV(RAND(),0,L$7)</f>
        <v>0.365670180837709</v>
      </c>
      <c r="M1911" s="53" t="n">
        <f aca="true">NORMINV(RAND(),0,M$7)</f>
        <v>0.0473463528837844</v>
      </c>
      <c r="N1911" s="53" t="n">
        <f aca="true">NORMINV(RAND(),0,N$7)</f>
        <v>0.442911870633497</v>
      </c>
      <c r="O1911" s="53" t="n">
        <f aca="false">SUM(J1911:N1911)</f>
        <v>3.05427974030288</v>
      </c>
    </row>
    <row r="1912" customFormat="false" ht="15" hidden="false" customHeight="false" outlineLevel="0" collapsed="false">
      <c r="A1912" s="2" t="n">
        <v>1904</v>
      </c>
      <c r="B1912" s="53" t="n">
        <f aca="true">NORMINV(RAND(),0,B$7)</f>
        <v>0.599167783757221</v>
      </c>
      <c r="C1912" s="53" t="n">
        <f aca="true">NORMINV(RAND(),0,C$7)</f>
        <v>0.660468979894897</v>
      </c>
      <c r="D1912" s="53" t="n">
        <f aca="true">NORMINV(RAND(),0,D$7)</f>
        <v>0.500750105109216</v>
      </c>
      <c r="E1912" s="53" t="n">
        <f aca="true">NORMINV(RAND(),0,E$7)</f>
        <v>0.108424629521631</v>
      </c>
      <c r="F1912" s="53" t="n">
        <f aca="true">NORMINV(RAND(),0,F$7)</f>
        <v>0.408964315051473</v>
      </c>
      <c r="G1912" s="53" t="n">
        <f aca="true">NORMINV(RAND(),0,G$7)</f>
        <v>-0.267640907056005</v>
      </c>
      <c r="H1912" s="53" t="n">
        <f aca="true">NORMINV(RAND(),0,H$7)</f>
        <v>-0.0584166902715779</v>
      </c>
      <c r="I1912" s="53" t="n">
        <f aca="false">SUM(B1912:H1912)</f>
        <v>1.95171821600685</v>
      </c>
      <c r="J1912" s="53" t="n">
        <f aca="true">NORMINV(RAND(),0,J$7)</f>
        <v>0.730900012227265</v>
      </c>
      <c r="K1912" s="53" t="n">
        <f aca="true">NORMINV(RAND(),0,K$7)</f>
        <v>-0.172345084495014</v>
      </c>
      <c r="L1912" s="53" t="n">
        <f aca="true">NORMINV(RAND(),0,L$7)</f>
        <v>-0.33355705676186</v>
      </c>
      <c r="M1912" s="53" t="n">
        <f aca="true">NORMINV(RAND(),0,M$7)</f>
        <v>-0.0619216703714403</v>
      </c>
      <c r="N1912" s="53" t="n">
        <f aca="true">NORMINV(RAND(),0,N$7)</f>
        <v>0.308177835094526</v>
      </c>
      <c r="O1912" s="53" t="n">
        <f aca="false">SUM(J1912:N1912)</f>
        <v>0.471254035693477</v>
      </c>
    </row>
    <row r="1913" customFormat="false" ht="15" hidden="false" customHeight="false" outlineLevel="0" collapsed="false">
      <c r="A1913" s="2" t="n">
        <v>1905</v>
      </c>
      <c r="B1913" s="53" t="n">
        <f aca="true">NORMINV(RAND(),0,B$7)</f>
        <v>1.10110721498745</v>
      </c>
      <c r="C1913" s="53" t="n">
        <f aca="true">NORMINV(RAND(),0,C$7)</f>
        <v>1.7829799081125</v>
      </c>
      <c r="D1913" s="53" t="n">
        <f aca="true">NORMINV(RAND(),0,D$7)</f>
        <v>2.10991904250002</v>
      </c>
      <c r="E1913" s="53" t="n">
        <f aca="true">NORMINV(RAND(),0,E$7)</f>
        <v>-0.0987405327652777</v>
      </c>
      <c r="F1913" s="53" t="n">
        <f aca="true">NORMINV(RAND(),0,F$7)</f>
        <v>0.537216591980357</v>
      </c>
      <c r="G1913" s="53" t="n">
        <f aca="true">NORMINV(RAND(),0,G$7)</f>
        <v>-0.0224841223855933</v>
      </c>
      <c r="H1913" s="53" t="n">
        <f aca="true">NORMINV(RAND(),0,H$7)</f>
        <v>-0.196852677309645</v>
      </c>
      <c r="I1913" s="53" t="n">
        <f aca="false">SUM(B1913:H1913)</f>
        <v>5.21314542511981</v>
      </c>
      <c r="J1913" s="53" t="n">
        <f aca="true">NORMINV(RAND(),0,J$7)</f>
        <v>0.250827397991708</v>
      </c>
      <c r="K1913" s="53" t="n">
        <f aca="true">NORMINV(RAND(),0,K$7)</f>
        <v>0.654230133338789</v>
      </c>
      <c r="L1913" s="53" t="n">
        <f aca="true">NORMINV(RAND(),0,L$7)</f>
        <v>-0.149916607442572</v>
      </c>
      <c r="M1913" s="53" t="n">
        <f aca="true">NORMINV(RAND(),0,M$7)</f>
        <v>0.222263139228523</v>
      </c>
      <c r="N1913" s="53" t="n">
        <f aca="true">NORMINV(RAND(),0,N$7)</f>
        <v>-0.134154950682277</v>
      </c>
      <c r="O1913" s="53" t="n">
        <f aca="false">SUM(J1913:N1913)</f>
        <v>0.843249112434172</v>
      </c>
    </row>
    <row r="1914" customFormat="false" ht="15" hidden="false" customHeight="false" outlineLevel="0" collapsed="false">
      <c r="A1914" s="2" t="n">
        <v>1906</v>
      </c>
      <c r="B1914" s="53" t="n">
        <f aca="true">NORMINV(RAND(),0,B$7)</f>
        <v>1.3688460597118</v>
      </c>
      <c r="C1914" s="53" t="n">
        <f aca="true">NORMINV(RAND(),0,C$7)</f>
        <v>-0.149101364646849</v>
      </c>
      <c r="D1914" s="53" t="n">
        <f aca="true">NORMINV(RAND(),0,D$7)</f>
        <v>-0.673681707016478</v>
      </c>
      <c r="E1914" s="53" t="n">
        <f aca="true">NORMINV(RAND(),0,E$7)</f>
        <v>-0.486373567915467</v>
      </c>
      <c r="F1914" s="53" t="n">
        <f aca="true">NORMINV(RAND(),0,F$7)</f>
        <v>0.105957486696226</v>
      </c>
      <c r="G1914" s="53" t="n">
        <f aca="true">NORMINV(RAND(),0,G$7)</f>
        <v>-0.0825115086479902</v>
      </c>
      <c r="H1914" s="53" t="n">
        <f aca="true">NORMINV(RAND(),0,H$7)</f>
        <v>0.701049395871535</v>
      </c>
      <c r="I1914" s="53" t="n">
        <f aca="false">SUM(B1914:H1914)</f>
        <v>0.784184794052778</v>
      </c>
      <c r="J1914" s="53" t="n">
        <f aca="true">NORMINV(RAND(),0,J$7)</f>
        <v>-1.0603755265303</v>
      </c>
      <c r="K1914" s="53" t="n">
        <f aca="true">NORMINV(RAND(),0,K$7)</f>
        <v>-0.343145435675733</v>
      </c>
      <c r="L1914" s="53" t="n">
        <f aca="true">NORMINV(RAND(),0,L$7)</f>
        <v>-0.552262528302302</v>
      </c>
      <c r="M1914" s="53" t="n">
        <f aca="true">NORMINV(RAND(),0,M$7)</f>
        <v>-0.237450340121216</v>
      </c>
      <c r="N1914" s="53" t="n">
        <f aca="true">NORMINV(RAND(),0,N$7)</f>
        <v>0.309767643710183</v>
      </c>
      <c r="O1914" s="53" t="n">
        <f aca="false">SUM(J1914:N1914)</f>
        <v>-1.88346618691936</v>
      </c>
    </row>
    <row r="1915" customFormat="false" ht="15" hidden="false" customHeight="false" outlineLevel="0" collapsed="false">
      <c r="A1915" s="2" t="n">
        <v>1907</v>
      </c>
      <c r="B1915" s="53" t="n">
        <f aca="true">NORMINV(RAND(),0,B$7)</f>
        <v>2.4377585595592</v>
      </c>
      <c r="C1915" s="53" t="n">
        <f aca="true">NORMINV(RAND(),0,C$7)</f>
        <v>-0.231175914790427</v>
      </c>
      <c r="D1915" s="53" t="n">
        <f aca="true">NORMINV(RAND(),0,D$7)</f>
        <v>0.147894397487615</v>
      </c>
      <c r="E1915" s="53" t="n">
        <f aca="true">NORMINV(RAND(),0,E$7)</f>
        <v>-0.119053464977404</v>
      </c>
      <c r="F1915" s="53" t="n">
        <f aca="true">NORMINV(RAND(),0,F$7)</f>
        <v>-0.0161053317103704</v>
      </c>
      <c r="G1915" s="53" t="n">
        <f aca="true">NORMINV(RAND(),0,G$7)</f>
        <v>0.256504155871848</v>
      </c>
      <c r="H1915" s="53" t="n">
        <f aca="true">NORMINV(RAND(),0,H$7)</f>
        <v>-0.11347433116502</v>
      </c>
      <c r="I1915" s="53" t="n">
        <f aca="false">SUM(B1915:H1915)</f>
        <v>2.36234807027544</v>
      </c>
      <c r="J1915" s="53" t="n">
        <f aca="true">NORMINV(RAND(),0,J$7)</f>
        <v>-1.42481260073361</v>
      </c>
      <c r="K1915" s="53" t="n">
        <f aca="true">NORMINV(RAND(),0,K$7)</f>
        <v>0.353379876305553</v>
      </c>
      <c r="L1915" s="53" t="n">
        <f aca="true">NORMINV(RAND(),0,L$7)</f>
        <v>-0.0925177187557615</v>
      </c>
      <c r="M1915" s="53" t="n">
        <f aca="true">NORMINV(RAND(),0,M$7)</f>
        <v>0.256309994292544</v>
      </c>
      <c r="N1915" s="53" t="n">
        <f aca="true">NORMINV(RAND(),0,N$7)</f>
        <v>0.00675776875673594</v>
      </c>
      <c r="O1915" s="53" t="n">
        <f aca="false">SUM(J1915:N1915)</f>
        <v>-0.900882680134535</v>
      </c>
    </row>
    <row r="1916" customFormat="false" ht="15" hidden="false" customHeight="false" outlineLevel="0" collapsed="false">
      <c r="A1916" s="2" t="n">
        <v>1908</v>
      </c>
      <c r="B1916" s="53" t="n">
        <f aca="true">NORMINV(RAND(),0,B$7)</f>
        <v>-0.928298396957106</v>
      </c>
      <c r="C1916" s="53" t="n">
        <f aca="true">NORMINV(RAND(),0,C$7)</f>
        <v>0.0359819917719981</v>
      </c>
      <c r="D1916" s="53" t="n">
        <f aca="true">NORMINV(RAND(),0,D$7)</f>
        <v>-2.26491805616544</v>
      </c>
      <c r="E1916" s="53" t="n">
        <f aca="true">NORMINV(RAND(),0,E$7)</f>
        <v>-0.0671800121712707</v>
      </c>
      <c r="F1916" s="53" t="n">
        <f aca="true">NORMINV(RAND(),0,F$7)</f>
        <v>-0.126174397231328</v>
      </c>
      <c r="G1916" s="53" t="n">
        <f aca="true">NORMINV(RAND(),0,G$7)</f>
        <v>0.409535173659352</v>
      </c>
      <c r="H1916" s="53" t="n">
        <f aca="true">NORMINV(RAND(),0,H$7)</f>
        <v>-0.595727568478848</v>
      </c>
      <c r="I1916" s="53" t="n">
        <f aca="false">SUM(B1916:H1916)</f>
        <v>-3.53678126557264</v>
      </c>
      <c r="J1916" s="53" t="n">
        <f aca="true">NORMINV(RAND(),0,J$7)</f>
        <v>-0.142898750674729</v>
      </c>
      <c r="K1916" s="53" t="n">
        <f aca="true">NORMINV(RAND(),0,K$7)</f>
        <v>0.894645624260015</v>
      </c>
      <c r="L1916" s="53" t="n">
        <f aca="true">NORMINV(RAND(),0,L$7)</f>
        <v>-0.773647539215829</v>
      </c>
      <c r="M1916" s="53" t="n">
        <f aca="true">NORMINV(RAND(),0,M$7)</f>
        <v>-0.0450443577264835</v>
      </c>
      <c r="N1916" s="53" t="n">
        <f aca="true">NORMINV(RAND(),0,N$7)</f>
        <v>-0.662532056957049</v>
      </c>
      <c r="O1916" s="53" t="n">
        <f aca="false">SUM(J1916:N1916)</f>
        <v>-0.729477080314076</v>
      </c>
    </row>
    <row r="1917" customFormat="false" ht="15" hidden="false" customHeight="false" outlineLevel="0" collapsed="false">
      <c r="A1917" s="2" t="n">
        <v>1909</v>
      </c>
      <c r="B1917" s="53" t="n">
        <f aca="true">NORMINV(RAND(),0,B$7)</f>
        <v>-1.23621086253604</v>
      </c>
      <c r="C1917" s="53" t="n">
        <f aca="true">NORMINV(RAND(),0,C$7)</f>
        <v>-0.528114221785609</v>
      </c>
      <c r="D1917" s="53" t="n">
        <f aca="true">NORMINV(RAND(),0,D$7)</f>
        <v>-1.09321289380958</v>
      </c>
      <c r="E1917" s="53" t="n">
        <f aca="true">NORMINV(RAND(),0,E$7)</f>
        <v>0.263646472615997</v>
      </c>
      <c r="F1917" s="53" t="n">
        <f aca="true">NORMINV(RAND(),0,F$7)</f>
        <v>-0.0362082082674377</v>
      </c>
      <c r="G1917" s="53" t="n">
        <f aca="true">NORMINV(RAND(),0,G$7)</f>
        <v>-0.479310048611352</v>
      </c>
      <c r="H1917" s="53" t="n">
        <f aca="true">NORMINV(RAND(),0,H$7)</f>
        <v>0.336441207877596</v>
      </c>
      <c r="I1917" s="53" t="n">
        <f aca="false">SUM(B1917:H1917)</f>
        <v>-2.77296855451643</v>
      </c>
      <c r="J1917" s="53" t="n">
        <f aca="true">NORMINV(RAND(),0,J$7)</f>
        <v>0.17211700669158</v>
      </c>
      <c r="K1917" s="53" t="n">
        <f aca="true">NORMINV(RAND(),0,K$7)</f>
        <v>0.347742054481112</v>
      </c>
      <c r="L1917" s="53" t="n">
        <f aca="true">NORMINV(RAND(),0,L$7)</f>
        <v>-0.331780357073913</v>
      </c>
      <c r="M1917" s="53" t="n">
        <f aca="true">NORMINV(RAND(),0,M$7)</f>
        <v>-0.267094663761908</v>
      </c>
      <c r="N1917" s="53" t="n">
        <f aca="true">NORMINV(RAND(),0,N$7)</f>
        <v>0.371434839295623</v>
      </c>
      <c r="O1917" s="53" t="n">
        <f aca="false">SUM(J1917:N1917)</f>
        <v>0.292418879632494</v>
      </c>
    </row>
    <row r="1918" customFormat="false" ht="15" hidden="false" customHeight="false" outlineLevel="0" collapsed="false">
      <c r="A1918" s="2" t="n">
        <v>1910</v>
      </c>
      <c r="B1918" s="53" t="n">
        <f aca="true">NORMINV(RAND(),0,B$7)</f>
        <v>0.538922553678826</v>
      </c>
      <c r="C1918" s="53" t="n">
        <f aca="true">NORMINV(RAND(),0,C$7)</f>
        <v>0.211113474578752</v>
      </c>
      <c r="D1918" s="53" t="n">
        <f aca="true">NORMINV(RAND(),0,D$7)</f>
        <v>-2.44698927825894</v>
      </c>
      <c r="E1918" s="53" t="n">
        <f aca="true">NORMINV(RAND(),0,E$7)</f>
        <v>-0.0626530643803856</v>
      </c>
      <c r="F1918" s="53" t="n">
        <f aca="true">NORMINV(RAND(),0,F$7)</f>
        <v>-0.0873660740491442</v>
      </c>
      <c r="G1918" s="53" t="n">
        <f aca="true">NORMINV(RAND(),0,G$7)</f>
        <v>0.0606806949438364</v>
      </c>
      <c r="H1918" s="53" t="n">
        <f aca="true">NORMINV(RAND(),0,H$7)</f>
        <v>0.421413327827528</v>
      </c>
      <c r="I1918" s="53" t="n">
        <f aca="false">SUM(B1918:H1918)</f>
        <v>-1.36487836565953</v>
      </c>
      <c r="J1918" s="53" t="n">
        <f aca="true">NORMINV(RAND(),0,J$7)</f>
        <v>-0.944932329819378</v>
      </c>
      <c r="K1918" s="53" t="n">
        <f aca="true">NORMINV(RAND(),0,K$7)</f>
        <v>-0.563517662713587</v>
      </c>
      <c r="L1918" s="53" t="n">
        <f aca="true">NORMINV(RAND(),0,L$7)</f>
        <v>0.00291521915805172</v>
      </c>
      <c r="M1918" s="53" t="n">
        <f aca="true">NORMINV(RAND(),0,M$7)</f>
        <v>0.292009072422157</v>
      </c>
      <c r="N1918" s="53" t="n">
        <f aca="true">NORMINV(RAND(),0,N$7)</f>
        <v>-0.360504242464938</v>
      </c>
      <c r="O1918" s="53" t="n">
        <f aca="false">SUM(J1918:N1918)</f>
        <v>-1.57402994341769</v>
      </c>
    </row>
    <row r="1919" customFormat="false" ht="15" hidden="false" customHeight="false" outlineLevel="0" collapsed="false">
      <c r="A1919" s="2" t="n">
        <v>1911</v>
      </c>
      <c r="B1919" s="53" t="n">
        <f aca="true">NORMINV(RAND(),0,B$7)</f>
        <v>-0.202242093646135</v>
      </c>
      <c r="C1919" s="53" t="n">
        <f aca="true">NORMINV(RAND(),0,C$7)</f>
        <v>4.87053523210078</v>
      </c>
      <c r="D1919" s="53" t="n">
        <f aca="true">NORMINV(RAND(),0,D$7)</f>
        <v>3.88230240491623</v>
      </c>
      <c r="E1919" s="53" t="n">
        <f aca="true">NORMINV(RAND(),0,E$7)</f>
        <v>-0.0886292986072721</v>
      </c>
      <c r="F1919" s="53" t="n">
        <f aca="true">NORMINV(RAND(),0,F$7)</f>
        <v>0.0751454405288377</v>
      </c>
      <c r="G1919" s="53" t="n">
        <f aca="true">NORMINV(RAND(),0,G$7)</f>
        <v>-1.11320871008538</v>
      </c>
      <c r="H1919" s="53" t="n">
        <f aca="true">NORMINV(RAND(),0,H$7)</f>
        <v>-0.333720018215318</v>
      </c>
      <c r="I1919" s="53" t="n">
        <f aca="false">SUM(B1919:H1919)</f>
        <v>7.09018295699173</v>
      </c>
      <c r="J1919" s="53" t="n">
        <f aca="true">NORMINV(RAND(),0,J$7)</f>
        <v>2.24097902359044</v>
      </c>
      <c r="K1919" s="53" t="n">
        <f aca="true">NORMINV(RAND(),0,K$7)</f>
        <v>0.268672117729172</v>
      </c>
      <c r="L1919" s="53" t="n">
        <f aca="true">NORMINV(RAND(),0,L$7)</f>
        <v>-0.0948391653138757</v>
      </c>
      <c r="M1919" s="53" t="n">
        <f aca="true">NORMINV(RAND(),0,M$7)</f>
        <v>0.0122336618289561</v>
      </c>
      <c r="N1919" s="53" t="n">
        <f aca="true">NORMINV(RAND(),0,N$7)</f>
        <v>0.348005175632824</v>
      </c>
      <c r="O1919" s="53" t="n">
        <f aca="false">SUM(J1919:N1919)</f>
        <v>2.77505081346751</v>
      </c>
    </row>
    <row r="1920" customFormat="false" ht="15" hidden="false" customHeight="false" outlineLevel="0" collapsed="false">
      <c r="A1920" s="2" t="n">
        <v>1912</v>
      </c>
      <c r="B1920" s="53" t="n">
        <f aca="true">NORMINV(RAND(),0,B$7)</f>
        <v>-0.199192061221853</v>
      </c>
      <c r="C1920" s="53" t="n">
        <f aca="true">NORMINV(RAND(),0,C$7)</f>
        <v>-1.00795611291856</v>
      </c>
      <c r="D1920" s="53" t="n">
        <f aca="true">NORMINV(RAND(),0,D$7)</f>
        <v>0.135923993942904</v>
      </c>
      <c r="E1920" s="53" t="n">
        <f aca="true">NORMINV(RAND(),0,E$7)</f>
        <v>-0.251870914930681</v>
      </c>
      <c r="F1920" s="53" t="n">
        <f aca="true">NORMINV(RAND(),0,F$7)</f>
        <v>-0.0709448772983559</v>
      </c>
      <c r="G1920" s="53" t="n">
        <f aca="true">NORMINV(RAND(),0,G$7)</f>
        <v>0.505417629469249</v>
      </c>
      <c r="H1920" s="53" t="n">
        <f aca="true">NORMINV(RAND(),0,H$7)</f>
        <v>0.527826877830754</v>
      </c>
      <c r="I1920" s="53" t="n">
        <f aca="false">SUM(B1920:H1920)</f>
        <v>-0.360795465126543</v>
      </c>
      <c r="J1920" s="53" t="n">
        <f aca="true">NORMINV(RAND(),0,J$7)</f>
        <v>1.83999975044308</v>
      </c>
      <c r="K1920" s="53" t="n">
        <f aca="true">NORMINV(RAND(),0,K$7)</f>
        <v>-0.34376957945349</v>
      </c>
      <c r="L1920" s="53" t="n">
        <f aca="true">NORMINV(RAND(),0,L$7)</f>
        <v>0.197603035469688</v>
      </c>
      <c r="M1920" s="53" t="n">
        <f aca="true">NORMINV(RAND(),0,M$7)</f>
        <v>-0.274094259036987</v>
      </c>
      <c r="N1920" s="53" t="n">
        <f aca="true">NORMINV(RAND(),0,N$7)</f>
        <v>0.566767569897277</v>
      </c>
      <c r="O1920" s="53" t="n">
        <f aca="false">SUM(J1920:N1920)</f>
        <v>1.98650651731957</v>
      </c>
    </row>
    <row r="1921" customFormat="false" ht="15" hidden="false" customHeight="false" outlineLevel="0" collapsed="false">
      <c r="A1921" s="2" t="n">
        <v>1913</v>
      </c>
      <c r="B1921" s="53" t="n">
        <f aca="true">NORMINV(RAND(),0,B$7)</f>
        <v>1.4396712993423</v>
      </c>
      <c r="C1921" s="53" t="n">
        <f aca="true">NORMINV(RAND(),0,C$7)</f>
        <v>2.4215121077497</v>
      </c>
      <c r="D1921" s="53" t="n">
        <f aca="true">NORMINV(RAND(),0,D$7)</f>
        <v>-0.707461375746725</v>
      </c>
      <c r="E1921" s="53" t="n">
        <f aca="true">NORMINV(RAND(),0,E$7)</f>
        <v>-0.306348198983016</v>
      </c>
      <c r="F1921" s="53" t="n">
        <f aca="true">NORMINV(RAND(),0,F$7)</f>
        <v>0.0614558831528408</v>
      </c>
      <c r="G1921" s="53" t="n">
        <f aca="true">NORMINV(RAND(),0,G$7)</f>
        <v>0.992294393932875</v>
      </c>
      <c r="H1921" s="53" t="n">
        <f aca="true">NORMINV(RAND(),0,H$7)</f>
        <v>0.178592879365267</v>
      </c>
      <c r="I1921" s="53" t="n">
        <f aca="false">SUM(B1921:H1921)</f>
        <v>4.07971698881324</v>
      </c>
      <c r="J1921" s="53" t="n">
        <f aca="true">NORMINV(RAND(),0,J$7)</f>
        <v>0.498918752622194</v>
      </c>
      <c r="K1921" s="53" t="n">
        <f aca="true">NORMINV(RAND(),0,K$7)</f>
        <v>0.0933047967360027</v>
      </c>
      <c r="L1921" s="53" t="n">
        <f aca="true">NORMINV(RAND(),0,L$7)</f>
        <v>-0.0448088554231773</v>
      </c>
      <c r="M1921" s="53" t="n">
        <f aca="true">NORMINV(RAND(),0,M$7)</f>
        <v>-0.20962238053926</v>
      </c>
      <c r="N1921" s="53" t="n">
        <f aca="true">NORMINV(RAND(),0,N$7)</f>
        <v>0.007373375379261</v>
      </c>
      <c r="O1921" s="53" t="n">
        <f aca="false">SUM(J1921:N1921)</f>
        <v>0.34516568877502</v>
      </c>
    </row>
    <row r="1922" customFormat="false" ht="15" hidden="false" customHeight="false" outlineLevel="0" collapsed="false">
      <c r="A1922" s="2" t="n">
        <v>1914</v>
      </c>
      <c r="B1922" s="53" t="n">
        <f aca="true">NORMINV(RAND(),0,B$7)</f>
        <v>1.40735031621252</v>
      </c>
      <c r="C1922" s="53" t="n">
        <f aca="true">NORMINV(RAND(),0,C$7)</f>
        <v>-2.71852130659687</v>
      </c>
      <c r="D1922" s="53" t="n">
        <f aca="true">NORMINV(RAND(),0,D$7)</f>
        <v>3.60881274838368</v>
      </c>
      <c r="E1922" s="53" t="n">
        <f aca="true">NORMINV(RAND(),0,E$7)</f>
        <v>-0.260550027238385</v>
      </c>
      <c r="F1922" s="53" t="n">
        <f aca="true">NORMINV(RAND(),0,F$7)</f>
        <v>0.0105020416454745</v>
      </c>
      <c r="G1922" s="53" t="n">
        <f aca="true">NORMINV(RAND(),0,G$7)</f>
        <v>-0.684244349863874</v>
      </c>
      <c r="H1922" s="53" t="n">
        <f aca="true">NORMINV(RAND(),0,H$7)</f>
        <v>-0.147689234346567</v>
      </c>
      <c r="I1922" s="53" t="n">
        <f aca="false">SUM(B1922:H1922)</f>
        <v>1.21566018819598</v>
      </c>
      <c r="J1922" s="53" t="n">
        <f aca="true">NORMINV(RAND(),0,J$7)</f>
        <v>-1.76139681275719</v>
      </c>
      <c r="K1922" s="53" t="n">
        <f aca="true">NORMINV(RAND(),0,K$7)</f>
        <v>-1.61586569470351</v>
      </c>
      <c r="L1922" s="53" t="n">
        <f aca="true">NORMINV(RAND(),0,L$7)</f>
        <v>-0.54781702378762</v>
      </c>
      <c r="M1922" s="53" t="n">
        <f aca="true">NORMINV(RAND(),0,M$7)</f>
        <v>-0.337337795091896</v>
      </c>
      <c r="N1922" s="53" t="n">
        <f aca="true">NORMINV(RAND(),0,N$7)</f>
        <v>0.1760839756831</v>
      </c>
      <c r="O1922" s="53" t="n">
        <f aca="false">SUM(J1922:N1922)</f>
        <v>-4.08633335065711</v>
      </c>
    </row>
    <row r="1923" customFormat="false" ht="15" hidden="false" customHeight="false" outlineLevel="0" collapsed="false">
      <c r="A1923" s="2" t="n">
        <v>1915</v>
      </c>
      <c r="B1923" s="53" t="n">
        <f aca="true">NORMINV(RAND(),0,B$7)</f>
        <v>2.81995466199654</v>
      </c>
      <c r="C1923" s="53" t="n">
        <f aca="true">NORMINV(RAND(),0,C$7)</f>
        <v>-1.6629323702778</v>
      </c>
      <c r="D1923" s="53" t="n">
        <f aca="true">NORMINV(RAND(),0,D$7)</f>
        <v>-0.136810109582488</v>
      </c>
      <c r="E1923" s="53" t="n">
        <f aca="true">NORMINV(RAND(),0,E$7)</f>
        <v>-0.265053062018051</v>
      </c>
      <c r="F1923" s="53" t="n">
        <f aca="true">NORMINV(RAND(),0,F$7)</f>
        <v>0.22024067701664</v>
      </c>
      <c r="G1923" s="53" t="n">
        <f aca="true">NORMINV(RAND(),0,G$7)</f>
        <v>3.03283484191213</v>
      </c>
      <c r="H1923" s="53" t="n">
        <f aca="true">NORMINV(RAND(),0,H$7)</f>
        <v>0.246385500719076</v>
      </c>
      <c r="I1923" s="53" t="n">
        <f aca="false">SUM(B1923:H1923)</f>
        <v>4.25462013976604</v>
      </c>
      <c r="J1923" s="53" t="n">
        <f aca="true">NORMINV(RAND(),0,J$7)</f>
        <v>-4.5276537258877</v>
      </c>
      <c r="K1923" s="53" t="n">
        <f aca="true">NORMINV(RAND(),0,K$7)</f>
        <v>-0.635320463910981</v>
      </c>
      <c r="L1923" s="53" t="n">
        <f aca="true">NORMINV(RAND(),0,L$7)</f>
        <v>0.0893164944152069</v>
      </c>
      <c r="M1923" s="53" t="n">
        <f aca="true">NORMINV(RAND(),0,M$7)</f>
        <v>-0.518663981222386</v>
      </c>
      <c r="N1923" s="53" t="n">
        <f aca="true">NORMINV(RAND(),0,N$7)</f>
        <v>0.0762075325979532</v>
      </c>
      <c r="O1923" s="53" t="n">
        <f aca="false">SUM(J1923:N1923)</f>
        <v>-5.51611414400791</v>
      </c>
    </row>
    <row r="1924" customFormat="false" ht="15" hidden="false" customHeight="false" outlineLevel="0" collapsed="false">
      <c r="A1924" s="2" t="n">
        <v>1916</v>
      </c>
      <c r="B1924" s="53" t="n">
        <f aca="true">NORMINV(RAND(),0,B$7)</f>
        <v>-1.64502708751061</v>
      </c>
      <c r="C1924" s="53" t="n">
        <f aca="true">NORMINV(RAND(),0,C$7)</f>
        <v>-0.35665312240285</v>
      </c>
      <c r="D1924" s="53" t="n">
        <f aca="true">NORMINV(RAND(),0,D$7)</f>
        <v>1.37856660591139</v>
      </c>
      <c r="E1924" s="53" t="n">
        <f aca="true">NORMINV(RAND(),0,E$7)</f>
        <v>-0.213551238648614</v>
      </c>
      <c r="F1924" s="53" t="n">
        <f aca="true">NORMINV(RAND(),0,F$7)</f>
        <v>-0.409885433328827</v>
      </c>
      <c r="G1924" s="53" t="n">
        <f aca="true">NORMINV(RAND(),0,G$7)</f>
        <v>0.13348976004102</v>
      </c>
      <c r="H1924" s="53" t="n">
        <f aca="true">NORMINV(RAND(),0,H$7)</f>
        <v>0.0640649301721589</v>
      </c>
      <c r="I1924" s="53" t="n">
        <f aca="false">SUM(B1924:H1924)</f>
        <v>-1.04899558576633</v>
      </c>
      <c r="J1924" s="53" t="n">
        <f aca="true">NORMINV(RAND(),0,J$7)</f>
        <v>0.796046512134157</v>
      </c>
      <c r="K1924" s="53" t="n">
        <f aca="true">NORMINV(RAND(),0,K$7)</f>
        <v>-0.341735281165053</v>
      </c>
      <c r="L1924" s="53" t="n">
        <f aca="true">NORMINV(RAND(),0,L$7)</f>
        <v>-0.339326142994943</v>
      </c>
      <c r="M1924" s="53" t="n">
        <f aca="true">NORMINV(RAND(),0,M$7)</f>
        <v>-0.381401103150987</v>
      </c>
      <c r="N1924" s="53" t="n">
        <f aca="true">NORMINV(RAND(),0,N$7)</f>
        <v>-0.101038008699901</v>
      </c>
      <c r="O1924" s="53" t="n">
        <f aca="false">SUM(J1924:N1924)</f>
        <v>-0.367454023876728</v>
      </c>
    </row>
    <row r="1925" customFormat="false" ht="15" hidden="false" customHeight="false" outlineLevel="0" collapsed="false">
      <c r="A1925" s="2" t="n">
        <v>1917</v>
      </c>
      <c r="B1925" s="53" t="n">
        <f aca="true">NORMINV(RAND(),0,B$7)</f>
        <v>-0.0570515793492486</v>
      </c>
      <c r="C1925" s="53" t="n">
        <f aca="true">NORMINV(RAND(),0,C$7)</f>
        <v>-0.864618917188015</v>
      </c>
      <c r="D1925" s="53" t="n">
        <f aca="true">NORMINV(RAND(),0,D$7)</f>
        <v>-1.71605562077285</v>
      </c>
      <c r="E1925" s="53" t="n">
        <f aca="true">NORMINV(RAND(),0,E$7)</f>
        <v>-0.36862292083003</v>
      </c>
      <c r="F1925" s="53" t="n">
        <f aca="true">NORMINV(RAND(),0,F$7)</f>
        <v>0.32749409281695</v>
      </c>
      <c r="G1925" s="53" t="n">
        <f aca="true">NORMINV(RAND(),0,G$7)</f>
        <v>1.66373915516386</v>
      </c>
      <c r="H1925" s="53" t="n">
        <f aca="true">NORMINV(RAND(),0,H$7)</f>
        <v>-0.00546775694749861</v>
      </c>
      <c r="I1925" s="53" t="n">
        <f aca="false">SUM(B1925:H1925)</f>
        <v>-1.02058354710683</v>
      </c>
      <c r="J1925" s="53" t="n">
        <f aca="true">NORMINV(RAND(),0,J$7)</f>
        <v>2.85552737507361</v>
      </c>
      <c r="K1925" s="53" t="n">
        <f aca="true">NORMINV(RAND(),0,K$7)</f>
        <v>-1.21698461934243</v>
      </c>
      <c r="L1925" s="53" t="n">
        <f aca="true">NORMINV(RAND(),0,L$7)</f>
        <v>-0.251505350763713</v>
      </c>
      <c r="M1925" s="53" t="n">
        <f aca="true">NORMINV(RAND(),0,M$7)</f>
        <v>-0.0374700818961704</v>
      </c>
      <c r="N1925" s="53" t="n">
        <f aca="true">NORMINV(RAND(),0,N$7)</f>
        <v>-0.226533775057604</v>
      </c>
      <c r="O1925" s="53" t="n">
        <f aca="false">SUM(J1925:N1925)</f>
        <v>1.12303354801369</v>
      </c>
    </row>
    <row r="1926" customFormat="false" ht="15" hidden="false" customHeight="false" outlineLevel="0" collapsed="false">
      <c r="A1926" s="2" t="n">
        <v>1918</v>
      </c>
      <c r="B1926" s="53" t="n">
        <f aca="true">NORMINV(RAND(),0,B$7)</f>
        <v>-2.03006500167815</v>
      </c>
      <c r="C1926" s="53" t="n">
        <f aca="true">NORMINV(RAND(),0,C$7)</f>
        <v>-1.28060187592634</v>
      </c>
      <c r="D1926" s="53" t="n">
        <f aca="true">NORMINV(RAND(),0,D$7)</f>
        <v>-2.4366472956899</v>
      </c>
      <c r="E1926" s="53" t="n">
        <f aca="true">NORMINV(RAND(),0,E$7)</f>
        <v>0.0125266494484453</v>
      </c>
      <c r="F1926" s="53" t="n">
        <f aca="true">NORMINV(RAND(),0,F$7)</f>
        <v>-0.173365615778206</v>
      </c>
      <c r="G1926" s="53" t="n">
        <f aca="true">NORMINV(RAND(),0,G$7)</f>
        <v>1.26346308342223</v>
      </c>
      <c r="H1926" s="53" t="n">
        <f aca="true">NORMINV(RAND(),0,H$7)</f>
        <v>-0.0602617681858295</v>
      </c>
      <c r="I1926" s="53" t="n">
        <f aca="false">SUM(B1926:H1926)</f>
        <v>-4.70495182438775</v>
      </c>
      <c r="J1926" s="53" t="n">
        <f aca="true">NORMINV(RAND(),0,J$7)</f>
        <v>2.14674386310356</v>
      </c>
      <c r="K1926" s="53" t="n">
        <f aca="true">NORMINV(RAND(),0,K$7)</f>
        <v>-0.802035639324291</v>
      </c>
      <c r="L1926" s="53" t="n">
        <f aca="true">NORMINV(RAND(),0,L$7)</f>
        <v>-0.251713434897432</v>
      </c>
      <c r="M1926" s="53" t="n">
        <f aca="true">NORMINV(RAND(),0,M$7)</f>
        <v>-0.217339976124642</v>
      </c>
      <c r="N1926" s="53" t="n">
        <f aca="true">NORMINV(RAND(),0,N$7)</f>
        <v>0.22065856929207</v>
      </c>
      <c r="O1926" s="53" t="n">
        <f aca="false">SUM(J1926:N1926)</f>
        <v>1.09631338204927</v>
      </c>
    </row>
    <row r="1927" customFormat="false" ht="15" hidden="false" customHeight="false" outlineLevel="0" collapsed="false">
      <c r="A1927" s="2" t="n">
        <v>1919</v>
      </c>
      <c r="B1927" s="53" t="n">
        <f aca="true">NORMINV(RAND(),0,B$7)</f>
        <v>-0.561854342156608</v>
      </c>
      <c r="C1927" s="53" t="n">
        <f aca="true">NORMINV(RAND(),0,C$7)</f>
        <v>1.96456740121764</v>
      </c>
      <c r="D1927" s="53" t="n">
        <f aca="true">NORMINV(RAND(),0,D$7)</f>
        <v>-2.03888303437682</v>
      </c>
      <c r="E1927" s="53" t="n">
        <f aca="true">NORMINV(RAND(),0,E$7)</f>
        <v>0.064310129554736</v>
      </c>
      <c r="F1927" s="53" t="n">
        <f aca="true">NORMINV(RAND(),0,F$7)</f>
        <v>0.226322396237057</v>
      </c>
      <c r="G1927" s="53" t="n">
        <f aca="true">NORMINV(RAND(),0,G$7)</f>
        <v>1.50625836008027</v>
      </c>
      <c r="H1927" s="53" t="n">
        <f aca="true">NORMINV(RAND(),0,H$7)</f>
        <v>0.0844204099970287</v>
      </c>
      <c r="I1927" s="53" t="n">
        <f aca="false">SUM(B1927:H1927)</f>
        <v>1.24514132055331</v>
      </c>
      <c r="J1927" s="53" t="n">
        <f aca="true">NORMINV(RAND(),0,J$7)</f>
        <v>-1.13654280844626</v>
      </c>
      <c r="K1927" s="53" t="n">
        <f aca="true">NORMINV(RAND(),0,K$7)</f>
        <v>-0.175828081295173</v>
      </c>
      <c r="L1927" s="53" t="n">
        <f aca="true">NORMINV(RAND(),0,L$7)</f>
        <v>0.170758194457809</v>
      </c>
      <c r="M1927" s="53" t="n">
        <f aca="true">NORMINV(RAND(),0,M$7)</f>
        <v>0.0432184982737206</v>
      </c>
      <c r="N1927" s="53" t="n">
        <f aca="true">NORMINV(RAND(),0,N$7)</f>
        <v>-0.0554288198357513</v>
      </c>
      <c r="O1927" s="53" t="n">
        <f aca="false">SUM(J1927:N1927)</f>
        <v>-1.15382301684565</v>
      </c>
    </row>
    <row r="1928" customFormat="false" ht="15" hidden="false" customHeight="false" outlineLevel="0" collapsed="false">
      <c r="A1928" s="2" t="n">
        <v>1920</v>
      </c>
      <c r="B1928" s="53" t="n">
        <f aca="true">NORMINV(RAND(),0,B$7)</f>
        <v>-1.52494491589063</v>
      </c>
      <c r="C1928" s="53" t="n">
        <f aca="true">NORMINV(RAND(),0,C$7)</f>
        <v>-1.61553493723256</v>
      </c>
      <c r="D1928" s="53" t="n">
        <f aca="true">NORMINV(RAND(),0,D$7)</f>
        <v>0.761956735926478</v>
      </c>
      <c r="E1928" s="53" t="n">
        <f aca="true">NORMINV(RAND(),0,E$7)</f>
        <v>-0.3668388126959</v>
      </c>
      <c r="F1928" s="53" t="n">
        <f aca="true">NORMINV(RAND(),0,F$7)</f>
        <v>-0.309049970013878</v>
      </c>
      <c r="G1928" s="53" t="n">
        <f aca="true">NORMINV(RAND(),0,G$7)</f>
        <v>1.54857477310104</v>
      </c>
      <c r="H1928" s="53" t="n">
        <f aca="true">NORMINV(RAND(),0,H$7)</f>
        <v>0.223721456522974</v>
      </c>
      <c r="I1928" s="53" t="n">
        <f aca="false">SUM(B1928:H1928)</f>
        <v>-1.28211567028248</v>
      </c>
      <c r="J1928" s="53" t="n">
        <f aca="true">NORMINV(RAND(),0,J$7)</f>
        <v>-0.835801978615902</v>
      </c>
      <c r="K1928" s="53" t="n">
        <f aca="true">NORMINV(RAND(),0,K$7)</f>
        <v>-1.45735076123017</v>
      </c>
      <c r="L1928" s="53" t="n">
        <f aca="true">NORMINV(RAND(),0,L$7)</f>
        <v>0.0919700207259035</v>
      </c>
      <c r="M1928" s="53" t="n">
        <f aca="true">NORMINV(RAND(),0,M$7)</f>
        <v>-0.0207266046527777</v>
      </c>
      <c r="N1928" s="53" t="n">
        <f aca="true">NORMINV(RAND(),0,N$7)</f>
        <v>-0.293727893343735</v>
      </c>
      <c r="O1928" s="53" t="n">
        <f aca="false">SUM(J1928:N1928)</f>
        <v>-2.51563721711668</v>
      </c>
    </row>
    <row r="1929" customFormat="false" ht="15" hidden="false" customHeight="false" outlineLevel="0" collapsed="false">
      <c r="A1929" s="2" t="n">
        <v>1921</v>
      </c>
      <c r="B1929" s="53" t="n">
        <f aca="true">NORMINV(RAND(),0,B$7)</f>
        <v>1.52556806706501</v>
      </c>
      <c r="C1929" s="53" t="n">
        <f aca="true">NORMINV(RAND(),0,C$7)</f>
        <v>0.334945021336519</v>
      </c>
      <c r="D1929" s="53" t="n">
        <f aca="true">NORMINV(RAND(),0,D$7)</f>
        <v>-1.45713959778099</v>
      </c>
      <c r="E1929" s="53" t="n">
        <f aca="true">NORMINV(RAND(),0,E$7)</f>
        <v>0.580255020895313</v>
      </c>
      <c r="F1929" s="53" t="n">
        <f aca="true">NORMINV(RAND(),0,F$7)</f>
        <v>-0.216052348124475</v>
      </c>
      <c r="G1929" s="53" t="n">
        <f aca="true">NORMINV(RAND(),0,G$7)</f>
        <v>2.35165476546404</v>
      </c>
      <c r="H1929" s="53" t="n">
        <f aca="true">NORMINV(RAND(),0,H$7)</f>
        <v>0.173709708394712</v>
      </c>
      <c r="I1929" s="53" t="n">
        <f aca="false">SUM(B1929:H1929)</f>
        <v>3.29294063725012</v>
      </c>
      <c r="J1929" s="53" t="n">
        <f aca="true">NORMINV(RAND(),0,J$7)</f>
        <v>-2.41337862840082</v>
      </c>
      <c r="K1929" s="53" t="n">
        <f aca="true">NORMINV(RAND(),0,K$7)</f>
        <v>-0.193023101790864</v>
      </c>
      <c r="L1929" s="53" t="n">
        <f aca="true">NORMINV(RAND(),0,L$7)</f>
        <v>0.531363482740298</v>
      </c>
      <c r="M1929" s="53" t="n">
        <f aca="true">NORMINV(RAND(),0,M$7)</f>
        <v>0.0979069483468499</v>
      </c>
      <c r="N1929" s="53" t="n">
        <f aca="true">NORMINV(RAND(),0,N$7)</f>
        <v>-0.631377324075392</v>
      </c>
      <c r="O1929" s="53" t="n">
        <f aca="false">SUM(J1929:N1929)</f>
        <v>-2.60850862317992</v>
      </c>
    </row>
    <row r="1930" customFormat="false" ht="15" hidden="false" customHeight="false" outlineLevel="0" collapsed="false">
      <c r="A1930" s="2" t="n">
        <v>1922</v>
      </c>
      <c r="B1930" s="53" t="n">
        <f aca="true">NORMINV(RAND(),0,B$7)</f>
        <v>0.932714408717696</v>
      </c>
      <c r="C1930" s="53" t="n">
        <f aca="true">NORMINV(RAND(),0,C$7)</f>
        <v>-0.0166394285261907</v>
      </c>
      <c r="D1930" s="53" t="n">
        <f aca="true">NORMINV(RAND(),0,D$7)</f>
        <v>-2.5573061110461</v>
      </c>
      <c r="E1930" s="53" t="n">
        <f aca="true">NORMINV(RAND(),0,E$7)</f>
        <v>-0.111064744663833</v>
      </c>
      <c r="F1930" s="53" t="n">
        <f aca="true">NORMINV(RAND(),0,F$7)</f>
        <v>-0.232977530210242</v>
      </c>
      <c r="G1930" s="53" t="n">
        <f aca="true">NORMINV(RAND(),0,G$7)</f>
        <v>1.50342374626335</v>
      </c>
      <c r="H1930" s="53" t="n">
        <f aca="true">NORMINV(RAND(),0,H$7)</f>
        <v>0.229507423143553</v>
      </c>
      <c r="I1930" s="53" t="n">
        <f aca="false">SUM(B1930:H1930)</f>
        <v>-0.252342236321765</v>
      </c>
      <c r="J1930" s="53" t="n">
        <f aca="true">NORMINV(RAND(),0,J$7)</f>
        <v>-0.900170147663878</v>
      </c>
      <c r="K1930" s="53" t="n">
        <f aca="true">NORMINV(RAND(),0,K$7)</f>
        <v>-0.555123523481556</v>
      </c>
      <c r="L1930" s="53" t="n">
        <f aca="true">NORMINV(RAND(),0,L$7)</f>
        <v>0.0545891929085593</v>
      </c>
      <c r="M1930" s="53" t="n">
        <f aca="true">NORMINV(RAND(),0,M$7)</f>
        <v>0.232708769228753</v>
      </c>
      <c r="N1930" s="53" t="n">
        <f aca="true">NORMINV(RAND(),0,N$7)</f>
        <v>-0.478706385520575</v>
      </c>
      <c r="O1930" s="53" t="n">
        <f aca="false">SUM(J1930:N1930)</f>
        <v>-1.6467020945287</v>
      </c>
    </row>
    <row r="1931" customFormat="false" ht="15" hidden="false" customHeight="false" outlineLevel="0" collapsed="false">
      <c r="A1931" s="2" t="n">
        <v>1923</v>
      </c>
      <c r="B1931" s="53" t="n">
        <f aca="true">NORMINV(RAND(),0,B$7)</f>
        <v>-2.63348673069276</v>
      </c>
      <c r="C1931" s="53" t="n">
        <f aca="true">NORMINV(RAND(),0,C$7)</f>
        <v>-1.25689727579263</v>
      </c>
      <c r="D1931" s="53" t="n">
        <f aca="true">NORMINV(RAND(),0,D$7)</f>
        <v>-1.10432480353662</v>
      </c>
      <c r="E1931" s="53" t="n">
        <f aca="true">NORMINV(RAND(),0,E$7)</f>
        <v>-0.282944406397</v>
      </c>
      <c r="F1931" s="53" t="n">
        <f aca="true">NORMINV(RAND(),0,F$7)</f>
        <v>0.202076300104681</v>
      </c>
      <c r="G1931" s="53" t="n">
        <f aca="true">NORMINV(RAND(),0,G$7)</f>
        <v>1.60138098464596</v>
      </c>
      <c r="H1931" s="53" t="n">
        <f aca="true">NORMINV(RAND(),0,H$7)</f>
        <v>0.0789801858764559</v>
      </c>
      <c r="I1931" s="53" t="n">
        <f aca="false">SUM(B1931:H1931)</f>
        <v>-3.39521574579192</v>
      </c>
      <c r="J1931" s="53" t="n">
        <f aca="true">NORMINV(RAND(),0,J$7)</f>
        <v>-1.8431166326606</v>
      </c>
      <c r="K1931" s="53" t="n">
        <f aca="true">NORMINV(RAND(),0,K$7)</f>
        <v>-0.0330459794033276</v>
      </c>
      <c r="L1931" s="53" t="n">
        <f aca="true">NORMINV(RAND(),0,L$7)</f>
        <v>0.523104377259379</v>
      </c>
      <c r="M1931" s="53" t="n">
        <f aca="true">NORMINV(RAND(),0,M$7)</f>
        <v>-0.267886548780521</v>
      </c>
      <c r="N1931" s="53" t="n">
        <f aca="true">NORMINV(RAND(),0,N$7)</f>
        <v>-0.183287589925147</v>
      </c>
      <c r="O1931" s="53" t="n">
        <f aca="false">SUM(J1931:N1931)</f>
        <v>-1.80423237351021</v>
      </c>
    </row>
    <row r="1932" customFormat="false" ht="15" hidden="false" customHeight="false" outlineLevel="0" collapsed="false">
      <c r="A1932" s="2" t="n">
        <v>1924</v>
      </c>
      <c r="B1932" s="53" t="n">
        <f aca="true">NORMINV(RAND(),0,B$7)</f>
        <v>-1.64749255814846</v>
      </c>
      <c r="C1932" s="53" t="n">
        <f aca="true">NORMINV(RAND(),0,C$7)</f>
        <v>0.663353236339486</v>
      </c>
      <c r="D1932" s="53" t="n">
        <f aca="true">NORMINV(RAND(),0,D$7)</f>
        <v>-0.0799598469280074</v>
      </c>
      <c r="E1932" s="53" t="n">
        <f aca="true">NORMINV(RAND(),0,E$7)</f>
        <v>0.325442549308657</v>
      </c>
      <c r="F1932" s="53" t="n">
        <f aca="true">NORMINV(RAND(),0,F$7)</f>
        <v>0.195740502969517</v>
      </c>
      <c r="G1932" s="53" t="n">
        <f aca="true">NORMINV(RAND(),0,G$7)</f>
        <v>0.564834242197927</v>
      </c>
      <c r="H1932" s="53" t="n">
        <f aca="true">NORMINV(RAND(),0,H$7)</f>
        <v>-0.0384128817861691</v>
      </c>
      <c r="I1932" s="53" t="n">
        <f aca="false">SUM(B1932:H1932)</f>
        <v>-0.0164947560470487</v>
      </c>
      <c r="J1932" s="53" t="n">
        <f aca="true">NORMINV(RAND(),0,J$7)</f>
        <v>-0.687640666449171</v>
      </c>
      <c r="K1932" s="53" t="n">
        <f aca="true">NORMINV(RAND(),0,K$7)</f>
        <v>-0.484909907059279</v>
      </c>
      <c r="L1932" s="53" t="n">
        <f aca="true">NORMINV(RAND(),0,L$7)</f>
        <v>-0.553384916931656</v>
      </c>
      <c r="M1932" s="53" t="n">
        <f aca="true">NORMINV(RAND(),0,M$7)</f>
        <v>0.00505228336757934</v>
      </c>
      <c r="N1932" s="53" t="n">
        <f aca="true">NORMINV(RAND(),0,N$7)</f>
        <v>0.502043842574312</v>
      </c>
      <c r="O1932" s="53" t="n">
        <f aca="false">SUM(J1932:N1932)</f>
        <v>-1.21883936449821</v>
      </c>
    </row>
    <row r="1933" customFormat="false" ht="15" hidden="false" customHeight="false" outlineLevel="0" collapsed="false">
      <c r="A1933" s="2" t="n">
        <v>1925</v>
      </c>
      <c r="B1933" s="53" t="n">
        <f aca="true">NORMINV(RAND(),0,B$7)</f>
        <v>-0.200832231428802</v>
      </c>
      <c r="C1933" s="53" t="n">
        <f aca="true">NORMINV(RAND(),0,C$7)</f>
        <v>2.82644389500439</v>
      </c>
      <c r="D1933" s="53" t="n">
        <f aca="true">NORMINV(RAND(),0,D$7)</f>
        <v>-1.16658140559994</v>
      </c>
      <c r="E1933" s="53" t="n">
        <f aca="true">NORMINV(RAND(),0,E$7)</f>
        <v>-0.732455160103217</v>
      </c>
      <c r="F1933" s="53" t="n">
        <f aca="true">NORMINV(RAND(),0,F$7)</f>
        <v>0.309452007235237</v>
      </c>
      <c r="G1933" s="53" t="n">
        <f aca="true">NORMINV(RAND(),0,G$7)</f>
        <v>0.575833501158944</v>
      </c>
      <c r="H1933" s="53" t="n">
        <f aca="true">NORMINV(RAND(),0,H$7)</f>
        <v>0.385306847521858</v>
      </c>
      <c r="I1933" s="53" t="n">
        <f aca="false">SUM(B1933:H1933)</f>
        <v>1.99716745378847</v>
      </c>
      <c r="J1933" s="53" t="n">
        <f aca="true">NORMINV(RAND(),0,J$7)</f>
        <v>-2.42622677967256</v>
      </c>
      <c r="K1933" s="53" t="n">
        <f aca="true">NORMINV(RAND(),0,K$7)</f>
        <v>-0.443070419881452</v>
      </c>
      <c r="L1933" s="53" t="n">
        <f aca="true">NORMINV(RAND(),0,L$7)</f>
        <v>-0.168416780794916</v>
      </c>
      <c r="M1933" s="53" t="n">
        <f aca="true">NORMINV(RAND(),0,M$7)</f>
        <v>-0.517381747091437</v>
      </c>
      <c r="N1933" s="53" t="n">
        <f aca="true">NORMINV(RAND(),0,N$7)</f>
        <v>-0.346697823466634</v>
      </c>
      <c r="O1933" s="53" t="n">
        <f aca="false">SUM(J1933:N1933)</f>
        <v>-3.901793550907</v>
      </c>
    </row>
    <row r="1934" customFormat="false" ht="15" hidden="false" customHeight="false" outlineLevel="0" collapsed="false">
      <c r="A1934" s="2" t="n">
        <v>1926</v>
      </c>
      <c r="B1934" s="53" t="n">
        <f aca="true">NORMINV(RAND(),0,B$7)</f>
        <v>-1.09632390466454</v>
      </c>
      <c r="C1934" s="53" t="n">
        <f aca="true">NORMINV(RAND(),0,C$7)</f>
        <v>0.297534182552667</v>
      </c>
      <c r="D1934" s="53" t="n">
        <f aca="true">NORMINV(RAND(),0,D$7)</f>
        <v>-1.07652175119909</v>
      </c>
      <c r="E1934" s="53" t="n">
        <f aca="true">NORMINV(RAND(),0,E$7)</f>
        <v>0.134587734710671</v>
      </c>
      <c r="F1934" s="53" t="n">
        <f aca="true">NORMINV(RAND(),0,F$7)</f>
        <v>0.415405835085165</v>
      </c>
      <c r="G1934" s="53" t="n">
        <f aca="true">NORMINV(RAND(),0,G$7)</f>
        <v>-2.02616514960159</v>
      </c>
      <c r="H1934" s="53" t="n">
        <f aca="true">NORMINV(RAND(),0,H$7)</f>
        <v>0.302838972418771</v>
      </c>
      <c r="I1934" s="53" t="n">
        <f aca="false">SUM(B1934:H1934)</f>
        <v>-3.04864408069793</v>
      </c>
      <c r="J1934" s="53" t="n">
        <f aca="true">NORMINV(RAND(),0,J$7)</f>
        <v>-0.396978432675026</v>
      </c>
      <c r="K1934" s="53" t="n">
        <f aca="true">NORMINV(RAND(),0,K$7)</f>
        <v>-0.789256932934771</v>
      </c>
      <c r="L1934" s="53" t="n">
        <f aca="true">NORMINV(RAND(),0,L$7)</f>
        <v>-0.0862114549431446</v>
      </c>
      <c r="M1934" s="53" t="n">
        <f aca="true">NORMINV(RAND(),0,M$7)</f>
        <v>0.122510433945938</v>
      </c>
      <c r="N1934" s="53" t="n">
        <f aca="true">NORMINV(RAND(),0,N$7)</f>
        <v>-0.176126528992121</v>
      </c>
      <c r="O1934" s="53" t="n">
        <f aca="false">SUM(J1934:N1934)</f>
        <v>-1.32606291559912</v>
      </c>
    </row>
    <row r="1935" customFormat="false" ht="15" hidden="false" customHeight="false" outlineLevel="0" collapsed="false">
      <c r="A1935" s="2" t="n">
        <v>1927</v>
      </c>
      <c r="B1935" s="53" t="n">
        <f aca="true">NORMINV(RAND(),0,B$7)</f>
        <v>0.0753715973876713</v>
      </c>
      <c r="C1935" s="53" t="n">
        <f aca="true">NORMINV(RAND(),0,C$7)</f>
        <v>3.33745737106806</v>
      </c>
      <c r="D1935" s="53" t="n">
        <f aca="true">NORMINV(RAND(),0,D$7)</f>
        <v>-0.24331867250701</v>
      </c>
      <c r="E1935" s="53" t="n">
        <f aca="true">NORMINV(RAND(),0,E$7)</f>
        <v>-0.388362692217058</v>
      </c>
      <c r="F1935" s="53" t="n">
        <f aca="true">NORMINV(RAND(),0,F$7)</f>
        <v>0.70136396107495</v>
      </c>
      <c r="G1935" s="53" t="n">
        <f aca="true">NORMINV(RAND(),0,G$7)</f>
        <v>-0.234929192627897</v>
      </c>
      <c r="H1935" s="53" t="n">
        <f aca="true">NORMINV(RAND(),0,H$7)</f>
        <v>-0.0840412579135318</v>
      </c>
      <c r="I1935" s="53" t="n">
        <f aca="false">SUM(B1935:H1935)</f>
        <v>3.16354111426518</v>
      </c>
      <c r="J1935" s="53" t="n">
        <f aca="true">NORMINV(RAND(),0,J$7)</f>
        <v>1.08376648065567</v>
      </c>
      <c r="K1935" s="53" t="n">
        <f aca="true">NORMINV(RAND(),0,K$7)</f>
        <v>-0.187779443576288</v>
      </c>
      <c r="L1935" s="53" t="n">
        <f aca="true">NORMINV(RAND(),0,L$7)</f>
        <v>0.56127475723699</v>
      </c>
      <c r="M1935" s="53" t="n">
        <f aca="true">NORMINV(RAND(),0,M$7)</f>
        <v>0.100496269499628</v>
      </c>
      <c r="N1935" s="53" t="n">
        <f aca="true">NORMINV(RAND(),0,N$7)</f>
        <v>-0.0287629411350847</v>
      </c>
      <c r="O1935" s="53" t="n">
        <f aca="false">SUM(J1935:N1935)</f>
        <v>1.52899512268092</v>
      </c>
    </row>
    <row r="1936" customFormat="false" ht="15" hidden="false" customHeight="false" outlineLevel="0" collapsed="false">
      <c r="A1936" s="2" t="n">
        <v>1928</v>
      </c>
      <c r="B1936" s="53" t="n">
        <f aca="true">NORMINV(RAND(),0,B$7)</f>
        <v>0.29746690845305</v>
      </c>
      <c r="C1936" s="53" t="n">
        <f aca="true">NORMINV(RAND(),0,C$7)</f>
        <v>0.676826967556675</v>
      </c>
      <c r="D1936" s="53" t="n">
        <f aca="true">NORMINV(RAND(),0,D$7)</f>
        <v>1.11959549509337</v>
      </c>
      <c r="E1936" s="53" t="n">
        <f aca="true">NORMINV(RAND(),0,E$7)</f>
        <v>0.176427702423876</v>
      </c>
      <c r="F1936" s="53" t="n">
        <f aca="true">NORMINV(RAND(),0,F$7)</f>
        <v>0.12303386376132</v>
      </c>
      <c r="G1936" s="53" t="n">
        <f aca="true">NORMINV(RAND(),0,G$7)</f>
        <v>1.04207951313853</v>
      </c>
      <c r="H1936" s="53" t="n">
        <f aca="true">NORMINV(RAND(),0,H$7)</f>
        <v>-0.315323733192022</v>
      </c>
      <c r="I1936" s="53" t="n">
        <f aca="false">SUM(B1936:H1936)</f>
        <v>3.12010671723479</v>
      </c>
      <c r="J1936" s="53" t="n">
        <f aca="true">NORMINV(RAND(),0,J$7)</f>
        <v>-1.06310895151611</v>
      </c>
      <c r="K1936" s="53" t="n">
        <f aca="true">NORMINV(RAND(),0,K$7)</f>
        <v>-0.0414799557264262</v>
      </c>
      <c r="L1936" s="53" t="n">
        <f aca="true">NORMINV(RAND(),0,L$7)</f>
        <v>0.41576232777996</v>
      </c>
      <c r="M1936" s="53" t="n">
        <f aca="true">NORMINV(RAND(),0,M$7)</f>
        <v>-0.110970945462014</v>
      </c>
      <c r="N1936" s="53" t="n">
        <f aca="true">NORMINV(RAND(),0,N$7)</f>
        <v>-0.0435479825648624</v>
      </c>
      <c r="O1936" s="53" t="n">
        <f aca="false">SUM(J1936:N1936)</f>
        <v>-0.843345507489457</v>
      </c>
    </row>
    <row r="1937" customFormat="false" ht="15" hidden="false" customHeight="false" outlineLevel="0" collapsed="false">
      <c r="A1937" s="2" t="n">
        <v>1929</v>
      </c>
      <c r="B1937" s="53" t="n">
        <f aca="true">NORMINV(RAND(),0,B$7)</f>
        <v>2.68669376570062</v>
      </c>
      <c r="C1937" s="53" t="n">
        <f aca="true">NORMINV(RAND(),0,C$7)</f>
        <v>-1.06233630797045</v>
      </c>
      <c r="D1937" s="53" t="n">
        <f aca="true">NORMINV(RAND(),0,D$7)</f>
        <v>-2.24734946053538</v>
      </c>
      <c r="E1937" s="53" t="n">
        <f aca="true">NORMINV(RAND(),0,E$7)</f>
        <v>-0.128465563061197</v>
      </c>
      <c r="F1937" s="53" t="n">
        <f aca="true">NORMINV(RAND(),0,F$7)</f>
        <v>0.12372182928671</v>
      </c>
      <c r="G1937" s="53" t="n">
        <f aca="true">NORMINV(RAND(),0,G$7)</f>
        <v>-0.872845797510507</v>
      </c>
      <c r="H1937" s="53" t="n">
        <f aca="true">NORMINV(RAND(),0,H$7)</f>
        <v>-0.284177041906802</v>
      </c>
      <c r="I1937" s="53" t="n">
        <f aca="false">SUM(B1937:H1937)</f>
        <v>-1.78475857599702</v>
      </c>
      <c r="J1937" s="53" t="n">
        <f aca="true">NORMINV(RAND(),0,J$7)</f>
        <v>1.65123838703306</v>
      </c>
      <c r="K1937" s="53" t="n">
        <f aca="true">NORMINV(RAND(),0,K$7)</f>
        <v>-1.02340295440223</v>
      </c>
      <c r="L1937" s="53" t="n">
        <f aca="true">NORMINV(RAND(),0,L$7)</f>
        <v>0.0293104963550439</v>
      </c>
      <c r="M1937" s="53" t="n">
        <f aca="true">NORMINV(RAND(),0,M$7)</f>
        <v>-0.0594608574372636</v>
      </c>
      <c r="N1937" s="53" t="n">
        <f aca="true">NORMINV(RAND(),0,N$7)</f>
        <v>0.722162572356065</v>
      </c>
      <c r="O1937" s="53" t="n">
        <f aca="false">SUM(J1937:N1937)</f>
        <v>1.31984764390468</v>
      </c>
    </row>
    <row r="1938" customFormat="false" ht="15" hidden="false" customHeight="false" outlineLevel="0" collapsed="false">
      <c r="A1938" s="2" t="n">
        <v>1930</v>
      </c>
      <c r="B1938" s="53" t="n">
        <f aca="true">NORMINV(RAND(),0,B$7)</f>
        <v>-1.03793094460865</v>
      </c>
      <c r="C1938" s="53" t="n">
        <f aca="true">NORMINV(RAND(),0,C$7)</f>
        <v>-0.24485804920025</v>
      </c>
      <c r="D1938" s="53" t="n">
        <f aca="true">NORMINV(RAND(),0,D$7)</f>
        <v>2.45341921905605</v>
      </c>
      <c r="E1938" s="53" t="n">
        <f aca="true">NORMINV(RAND(),0,E$7)</f>
        <v>-0.500312322857904</v>
      </c>
      <c r="F1938" s="53" t="n">
        <f aca="true">NORMINV(RAND(),0,F$7)</f>
        <v>-0.263475985526997</v>
      </c>
      <c r="G1938" s="53" t="n">
        <f aca="true">NORMINV(RAND(),0,G$7)</f>
        <v>0.543312001365506</v>
      </c>
      <c r="H1938" s="53" t="n">
        <f aca="true">NORMINV(RAND(),0,H$7)</f>
        <v>-0.349273385327875</v>
      </c>
      <c r="I1938" s="53" t="n">
        <f aca="false">SUM(B1938:H1938)</f>
        <v>0.600880532899879</v>
      </c>
      <c r="J1938" s="53" t="n">
        <f aca="true">NORMINV(RAND(),0,J$7)</f>
        <v>-1.28613940587354</v>
      </c>
      <c r="K1938" s="53" t="n">
        <f aca="true">NORMINV(RAND(),0,K$7)</f>
        <v>-0.221398857064594</v>
      </c>
      <c r="L1938" s="53" t="n">
        <f aca="true">NORMINV(RAND(),0,L$7)</f>
        <v>-0.050232484456857</v>
      </c>
      <c r="M1938" s="53" t="n">
        <f aca="true">NORMINV(RAND(),0,M$7)</f>
        <v>0.0284814360343397</v>
      </c>
      <c r="N1938" s="53" t="n">
        <f aca="true">NORMINV(RAND(),0,N$7)</f>
        <v>0.145949756207601</v>
      </c>
      <c r="O1938" s="53" t="n">
        <f aca="false">SUM(J1938:N1938)</f>
        <v>-1.38333955515305</v>
      </c>
    </row>
    <row r="1939" customFormat="false" ht="15" hidden="false" customHeight="false" outlineLevel="0" collapsed="false">
      <c r="A1939" s="2" t="n">
        <v>1931</v>
      </c>
      <c r="B1939" s="53" t="n">
        <f aca="true">NORMINV(RAND(),0,B$7)</f>
        <v>0.549087925283295</v>
      </c>
      <c r="C1939" s="53" t="n">
        <f aca="true">NORMINV(RAND(),0,C$7)</f>
        <v>0.626287064021831</v>
      </c>
      <c r="D1939" s="53" t="n">
        <f aca="true">NORMINV(RAND(),0,D$7)</f>
        <v>-0.186834118441219</v>
      </c>
      <c r="E1939" s="53" t="n">
        <f aca="true">NORMINV(RAND(),0,E$7)</f>
        <v>-0.286245146928152</v>
      </c>
      <c r="F1939" s="53" t="n">
        <f aca="true">NORMINV(RAND(),0,F$7)</f>
        <v>0.376378827139884</v>
      </c>
      <c r="G1939" s="53" t="n">
        <f aca="true">NORMINV(RAND(),0,G$7)</f>
        <v>2.53794378952206</v>
      </c>
      <c r="H1939" s="53" t="n">
        <f aca="true">NORMINV(RAND(),0,H$7)</f>
        <v>-0.120555847806378</v>
      </c>
      <c r="I1939" s="53" t="n">
        <f aca="false">SUM(B1939:H1939)</f>
        <v>3.49606249279132</v>
      </c>
      <c r="J1939" s="53" t="n">
        <f aca="true">NORMINV(RAND(),0,J$7)</f>
        <v>-2.05237459276382</v>
      </c>
      <c r="K1939" s="53" t="n">
        <f aca="true">NORMINV(RAND(),0,K$7)</f>
        <v>-0.282248743906023</v>
      </c>
      <c r="L1939" s="53" t="n">
        <f aca="true">NORMINV(RAND(),0,L$7)</f>
        <v>0.0406706608635213</v>
      </c>
      <c r="M1939" s="53" t="n">
        <f aca="true">NORMINV(RAND(),0,M$7)</f>
        <v>-0.269274395259692</v>
      </c>
      <c r="N1939" s="53" t="n">
        <f aca="true">NORMINV(RAND(),0,N$7)</f>
        <v>0.0546724673489851</v>
      </c>
      <c r="O1939" s="53" t="n">
        <f aca="false">SUM(J1939:N1939)</f>
        <v>-2.50855460371703</v>
      </c>
    </row>
    <row r="1940" customFormat="false" ht="15" hidden="false" customHeight="false" outlineLevel="0" collapsed="false">
      <c r="A1940" s="2" t="n">
        <v>1932</v>
      </c>
      <c r="B1940" s="53" t="n">
        <f aca="true">NORMINV(RAND(),0,B$7)</f>
        <v>-0.600128868760595</v>
      </c>
      <c r="C1940" s="53" t="n">
        <f aca="true">NORMINV(RAND(),0,C$7)</f>
        <v>-0.0224153221150068</v>
      </c>
      <c r="D1940" s="53" t="n">
        <f aca="true">NORMINV(RAND(),0,D$7)</f>
        <v>-3.75264751785488</v>
      </c>
      <c r="E1940" s="53" t="n">
        <f aca="true">NORMINV(RAND(),0,E$7)</f>
        <v>-0.225353141038553</v>
      </c>
      <c r="F1940" s="53" t="n">
        <f aca="true">NORMINV(RAND(),0,F$7)</f>
        <v>-0.193159570219794</v>
      </c>
      <c r="G1940" s="53" t="n">
        <f aca="true">NORMINV(RAND(),0,G$7)</f>
        <v>3.8343462840682</v>
      </c>
      <c r="H1940" s="53" t="n">
        <f aca="true">NORMINV(RAND(),0,H$7)</f>
        <v>-0.010617500663511</v>
      </c>
      <c r="I1940" s="53" t="n">
        <f aca="false">SUM(B1940:H1940)</f>
        <v>-0.969975636584139</v>
      </c>
      <c r="J1940" s="53" t="n">
        <f aca="true">NORMINV(RAND(),0,J$7)</f>
        <v>-2.25469583322249</v>
      </c>
      <c r="K1940" s="53" t="n">
        <f aca="true">NORMINV(RAND(),0,K$7)</f>
        <v>0.540124439745991</v>
      </c>
      <c r="L1940" s="53" t="n">
        <f aca="true">NORMINV(RAND(),0,L$7)</f>
        <v>0.401885959947403</v>
      </c>
      <c r="M1940" s="53" t="n">
        <f aca="true">NORMINV(RAND(),0,M$7)</f>
        <v>-0.133767529736922</v>
      </c>
      <c r="N1940" s="53" t="n">
        <f aca="true">NORMINV(RAND(),0,N$7)</f>
        <v>0.00766316592136975</v>
      </c>
      <c r="O1940" s="53" t="n">
        <f aca="false">SUM(J1940:N1940)</f>
        <v>-1.43878979734465</v>
      </c>
    </row>
    <row r="1941" customFormat="false" ht="15" hidden="false" customHeight="false" outlineLevel="0" collapsed="false">
      <c r="A1941" s="2" t="n">
        <v>1933</v>
      </c>
      <c r="B1941" s="53" t="n">
        <f aca="true">NORMINV(RAND(),0,B$7)</f>
        <v>0.399885738169356</v>
      </c>
      <c r="C1941" s="53" t="n">
        <f aca="true">NORMINV(RAND(),0,C$7)</f>
        <v>-1.4838090674311</v>
      </c>
      <c r="D1941" s="53" t="n">
        <f aca="true">NORMINV(RAND(),0,D$7)</f>
        <v>-0.85118797975188</v>
      </c>
      <c r="E1941" s="53" t="n">
        <f aca="true">NORMINV(RAND(),0,E$7)</f>
        <v>0.269746045377787</v>
      </c>
      <c r="F1941" s="53" t="n">
        <f aca="true">NORMINV(RAND(),0,F$7)</f>
        <v>-0.0247078500921451</v>
      </c>
      <c r="G1941" s="53" t="n">
        <f aca="true">NORMINV(RAND(),0,G$7)</f>
        <v>-1.69812761246952</v>
      </c>
      <c r="H1941" s="53" t="n">
        <f aca="true">NORMINV(RAND(),0,H$7)</f>
        <v>0.131112902769361</v>
      </c>
      <c r="I1941" s="53" t="n">
        <f aca="false">SUM(B1941:H1941)</f>
        <v>-3.25708782342814</v>
      </c>
      <c r="J1941" s="53" t="n">
        <f aca="true">NORMINV(RAND(),0,J$7)</f>
        <v>3.60505613686943</v>
      </c>
      <c r="K1941" s="53" t="n">
        <f aca="true">NORMINV(RAND(),0,K$7)</f>
        <v>0.342243344694877</v>
      </c>
      <c r="L1941" s="53" t="n">
        <f aca="true">NORMINV(RAND(),0,L$7)</f>
        <v>0.153565623099649</v>
      </c>
      <c r="M1941" s="53" t="n">
        <f aca="true">NORMINV(RAND(),0,M$7)</f>
        <v>0.106396101631425</v>
      </c>
      <c r="N1941" s="53" t="n">
        <f aca="true">NORMINV(RAND(),0,N$7)</f>
        <v>-0.298652198011723</v>
      </c>
      <c r="O1941" s="53" t="n">
        <f aca="false">SUM(J1941:N1941)</f>
        <v>3.90860900828366</v>
      </c>
    </row>
    <row r="1942" customFormat="false" ht="15" hidden="false" customHeight="false" outlineLevel="0" collapsed="false">
      <c r="A1942" s="2" t="n">
        <v>1934</v>
      </c>
      <c r="B1942" s="53" t="n">
        <f aca="true">NORMINV(RAND(),0,B$7)</f>
        <v>-0.0445416481056638</v>
      </c>
      <c r="C1942" s="53" t="n">
        <f aca="true">NORMINV(RAND(),0,C$7)</f>
        <v>-0.0245643983104662</v>
      </c>
      <c r="D1942" s="53" t="n">
        <f aca="true">NORMINV(RAND(),0,D$7)</f>
        <v>-4.58184455493291</v>
      </c>
      <c r="E1942" s="53" t="n">
        <f aca="true">NORMINV(RAND(),0,E$7)</f>
        <v>-0.567775675243062</v>
      </c>
      <c r="F1942" s="53" t="n">
        <f aca="true">NORMINV(RAND(),0,F$7)</f>
        <v>-0.225233937777674</v>
      </c>
      <c r="G1942" s="53" t="n">
        <f aca="true">NORMINV(RAND(),0,G$7)</f>
        <v>-0.426331066038886</v>
      </c>
      <c r="H1942" s="53" t="n">
        <f aca="true">NORMINV(RAND(),0,H$7)</f>
        <v>0.414320038584032</v>
      </c>
      <c r="I1942" s="53" t="n">
        <f aca="false">SUM(B1942:H1942)</f>
        <v>-5.45597124182463</v>
      </c>
      <c r="J1942" s="53" t="n">
        <f aca="true">NORMINV(RAND(),0,J$7)</f>
        <v>-1.31038820176769</v>
      </c>
      <c r="K1942" s="53" t="n">
        <f aca="true">NORMINV(RAND(),0,K$7)</f>
        <v>-0.974398915373613</v>
      </c>
      <c r="L1942" s="53" t="n">
        <f aca="true">NORMINV(RAND(),0,L$7)</f>
        <v>-0.906181724628127</v>
      </c>
      <c r="M1942" s="53" t="n">
        <f aca="true">NORMINV(RAND(),0,M$7)</f>
        <v>-0.163369021818337</v>
      </c>
      <c r="N1942" s="53" t="n">
        <f aca="true">NORMINV(RAND(),0,N$7)</f>
        <v>-0.0567169150944245</v>
      </c>
      <c r="O1942" s="53" t="n">
        <f aca="false">SUM(J1942:N1942)</f>
        <v>-3.41105477868219</v>
      </c>
    </row>
    <row r="1943" customFormat="false" ht="15" hidden="false" customHeight="false" outlineLevel="0" collapsed="false">
      <c r="A1943" s="2" t="n">
        <v>1935</v>
      </c>
      <c r="B1943" s="53" t="n">
        <f aca="true">NORMINV(RAND(),0,B$7)</f>
        <v>0.664605133049056</v>
      </c>
      <c r="C1943" s="53" t="n">
        <f aca="true">NORMINV(RAND(),0,C$7)</f>
        <v>0.723987053425453</v>
      </c>
      <c r="D1943" s="53" t="n">
        <f aca="true">NORMINV(RAND(),0,D$7)</f>
        <v>2.83030476347766</v>
      </c>
      <c r="E1943" s="53" t="n">
        <f aca="true">NORMINV(RAND(),0,E$7)</f>
        <v>0.699392866913174</v>
      </c>
      <c r="F1943" s="53" t="n">
        <f aca="true">NORMINV(RAND(),0,F$7)</f>
        <v>-0.0299656068410182</v>
      </c>
      <c r="G1943" s="53" t="n">
        <f aca="true">NORMINV(RAND(),0,G$7)</f>
        <v>0.218470454752866</v>
      </c>
      <c r="H1943" s="53" t="n">
        <f aca="true">NORMINV(RAND(),0,H$7)</f>
        <v>0.0245377588793172</v>
      </c>
      <c r="I1943" s="53" t="n">
        <f aca="false">SUM(B1943:H1943)</f>
        <v>5.13133242365651</v>
      </c>
      <c r="J1943" s="53" t="n">
        <f aca="true">NORMINV(RAND(),0,J$7)</f>
        <v>0.973081883162289</v>
      </c>
      <c r="K1943" s="53" t="n">
        <f aca="true">NORMINV(RAND(),0,K$7)</f>
        <v>-0.0235269598844301</v>
      </c>
      <c r="L1943" s="53" t="n">
        <f aca="true">NORMINV(RAND(),0,L$7)</f>
        <v>0.0693522591591887</v>
      </c>
      <c r="M1943" s="53" t="n">
        <f aca="true">NORMINV(RAND(),0,M$7)</f>
        <v>0.231850024191672</v>
      </c>
      <c r="N1943" s="53" t="n">
        <f aca="true">NORMINV(RAND(),0,N$7)</f>
        <v>0.0199305674445914</v>
      </c>
      <c r="O1943" s="53" t="n">
        <f aca="false">SUM(J1943:N1943)</f>
        <v>1.27068777407331</v>
      </c>
    </row>
    <row r="1944" customFormat="false" ht="15" hidden="false" customHeight="false" outlineLevel="0" collapsed="false">
      <c r="A1944" s="2" t="n">
        <v>1936</v>
      </c>
      <c r="B1944" s="53" t="n">
        <f aca="true">NORMINV(RAND(),0,B$7)</f>
        <v>1.84372306988777</v>
      </c>
      <c r="C1944" s="53" t="n">
        <f aca="true">NORMINV(RAND(),0,C$7)</f>
        <v>0.512394107419383</v>
      </c>
      <c r="D1944" s="53" t="n">
        <f aca="true">NORMINV(RAND(),0,D$7)</f>
        <v>1.57414590574766</v>
      </c>
      <c r="E1944" s="53" t="n">
        <f aca="true">NORMINV(RAND(),0,E$7)</f>
        <v>0.276456862916247</v>
      </c>
      <c r="F1944" s="53" t="n">
        <f aca="true">NORMINV(RAND(),0,F$7)</f>
        <v>0.133193769290957</v>
      </c>
      <c r="G1944" s="53" t="n">
        <f aca="true">NORMINV(RAND(),0,G$7)</f>
        <v>0.569110382361113</v>
      </c>
      <c r="H1944" s="53" t="n">
        <f aca="true">NORMINV(RAND(),0,H$7)</f>
        <v>-0.580088866544184</v>
      </c>
      <c r="I1944" s="53" t="n">
        <f aca="false">SUM(B1944:H1944)</f>
        <v>4.32893523107894</v>
      </c>
      <c r="J1944" s="53" t="n">
        <f aca="true">NORMINV(RAND(),0,J$7)</f>
        <v>0.787804093189939</v>
      </c>
      <c r="K1944" s="53" t="n">
        <f aca="true">NORMINV(RAND(),0,K$7)</f>
        <v>1.52507979505866</v>
      </c>
      <c r="L1944" s="53" t="n">
        <f aca="true">NORMINV(RAND(),0,L$7)</f>
        <v>-0.48933131982585</v>
      </c>
      <c r="M1944" s="53" t="n">
        <f aca="true">NORMINV(RAND(),0,M$7)</f>
        <v>0.0989298015359292</v>
      </c>
      <c r="N1944" s="53" t="n">
        <f aca="true">NORMINV(RAND(),0,N$7)</f>
        <v>-0.359583492242812</v>
      </c>
      <c r="O1944" s="53" t="n">
        <f aca="false">SUM(J1944:N1944)</f>
        <v>1.56289887771587</v>
      </c>
    </row>
    <row r="1945" customFormat="false" ht="15" hidden="false" customHeight="false" outlineLevel="0" collapsed="false">
      <c r="A1945" s="2" t="n">
        <v>1937</v>
      </c>
      <c r="B1945" s="53" t="n">
        <f aca="true">NORMINV(RAND(),0,B$7)</f>
        <v>0.394087582170885</v>
      </c>
      <c r="C1945" s="53" t="n">
        <f aca="true">NORMINV(RAND(),0,C$7)</f>
        <v>0.353254493052192</v>
      </c>
      <c r="D1945" s="53" t="n">
        <f aca="true">NORMINV(RAND(),0,D$7)</f>
        <v>-0.410178546743603</v>
      </c>
      <c r="E1945" s="53" t="n">
        <f aca="true">NORMINV(RAND(),0,E$7)</f>
        <v>-0.0301001722265052</v>
      </c>
      <c r="F1945" s="53" t="n">
        <f aca="true">NORMINV(RAND(),0,F$7)</f>
        <v>-0.514415416932082</v>
      </c>
      <c r="G1945" s="53" t="n">
        <f aca="true">NORMINV(RAND(),0,G$7)</f>
        <v>1.52661903888915</v>
      </c>
      <c r="H1945" s="53" t="n">
        <f aca="true">NORMINV(RAND(),0,H$7)</f>
        <v>-0.173036236671626</v>
      </c>
      <c r="I1945" s="53" t="n">
        <f aca="false">SUM(B1945:H1945)</f>
        <v>1.14623074153841</v>
      </c>
      <c r="J1945" s="53" t="n">
        <f aca="true">NORMINV(RAND(),0,J$7)</f>
        <v>-7.73177100436611</v>
      </c>
      <c r="K1945" s="53" t="n">
        <f aca="true">NORMINV(RAND(),0,K$7)</f>
        <v>0.562241940674994</v>
      </c>
      <c r="L1945" s="53" t="n">
        <f aca="true">NORMINV(RAND(),0,L$7)</f>
        <v>-0.0345258890305633</v>
      </c>
      <c r="M1945" s="53" t="n">
        <f aca="true">NORMINV(RAND(),0,M$7)</f>
        <v>0.103120249942206</v>
      </c>
      <c r="N1945" s="53" t="n">
        <f aca="true">NORMINV(RAND(),0,N$7)</f>
        <v>-0.39120553093174</v>
      </c>
      <c r="O1945" s="53" t="n">
        <f aca="false">SUM(J1945:N1945)</f>
        <v>-7.49214023371121</v>
      </c>
    </row>
    <row r="1946" customFormat="false" ht="15" hidden="false" customHeight="false" outlineLevel="0" collapsed="false">
      <c r="A1946" s="2" t="n">
        <v>1938</v>
      </c>
      <c r="B1946" s="53" t="n">
        <f aca="true">NORMINV(RAND(),0,B$7)</f>
        <v>-0.162615402896361</v>
      </c>
      <c r="C1946" s="53" t="n">
        <f aca="true">NORMINV(RAND(),0,C$7)</f>
        <v>0.220891103460394</v>
      </c>
      <c r="D1946" s="53" t="n">
        <f aca="true">NORMINV(RAND(),0,D$7)</f>
        <v>1.99611382154385</v>
      </c>
      <c r="E1946" s="53" t="n">
        <f aca="true">NORMINV(RAND(),0,E$7)</f>
        <v>-0.317430634089478</v>
      </c>
      <c r="F1946" s="53" t="n">
        <f aca="true">NORMINV(RAND(),0,F$7)</f>
        <v>0.130392709030272</v>
      </c>
      <c r="G1946" s="53" t="n">
        <f aca="true">NORMINV(RAND(),0,G$7)</f>
        <v>-0.487161106457185</v>
      </c>
      <c r="H1946" s="53" t="n">
        <f aca="true">NORMINV(RAND(),0,H$7)</f>
        <v>-0.720582426569004</v>
      </c>
      <c r="I1946" s="53" t="n">
        <f aca="false">SUM(B1946:H1946)</f>
        <v>0.659608064022483</v>
      </c>
      <c r="J1946" s="53" t="n">
        <f aca="true">NORMINV(RAND(),0,J$7)</f>
        <v>-0.871987460022147</v>
      </c>
      <c r="K1946" s="53" t="n">
        <f aca="true">NORMINV(RAND(),0,K$7)</f>
        <v>0.17759937497537</v>
      </c>
      <c r="L1946" s="53" t="n">
        <f aca="true">NORMINV(RAND(),0,L$7)</f>
        <v>-0.445545199623401</v>
      </c>
      <c r="M1946" s="53" t="n">
        <f aca="true">NORMINV(RAND(),0,M$7)</f>
        <v>-0.057169798745679</v>
      </c>
      <c r="N1946" s="53" t="n">
        <f aca="true">NORMINV(RAND(),0,N$7)</f>
        <v>-0.14879846044167</v>
      </c>
      <c r="O1946" s="53" t="n">
        <f aca="false">SUM(J1946:N1946)</f>
        <v>-1.34590154385753</v>
      </c>
    </row>
    <row r="1947" customFormat="false" ht="15" hidden="false" customHeight="false" outlineLevel="0" collapsed="false">
      <c r="A1947" s="2" t="n">
        <v>1939</v>
      </c>
      <c r="B1947" s="53" t="n">
        <f aca="true">NORMINV(RAND(),0,B$7)</f>
        <v>0.65017904049212</v>
      </c>
      <c r="C1947" s="53" t="n">
        <f aca="true">NORMINV(RAND(),0,C$7)</f>
        <v>2.3795521598816</v>
      </c>
      <c r="D1947" s="53" t="n">
        <f aca="true">NORMINV(RAND(),0,D$7)</f>
        <v>-4.26272529110704</v>
      </c>
      <c r="E1947" s="53" t="n">
        <f aca="true">NORMINV(RAND(),0,E$7)</f>
        <v>0.0284646367130689</v>
      </c>
      <c r="F1947" s="53" t="n">
        <f aca="true">NORMINV(RAND(),0,F$7)</f>
        <v>0.0153612439074114</v>
      </c>
      <c r="G1947" s="53" t="n">
        <f aca="true">NORMINV(RAND(),0,G$7)</f>
        <v>-0.387215041927136</v>
      </c>
      <c r="H1947" s="53" t="n">
        <f aca="true">NORMINV(RAND(),0,H$7)</f>
        <v>0.179718437741818</v>
      </c>
      <c r="I1947" s="53" t="n">
        <f aca="false">SUM(B1947:H1947)</f>
        <v>-1.39666481429816</v>
      </c>
      <c r="J1947" s="53" t="n">
        <f aca="true">NORMINV(RAND(),0,J$7)</f>
        <v>-1.02970069620008</v>
      </c>
      <c r="K1947" s="53" t="n">
        <f aca="true">NORMINV(RAND(),0,K$7)</f>
        <v>1.5228009343812</v>
      </c>
      <c r="L1947" s="53" t="n">
        <f aca="true">NORMINV(RAND(),0,L$7)</f>
        <v>0.0717549094628107</v>
      </c>
      <c r="M1947" s="53" t="n">
        <f aca="true">NORMINV(RAND(),0,M$7)</f>
        <v>-0.275389254953128</v>
      </c>
      <c r="N1947" s="53" t="n">
        <f aca="true">NORMINV(RAND(),0,N$7)</f>
        <v>-0.0878226119165478</v>
      </c>
      <c r="O1947" s="53" t="n">
        <f aca="false">SUM(J1947:N1947)</f>
        <v>0.20164328077425</v>
      </c>
    </row>
    <row r="1948" customFormat="false" ht="15" hidden="false" customHeight="false" outlineLevel="0" collapsed="false">
      <c r="A1948" s="2" t="n">
        <v>1940</v>
      </c>
      <c r="B1948" s="53" t="n">
        <f aca="true">NORMINV(RAND(),0,B$7)</f>
        <v>-3.50426842178136</v>
      </c>
      <c r="C1948" s="53" t="n">
        <f aca="true">NORMINV(RAND(),0,C$7)</f>
        <v>-2.62920170813395</v>
      </c>
      <c r="D1948" s="53" t="n">
        <f aca="true">NORMINV(RAND(),0,D$7)</f>
        <v>-0.839631943938418</v>
      </c>
      <c r="E1948" s="53" t="n">
        <f aca="true">NORMINV(RAND(),0,E$7)</f>
        <v>-0.333892356991393</v>
      </c>
      <c r="F1948" s="53" t="n">
        <f aca="true">NORMINV(RAND(),0,F$7)</f>
        <v>-0.0700182738663156</v>
      </c>
      <c r="G1948" s="53" t="n">
        <f aca="true">NORMINV(RAND(),0,G$7)</f>
        <v>3.47082239301693</v>
      </c>
      <c r="H1948" s="53" t="n">
        <f aca="true">NORMINV(RAND(),0,H$7)</f>
        <v>-0.146408082676652</v>
      </c>
      <c r="I1948" s="53" t="n">
        <f aca="false">SUM(B1948:H1948)</f>
        <v>-4.05259839437116</v>
      </c>
      <c r="J1948" s="53" t="n">
        <f aca="true">NORMINV(RAND(),0,J$7)</f>
        <v>0.707655159496026</v>
      </c>
      <c r="K1948" s="53" t="n">
        <f aca="true">NORMINV(RAND(),0,K$7)</f>
        <v>-1.44935191190776</v>
      </c>
      <c r="L1948" s="53" t="n">
        <f aca="true">NORMINV(RAND(),0,L$7)</f>
        <v>-0.0614467617029147</v>
      </c>
      <c r="M1948" s="53" t="n">
        <f aca="true">NORMINV(RAND(),0,M$7)</f>
        <v>0.298967156475263</v>
      </c>
      <c r="N1948" s="53" t="n">
        <f aca="true">NORMINV(RAND(),0,N$7)</f>
        <v>-0.660439578049832</v>
      </c>
      <c r="O1948" s="53" t="n">
        <f aca="false">SUM(J1948:N1948)</f>
        <v>-1.16461593568921</v>
      </c>
    </row>
    <row r="1949" customFormat="false" ht="15" hidden="false" customHeight="false" outlineLevel="0" collapsed="false">
      <c r="A1949" s="2" t="n">
        <v>1941</v>
      </c>
      <c r="B1949" s="53" t="n">
        <f aca="true">NORMINV(RAND(),0,B$7)</f>
        <v>1.40530416187888</v>
      </c>
      <c r="C1949" s="53" t="n">
        <f aca="true">NORMINV(RAND(),0,C$7)</f>
        <v>-0.671809122883345</v>
      </c>
      <c r="D1949" s="53" t="n">
        <f aca="true">NORMINV(RAND(),0,D$7)</f>
        <v>-1.18719771651859</v>
      </c>
      <c r="E1949" s="53" t="n">
        <f aca="true">NORMINV(RAND(),0,E$7)</f>
        <v>0.15312413644034</v>
      </c>
      <c r="F1949" s="53" t="n">
        <f aca="true">NORMINV(RAND(),0,F$7)</f>
        <v>-0.696471081912576</v>
      </c>
      <c r="G1949" s="53" t="n">
        <f aca="true">NORMINV(RAND(),0,G$7)</f>
        <v>-1.11049277034191</v>
      </c>
      <c r="H1949" s="53" t="n">
        <f aca="true">NORMINV(RAND(),0,H$7)</f>
        <v>0.404327359574513</v>
      </c>
      <c r="I1949" s="53" t="n">
        <f aca="false">SUM(B1949:H1949)</f>
        <v>-1.70321503376269</v>
      </c>
      <c r="J1949" s="53" t="n">
        <f aca="true">NORMINV(RAND(),0,J$7)</f>
        <v>-0.849519114326772</v>
      </c>
      <c r="K1949" s="53" t="n">
        <f aca="true">NORMINV(RAND(),0,K$7)</f>
        <v>-1.18661432972693</v>
      </c>
      <c r="L1949" s="53" t="n">
        <f aca="true">NORMINV(RAND(),0,L$7)</f>
        <v>0.216323365860097</v>
      </c>
      <c r="M1949" s="53" t="n">
        <f aca="true">NORMINV(RAND(),0,M$7)</f>
        <v>0.0829706130553231</v>
      </c>
      <c r="N1949" s="53" t="n">
        <f aca="true">NORMINV(RAND(),0,N$7)</f>
        <v>0.369668521524913</v>
      </c>
      <c r="O1949" s="53" t="n">
        <f aca="false">SUM(J1949:N1949)</f>
        <v>-1.36717094361337</v>
      </c>
    </row>
    <row r="1950" customFormat="false" ht="15" hidden="false" customHeight="false" outlineLevel="0" collapsed="false">
      <c r="A1950" s="2" t="n">
        <v>1942</v>
      </c>
      <c r="B1950" s="53" t="n">
        <f aca="true">NORMINV(RAND(),0,B$7)</f>
        <v>-0.314532574036484</v>
      </c>
      <c r="C1950" s="53" t="n">
        <f aca="true">NORMINV(RAND(),0,C$7)</f>
        <v>-0.822008873487656</v>
      </c>
      <c r="D1950" s="53" t="n">
        <f aca="true">NORMINV(RAND(),0,D$7)</f>
        <v>-0.855199951597313</v>
      </c>
      <c r="E1950" s="53" t="n">
        <f aca="true">NORMINV(RAND(),0,E$7)</f>
        <v>-0.0422088918976684</v>
      </c>
      <c r="F1950" s="53" t="n">
        <f aca="true">NORMINV(RAND(),0,F$7)</f>
        <v>0.0681073955151408</v>
      </c>
      <c r="G1950" s="53" t="n">
        <f aca="true">NORMINV(RAND(),0,G$7)</f>
        <v>0.982003677479335</v>
      </c>
      <c r="H1950" s="53" t="n">
        <f aca="true">NORMINV(RAND(),0,H$7)</f>
        <v>-0.0479572763438193</v>
      </c>
      <c r="I1950" s="53" t="n">
        <f aca="false">SUM(B1950:H1950)</f>
        <v>-1.03179649436846</v>
      </c>
      <c r="J1950" s="53" t="n">
        <f aca="true">NORMINV(RAND(),0,J$7)</f>
        <v>-2.81083662580119</v>
      </c>
      <c r="K1950" s="53" t="n">
        <f aca="true">NORMINV(RAND(),0,K$7)</f>
        <v>-1.64954321416051</v>
      </c>
      <c r="L1950" s="53" t="n">
        <f aca="true">NORMINV(RAND(),0,L$7)</f>
        <v>0.115515605883237</v>
      </c>
      <c r="M1950" s="53" t="n">
        <f aca="true">NORMINV(RAND(),0,M$7)</f>
        <v>0.274145053533962</v>
      </c>
      <c r="N1950" s="53" t="n">
        <f aca="true">NORMINV(RAND(),0,N$7)</f>
        <v>0.314840728778699</v>
      </c>
      <c r="O1950" s="53" t="n">
        <f aca="false">SUM(J1950:N1950)</f>
        <v>-3.7558784517658</v>
      </c>
    </row>
    <row r="1951" customFormat="false" ht="15" hidden="false" customHeight="false" outlineLevel="0" collapsed="false">
      <c r="A1951" s="2" t="n">
        <v>1943</v>
      </c>
      <c r="B1951" s="53" t="n">
        <f aca="true">NORMINV(RAND(),0,B$7)</f>
        <v>0.600447868167864</v>
      </c>
      <c r="C1951" s="53" t="n">
        <f aca="true">NORMINV(RAND(),0,C$7)</f>
        <v>1.20223605871421</v>
      </c>
      <c r="D1951" s="53" t="n">
        <f aca="true">NORMINV(RAND(),0,D$7)</f>
        <v>1.45870032971084</v>
      </c>
      <c r="E1951" s="53" t="n">
        <f aca="true">NORMINV(RAND(),0,E$7)</f>
        <v>-0.281652812713316</v>
      </c>
      <c r="F1951" s="53" t="n">
        <f aca="true">NORMINV(RAND(),0,F$7)</f>
        <v>0.430839150250689</v>
      </c>
      <c r="G1951" s="53" t="n">
        <f aca="true">NORMINV(RAND(),0,G$7)</f>
        <v>-0.46417986905059</v>
      </c>
      <c r="H1951" s="53" t="n">
        <f aca="true">NORMINV(RAND(),0,H$7)</f>
        <v>0.135091492691238</v>
      </c>
      <c r="I1951" s="53" t="n">
        <f aca="false">SUM(B1951:H1951)</f>
        <v>3.08148221777093</v>
      </c>
      <c r="J1951" s="53" t="n">
        <f aca="true">NORMINV(RAND(),0,J$7)</f>
        <v>-1.20781332284576</v>
      </c>
      <c r="K1951" s="53" t="n">
        <f aca="true">NORMINV(RAND(),0,K$7)</f>
        <v>-1.00583210258546</v>
      </c>
      <c r="L1951" s="53" t="n">
        <f aca="true">NORMINV(RAND(),0,L$7)</f>
        <v>-0.541416088461047</v>
      </c>
      <c r="M1951" s="53" t="n">
        <f aca="true">NORMINV(RAND(),0,M$7)</f>
        <v>-0.0449497969446005</v>
      </c>
      <c r="N1951" s="53" t="n">
        <f aca="true">NORMINV(RAND(),0,N$7)</f>
        <v>0.159210871173077</v>
      </c>
      <c r="O1951" s="53" t="n">
        <f aca="false">SUM(J1951:N1951)</f>
        <v>-2.6408004396638</v>
      </c>
    </row>
    <row r="1952" customFormat="false" ht="15" hidden="false" customHeight="false" outlineLevel="0" collapsed="false">
      <c r="A1952" s="2" t="n">
        <v>1944</v>
      </c>
      <c r="B1952" s="53" t="n">
        <f aca="true">NORMINV(RAND(),0,B$7)</f>
        <v>0.708460577488766</v>
      </c>
      <c r="C1952" s="53" t="n">
        <f aca="true">NORMINV(RAND(),0,C$7)</f>
        <v>-1.22917921308386</v>
      </c>
      <c r="D1952" s="53" t="n">
        <f aca="true">NORMINV(RAND(),0,D$7)</f>
        <v>0.406573216100358</v>
      </c>
      <c r="E1952" s="53" t="n">
        <f aca="true">NORMINV(RAND(),0,E$7)</f>
        <v>0.0376555108381308</v>
      </c>
      <c r="F1952" s="53" t="n">
        <f aca="true">NORMINV(RAND(),0,F$7)</f>
        <v>0.240368504857697</v>
      </c>
      <c r="G1952" s="53" t="n">
        <f aca="true">NORMINV(RAND(),0,G$7)</f>
        <v>0.296345523152682</v>
      </c>
      <c r="H1952" s="53" t="n">
        <f aca="true">NORMINV(RAND(),0,H$7)</f>
        <v>-0.195913088675715</v>
      </c>
      <c r="I1952" s="53" t="n">
        <f aca="false">SUM(B1952:H1952)</f>
        <v>0.26431103067806</v>
      </c>
      <c r="J1952" s="53" t="n">
        <f aca="true">NORMINV(RAND(),0,J$7)</f>
        <v>1.69764812670609</v>
      </c>
      <c r="K1952" s="53" t="n">
        <f aca="true">NORMINV(RAND(),0,K$7)</f>
        <v>0.898363017003739</v>
      </c>
      <c r="L1952" s="53" t="n">
        <f aca="true">NORMINV(RAND(),0,L$7)</f>
        <v>0.452275069481961</v>
      </c>
      <c r="M1952" s="53" t="n">
        <f aca="true">NORMINV(RAND(),0,M$7)</f>
        <v>0.42019525769263</v>
      </c>
      <c r="N1952" s="53" t="n">
        <f aca="true">NORMINV(RAND(),0,N$7)</f>
        <v>-0.482545860374889</v>
      </c>
      <c r="O1952" s="53" t="n">
        <f aca="false">SUM(J1952:N1952)</f>
        <v>2.98593561050953</v>
      </c>
    </row>
    <row r="1953" customFormat="false" ht="15" hidden="false" customHeight="false" outlineLevel="0" collapsed="false">
      <c r="A1953" s="2" t="n">
        <v>1945</v>
      </c>
      <c r="B1953" s="53" t="n">
        <f aca="true">NORMINV(RAND(),0,B$7)</f>
        <v>1.02459576181546</v>
      </c>
      <c r="C1953" s="53" t="n">
        <f aca="true">NORMINV(RAND(),0,C$7)</f>
        <v>0.546355626853229</v>
      </c>
      <c r="D1953" s="53" t="n">
        <f aca="true">NORMINV(RAND(),0,D$7)</f>
        <v>-0.956941689221667</v>
      </c>
      <c r="E1953" s="53" t="n">
        <f aca="true">NORMINV(RAND(),0,E$7)</f>
        <v>0.176740972171958</v>
      </c>
      <c r="F1953" s="53" t="n">
        <f aca="true">NORMINV(RAND(),0,F$7)</f>
        <v>-0.180652621010688</v>
      </c>
      <c r="G1953" s="53" t="n">
        <f aca="true">NORMINV(RAND(),0,G$7)</f>
        <v>-1.35109269983498</v>
      </c>
      <c r="H1953" s="53" t="n">
        <f aca="true">NORMINV(RAND(),0,H$7)</f>
        <v>-0.308140321907498</v>
      </c>
      <c r="I1953" s="53" t="n">
        <f aca="false">SUM(B1953:H1953)</f>
        <v>-1.04913497113418</v>
      </c>
      <c r="J1953" s="53" t="n">
        <f aca="true">NORMINV(RAND(),0,J$7)</f>
        <v>0.551435856508498</v>
      </c>
      <c r="K1953" s="53" t="n">
        <f aca="true">NORMINV(RAND(),0,K$7)</f>
        <v>0.0347651184199765</v>
      </c>
      <c r="L1953" s="53" t="n">
        <f aca="true">NORMINV(RAND(),0,L$7)</f>
        <v>0.109173905683498</v>
      </c>
      <c r="M1953" s="53" t="n">
        <f aca="true">NORMINV(RAND(),0,M$7)</f>
        <v>-0.100598637247199</v>
      </c>
      <c r="N1953" s="53" t="n">
        <f aca="true">NORMINV(RAND(),0,N$7)</f>
        <v>-0.20709863385453</v>
      </c>
      <c r="O1953" s="53" t="n">
        <f aca="false">SUM(J1953:N1953)</f>
        <v>0.387677609510244</v>
      </c>
    </row>
    <row r="1954" customFormat="false" ht="15" hidden="false" customHeight="false" outlineLevel="0" collapsed="false">
      <c r="A1954" s="2" t="n">
        <v>1946</v>
      </c>
      <c r="B1954" s="53" t="n">
        <f aca="true">NORMINV(RAND(),0,B$7)</f>
        <v>-3.01611421080643</v>
      </c>
      <c r="C1954" s="53" t="n">
        <f aca="true">NORMINV(RAND(),0,C$7)</f>
        <v>4.57901176512796</v>
      </c>
      <c r="D1954" s="53" t="n">
        <f aca="true">NORMINV(RAND(),0,D$7)</f>
        <v>-1.00446733069008</v>
      </c>
      <c r="E1954" s="53" t="n">
        <f aca="true">NORMINV(RAND(),0,E$7)</f>
        <v>-0.166353945521256</v>
      </c>
      <c r="F1954" s="53" t="n">
        <f aca="true">NORMINV(RAND(),0,F$7)</f>
        <v>-0.395371628284369</v>
      </c>
      <c r="G1954" s="53" t="n">
        <f aca="true">NORMINV(RAND(),0,G$7)</f>
        <v>0.220143852745769</v>
      </c>
      <c r="H1954" s="53" t="n">
        <f aca="true">NORMINV(RAND(),0,H$7)</f>
        <v>0.146103442488549</v>
      </c>
      <c r="I1954" s="53" t="n">
        <f aca="false">SUM(B1954:H1954)</f>
        <v>0.362951945060149</v>
      </c>
      <c r="J1954" s="53" t="n">
        <f aca="true">NORMINV(RAND(),0,J$7)</f>
        <v>2.570960863069</v>
      </c>
      <c r="K1954" s="53" t="n">
        <f aca="true">NORMINV(RAND(),0,K$7)</f>
        <v>-0.0802738548304606</v>
      </c>
      <c r="L1954" s="53" t="n">
        <f aca="true">NORMINV(RAND(),0,L$7)</f>
        <v>0.522244440332629</v>
      </c>
      <c r="M1954" s="53" t="n">
        <f aca="true">NORMINV(RAND(),0,M$7)</f>
        <v>-0.0668992527002586</v>
      </c>
      <c r="N1954" s="53" t="n">
        <f aca="true">NORMINV(RAND(),0,N$7)</f>
        <v>0.422803035528259</v>
      </c>
      <c r="O1954" s="53" t="n">
        <f aca="false">SUM(J1954:N1954)</f>
        <v>3.36883523139917</v>
      </c>
    </row>
    <row r="1955" customFormat="false" ht="15" hidden="false" customHeight="false" outlineLevel="0" collapsed="false">
      <c r="A1955" s="2" t="n">
        <v>1947</v>
      </c>
      <c r="B1955" s="53" t="n">
        <f aca="true">NORMINV(RAND(),0,B$7)</f>
        <v>0.276820265890139</v>
      </c>
      <c r="C1955" s="53" t="n">
        <f aca="true">NORMINV(RAND(),0,C$7)</f>
        <v>0.62868664627756</v>
      </c>
      <c r="D1955" s="53" t="n">
        <f aca="true">NORMINV(RAND(),0,D$7)</f>
        <v>0.357618740538289</v>
      </c>
      <c r="E1955" s="53" t="n">
        <f aca="true">NORMINV(RAND(),0,E$7)</f>
        <v>-0.28590921249271</v>
      </c>
      <c r="F1955" s="53" t="n">
        <f aca="true">NORMINV(RAND(),0,F$7)</f>
        <v>-0.345673550061761</v>
      </c>
      <c r="G1955" s="53" t="n">
        <f aca="true">NORMINV(RAND(),0,G$7)</f>
        <v>-0.103632475908285</v>
      </c>
      <c r="H1955" s="53" t="n">
        <f aca="true">NORMINV(RAND(),0,H$7)</f>
        <v>0.09112322837027</v>
      </c>
      <c r="I1955" s="53" t="n">
        <f aca="false">SUM(B1955:H1955)</f>
        <v>0.619033642613503</v>
      </c>
      <c r="J1955" s="53" t="n">
        <f aca="true">NORMINV(RAND(),0,J$7)</f>
        <v>0.44097329092789</v>
      </c>
      <c r="K1955" s="53" t="n">
        <f aca="true">NORMINV(RAND(),0,K$7)</f>
        <v>-0.734312623769355</v>
      </c>
      <c r="L1955" s="53" t="n">
        <f aca="true">NORMINV(RAND(),0,L$7)</f>
        <v>-0.221981380520584</v>
      </c>
      <c r="M1955" s="53" t="n">
        <f aca="true">NORMINV(RAND(),0,M$7)</f>
        <v>-0.0294083506208708</v>
      </c>
      <c r="N1955" s="53" t="n">
        <f aca="true">NORMINV(RAND(),0,N$7)</f>
        <v>0.0644621967120558</v>
      </c>
      <c r="O1955" s="53" t="n">
        <f aca="false">SUM(J1955:N1955)</f>
        <v>-0.480266867270864</v>
      </c>
    </row>
    <row r="1956" customFormat="false" ht="15" hidden="false" customHeight="false" outlineLevel="0" collapsed="false">
      <c r="A1956" s="2" t="n">
        <v>1948</v>
      </c>
      <c r="B1956" s="53" t="n">
        <f aca="true">NORMINV(RAND(),0,B$7)</f>
        <v>1.54253715158845</v>
      </c>
      <c r="C1956" s="53" t="n">
        <f aca="true">NORMINV(RAND(),0,C$7)</f>
        <v>-1.26527914318052</v>
      </c>
      <c r="D1956" s="53" t="n">
        <f aca="true">NORMINV(RAND(),0,D$7)</f>
        <v>2.42634774524865</v>
      </c>
      <c r="E1956" s="53" t="n">
        <f aca="true">NORMINV(RAND(),0,E$7)</f>
        <v>0.189111422401394</v>
      </c>
      <c r="F1956" s="53" t="n">
        <f aca="true">NORMINV(RAND(),0,F$7)</f>
        <v>0.24229273582766</v>
      </c>
      <c r="G1956" s="53" t="n">
        <f aca="true">NORMINV(RAND(),0,G$7)</f>
        <v>1.73150110442131</v>
      </c>
      <c r="H1956" s="53" t="n">
        <f aca="true">NORMINV(RAND(),0,H$7)</f>
        <v>-0.268063257302187</v>
      </c>
      <c r="I1956" s="53" t="n">
        <f aca="false">SUM(B1956:H1956)</f>
        <v>4.59844775900476</v>
      </c>
      <c r="J1956" s="53" t="n">
        <f aca="true">NORMINV(RAND(),0,J$7)</f>
        <v>1.4767557279504</v>
      </c>
      <c r="K1956" s="53" t="n">
        <f aca="true">NORMINV(RAND(),0,K$7)</f>
        <v>-0.0126258335582047</v>
      </c>
      <c r="L1956" s="53" t="n">
        <f aca="true">NORMINV(RAND(),0,L$7)</f>
        <v>-0.271057688928959</v>
      </c>
      <c r="M1956" s="53" t="n">
        <f aca="true">NORMINV(RAND(),0,M$7)</f>
        <v>0.187993801515416</v>
      </c>
      <c r="N1956" s="53" t="n">
        <f aca="true">NORMINV(RAND(),0,N$7)</f>
        <v>-0.425262981999399</v>
      </c>
      <c r="O1956" s="53" t="n">
        <f aca="false">SUM(J1956:N1956)</f>
        <v>0.955803024979256</v>
      </c>
    </row>
    <row r="1957" customFormat="false" ht="15" hidden="false" customHeight="false" outlineLevel="0" collapsed="false">
      <c r="A1957" s="2" t="n">
        <v>1949</v>
      </c>
      <c r="B1957" s="53" t="n">
        <f aca="true">NORMINV(RAND(),0,B$7)</f>
        <v>0.52216206048134</v>
      </c>
      <c r="C1957" s="53" t="n">
        <f aca="true">NORMINV(RAND(),0,C$7)</f>
        <v>-1.24508461700862</v>
      </c>
      <c r="D1957" s="53" t="n">
        <f aca="true">NORMINV(RAND(),0,D$7)</f>
        <v>2.81382923984039</v>
      </c>
      <c r="E1957" s="53" t="n">
        <f aca="true">NORMINV(RAND(),0,E$7)</f>
        <v>-0.223862690854226</v>
      </c>
      <c r="F1957" s="53" t="n">
        <f aca="true">NORMINV(RAND(),0,F$7)</f>
        <v>-0.192007310777595</v>
      </c>
      <c r="G1957" s="53" t="n">
        <f aca="true">NORMINV(RAND(),0,G$7)</f>
        <v>0.53622114576056</v>
      </c>
      <c r="H1957" s="53" t="n">
        <f aca="true">NORMINV(RAND(),0,H$7)</f>
        <v>0.0188117330636611</v>
      </c>
      <c r="I1957" s="53" t="n">
        <f aca="false">SUM(B1957:H1957)</f>
        <v>2.2300695605055</v>
      </c>
      <c r="J1957" s="53" t="n">
        <f aca="true">NORMINV(RAND(),0,J$7)</f>
        <v>1.6087133153757</v>
      </c>
      <c r="K1957" s="53" t="n">
        <f aca="true">NORMINV(RAND(),0,K$7)</f>
        <v>0.644778738643224</v>
      </c>
      <c r="L1957" s="53" t="n">
        <f aca="true">NORMINV(RAND(),0,L$7)</f>
        <v>0.110124559994688</v>
      </c>
      <c r="M1957" s="53" t="n">
        <f aca="true">NORMINV(RAND(),0,M$7)</f>
        <v>0.199311724391205</v>
      </c>
      <c r="N1957" s="53" t="n">
        <f aca="true">NORMINV(RAND(),0,N$7)</f>
        <v>-0.227181619586216</v>
      </c>
      <c r="O1957" s="53" t="n">
        <f aca="false">SUM(J1957:N1957)</f>
        <v>2.3357467188186</v>
      </c>
    </row>
    <row r="1958" customFormat="false" ht="15" hidden="false" customHeight="false" outlineLevel="0" collapsed="false">
      <c r="A1958" s="2" t="n">
        <v>1950</v>
      </c>
      <c r="B1958" s="53" t="n">
        <f aca="true">NORMINV(RAND(),0,B$7)</f>
        <v>5.44649529411241</v>
      </c>
      <c r="C1958" s="53" t="n">
        <f aca="true">NORMINV(RAND(),0,C$7)</f>
        <v>0.949658611316025</v>
      </c>
      <c r="D1958" s="53" t="n">
        <f aca="true">NORMINV(RAND(),0,D$7)</f>
        <v>0.165529839470884</v>
      </c>
      <c r="E1958" s="53" t="n">
        <f aca="true">NORMINV(RAND(),0,E$7)</f>
        <v>-0.226606912504009</v>
      </c>
      <c r="F1958" s="53" t="n">
        <f aca="true">NORMINV(RAND(),0,F$7)</f>
        <v>-0.379628808472046</v>
      </c>
      <c r="G1958" s="53" t="n">
        <f aca="true">NORMINV(RAND(),0,G$7)</f>
        <v>0.935749319111415</v>
      </c>
      <c r="H1958" s="53" t="n">
        <f aca="true">NORMINV(RAND(),0,H$7)</f>
        <v>-0.0379627809746064</v>
      </c>
      <c r="I1958" s="53" t="n">
        <f aca="false">SUM(B1958:H1958)</f>
        <v>6.85323456206007</v>
      </c>
      <c r="J1958" s="53" t="n">
        <f aca="true">NORMINV(RAND(),0,J$7)</f>
        <v>1.73417753017258</v>
      </c>
      <c r="K1958" s="53" t="n">
        <f aca="true">NORMINV(RAND(),0,K$7)</f>
        <v>-0.750056984871455</v>
      </c>
      <c r="L1958" s="53" t="n">
        <f aca="true">NORMINV(RAND(),0,L$7)</f>
        <v>-0.20423051319471</v>
      </c>
      <c r="M1958" s="53" t="n">
        <f aca="true">NORMINV(RAND(),0,M$7)</f>
        <v>-0.177103534802018</v>
      </c>
      <c r="N1958" s="53" t="n">
        <f aca="true">NORMINV(RAND(),0,N$7)</f>
        <v>-0.187832758046533</v>
      </c>
      <c r="O1958" s="53" t="n">
        <f aca="false">SUM(J1958:N1958)</f>
        <v>0.41495373925786</v>
      </c>
    </row>
    <row r="1959" customFormat="false" ht="15" hidden="false" customHeight="false" outlineLevel="0" collapsed="false">
      <c r="A1959" s="2" t="n">
        <v>1951</v>
      </c>
      <c r="B1959" s="53" t="n">
        <f aca="true">NORMINV(RAND(),0,B$7)</f>
        <v>-0.321785947190119</v>
      </c>
      <c r="C1959" s="53" t="n">
        <f aca="true">NORMINV(RAND(),0,C$7)</f>
        <v>3.15151042627433</v>
      </c>
      <c r="D1959" s="53" t="n">
        <f aca="true">NORMINV(RAND(),0,D$7)</f>
        <v>-1.19314662723703</v>
      </c>
      <c r="E1959" s="53" t="n">
        <f aca="true">NORMINV(RAND(),0,E$7)</f>
        <v>-0.471959361878274</v>
      </c>
      <c r="F1959" s="53" t="n">
        <f aca="true">NORMINV(RAND(),0,F$7)</f>
        <v>-0.317733475032039</v>
      </c>
      <c r="G1959" s="53" t="n">
        <f aca="true">NORMINV(RAND(),0,G$7)</f>
        <v>-0.246901863730112</v>
      </c>
      <c r="H1959" s="53" t="n">
        <f aca="true">NORMINV(RAND(),0,H$7)</f>
        <v>-0.256369564048347</v>
      </c>
      <c r="I1959" s="53" t="n">
        <f aca="false">SUM(B1959:H1959)</f>
        <v>0.343613587158408</v>
      </c>
      <c r="J1959" s="53" t="n">
        <f aca="true">NORMINV(RAND(),0,J$7)</f>
        <v>-4.89053859981272</v>
      </c>
      <c r="K1959" s="53" t="n">
        <f aca="true">NORMINV(RAND(),0,K$7)</f>
        <v>0.588828459323525</v>
      </c>
      <c r="L1959" s="53" t="n">
        <f aca="true">NORMINV(RAND(),0,L$7)</f>
        <v>0.0436449727477988</v>
      </c>
      <c r="M1959" s="53" t="n">
        <f aca="true">NORMINV(RAND(),0,M$7)</f>
        <v>0.168079099263173</v>
      </c>
      <c r="N1959" s="53" t="n">
        <f aca="true">NORMINV(RAND(),0,N$7)</f>
        <v>0.156324003302756</v>
      </c>
      <c r="O1959" s="53" t="n">
        <f aca="false">SUM(J1959:N1959)</f>
        <v>-3.93366206517547</v>
      </c>
    </row>
    <row r="1960" customFormat="false" ht="15" hidden="false" customHeight="false" outlineLevel="0" collapsed="false">
      <c r="A1960" s="2" t="n">
        <v>1952</v>
      </c>
      <c r="B1960" s="53" t="n">
        <f aca="true">NORMINV(RAND(),0,B$7)</f>
        <v>0.601539817889877</v>
      </c>
      <c r="C1960" s="53" t="n">
        <f aca="true">NORMINV(RAND(),0,C$7)</f>
        <v>0.996766757208535</v>
      </c>
      <c r="D1960" s="53" t="n">
        <f aca="true">NORMINV(RAND(),0,D$7)</f>
        <v>-0.619409596824659</v>
      </c>
      <c r="E1960" s="53" t="n">
        <f aca="true">NORMINV(RAND(),0,E$7)</f>
        <v>-0.248348817439503</v>
      </c>
      <c r="F1960" s="53" t="n">
        <f aca="true">NORMINV(RAND(),0,F$7)</f>
        <v>0.373646433100727</v>
      </c>
      <c r="G1960" s="53" t="n">
        <f aca="true">NORMINV(RAND(),0,G$7)</f>
        <v>0.277960192672617</v>
      </c>
      <c r="H1960" s="53" t="n">
        <f aca="true">NORMINV(RAND(),0,H$7)</f>
        <v>-0.018809262906537</v>
      </c>
      <c r="I1960" s="53" t="n">
        <f aca="false">SUM(B1960:H1960)</f>
        <v>1.36334552370106</v>
      </c>
      <c r="J1960" s="53" t="n">
        <f aca="true">NORMINV(RAND(),0,J$7)</f>
        <v>0.256797322628616</v>
      </c>
      <c r="K1960" s="53" t="n">
        <f aca="true">NORMINV(RAND(),0,K$7)</f>
        <v>-1.17238630929309</v>
      </c>
      <c r="L1960" s="53" t="n">
        <f aca="true">NORMINV(RAND(),0,L$7)</f>
        <v>0.304434310101698</v>
      </c>
      <c r="M1960" s="53" t="n">
        <f aca="true">NORMINV(RAND(),0,M$7)</f>
        <v>-0.0820874060009591</v>
      </c>
      <c r="N1960" s="53" t="n">
        <f aca="true">NORMINV(RAND(),0,N$7)</f>
        <v>0.607045487253032</v>
      </c>
      <c r="O1960" s="53" t="n">
        <f aca="false">SUM(J1960:N1960)</f>
        <v>-0.0861965953106995</v>
      </c>
    </row>
    <row r="1961" customFormat="false" ht="15" hidden="false" customHeight="false" outlineLevel="0" collapsed="false">
      <c r="A1961" s="2" t="n">
        <v>1953</v>
      </c>
      <c r="B1961" s="53" t="n">
        <f aca="true">NORMINV(RAND(),0,B$7)</f>
        <v>0.718622261291116</v>
      </c>
      <c r="C1961" s="53" t="n">
        <f aca="true">NORMINV(RAND(),0,C$7)</f>
        <v>2.80250762382813</v>
      </c>
      <c r="D1961" s="53" t="n">
        <f aca="true">NORMINV(RAND(),0,D$7)</f>
        <v>3.31677451972371</v>
      </c>
      <c r="E1961" s="53" t="n">
        <f aca="true">NORMINV(RAND(),0,E$7)</f>
        <v>-0.32605279258394</v>
      </c>
      <c r="F1961" s="53" t="n">
        <f aca="true">NORMINV(RAND(),0,F$7)</f>
        <v>-0.274680158732978</v>
      </c>
      <c r="G1961" s="53" t="n">
        <f aca="true">NORMINV(RAND(),0,G$7)</f>
        <v>1.36586158452442</v>
      </c>
      <c r="H1961" s="53" t="n">
        <f aca="true">NORMINV(RAND(),0,H$7)</f>
        <v>0.0257621707469373</v>
      </c>
      <c r="I1961" s="53" t="n">
        <f aca="false">SUM(B1961:H1961)</f>
        <v>7.62879520879739</v>
      </c>
      <c r="J1961" s="53" t="n">
        <f aca="true">NORMINV(RAND(),0,J$7)</f>
        <v>-0.462790315841223</v>
      </c>
      <c r="K1961" s="53" t="n">
        <f aca="true">NORMINV(RAND(),0,K$7)</f>
        <v>0.284479369992144</v>
      </c>
      <c r="L1961" s="53" t="n">
        <f aca="true">NORMINV(RAND(),0,L$7)</f>
        <v>-0.544493533451492</v>
      </c>
      <c r="M1961" s="53" t="n">
        <f aca="true">NORMINV(RAND(),0,M$7)</f>
        <v>0.222531076407671</v>
      </c>
      <c r="N1961" s="53" t="n">
        <f aca="true">NORMINV(RAND(),0,N$7)</f>
        <v>-0.0689457884569248</v>
      </c>
      <c r="O1961" s="53" t="n">
        <f aca="false">SUM(J1961:N1961)</f>
        <v>-0.569219191349825</v>
      </c>
    </row>
    <row r="1962" customFormat="false" ht="15" hidden="false" customHeight="false" outlineLevel="0" collapsed="false">
      <c r="A1962" s="2" t="n">
        <v>1954</v>
      </c>
      <c r="B1962" s="53" t="n">
        <f aca="true">NORMINV(RAND(),0,B$7)</f>
        <v>-0.961799259429961</v>
      </c>
      <c r="C1962" s="53" t="n">
        <f aca="true">NORMINV(RAND(),0,C$7)</f>
        <v>2.72611487374954</v>
      </c>
      <c r="D1962" s="53" t="n">
        <f aca="true">NORMINV(RAND(),0,D$7)</f>
        <v>-1.54670495102199</v>
      </c>
      <c r="E1962" s="53" t="n">
        <f aca="true">NORMINV(RAND(),0,E$7)</f>
        <v>0.0875402405798566</v>
      </c>
      <c r="F1962" s="53" t="n">
        <f aca="true">NORMINV(RAND(),0,F$7)</f>
        <v>0.26045127487981</v>
      </c>
      <c r="G1962" s="53" t="n">
        <f aca="true">NORMINV(RAND(),0,G$7)</f>
        <v>0.843337955496001</v>
      </c>
      <c r="H1962" s="53" t="n">
        <f aca="true">NORMINV(RAND(),0,H$7)</f>
        <v>0.457222276467334</v>
      </c>
      <c r="I1962" s="53" t="n">
        <f aca="false">SUM(B1962:H1962)</f>
        <v>1.86616241072059</v>
      </c>
      <c r="J1962" s="53" t="n">
        <f aca="true">NORMINV(RAND(),0,J$7)</f>
        <v>4.42885795109941</v>
      </c>
      <c r="K1962" s="53" t="n">
        <f aca="true">NORMINV(RAND(),0,K$7)</f>
        <v>0.856626484025336</v>
      </c>
      <c r="L1962" s="53" t="n">
        <f aca="true">NORMINV(RAND(),0,L$7)</f>
        <v>0.060500747756419</v>
      </c>
      <c r="M1962" s="53" t="n">
        <f aca="true">NORMINV(RAND(),0,M$7)</f>
        <v>-0.223670448361202</v>
      </c>
      <c r="N1962" s="53" t="n">
        <f aca="true">NORMINV(RAND(),0,N$7)</f>
        <v>0.18297190710944</v>
      </c>
      <c r="O1962" s="53" t="n">
        <f aca="false">SUM(J1962:N1962)</f>
        <v>5.30528664162941</v>
      </c>
    </row>
    <row r="1963" customFormat="false" ht="15" hidden="false" customHeight="false" outlineLevel="0" collapsed="false">
      <c r="A1963" s="2" t="n">
        <v>1955</v>
      </c>
      <c r="B1963" s="53" t="n">
        <f aca="true">NORMINV(RAND(),0,B$7)</f>
        <v>2.02419320228315</v>
      </c>
      <c r="C1963" s="53" t="n">
        <f aca="true">NORMINV(RAND(),0,C$7)</f>
        <v>-1.82663156589775</v>
      </c>
      <c r="D1963" s="53" t="n">
        <f aca="true">NORMINV(RAND(),0,D$7)</f>
        <v>2.55463621060851</v>
      </c>
      <c r="E1963" s="53" t="n">
        <f aca="true">NORMINV(RAND(),0,E$7)</f>
        <v>-0.312405357491685</v>
      </c>
      <c r="F1963" s="53" t="n">
        <f aca="true">NORMINV(RAND(),0,F$7)</f>
        <v>0.4152582266605</v>
      </c>
      <c r="G1963" s="53" t="n">
        <f aca="true">NORMINV(RAND(),0,G$7)</f>
        <v>1.82414375097688</v>
      </c>
      <c r="H1963" s="53" t="n">
        <f aca="true">NORMINV(RAND(),0,H$7)</f>
        <v>-0.0417573157941056</v>
      </c>
      <c r="I1963" s="53" t="n">
        <f aca="false">SUM(B1963:H1963)</f>
        <v>4.6374371513455</v>
      </c>
      <c r="J1963" s="53" t="n">
        <f aca="true">NORMINV(RAND(),0,J$7)</f>
        <v>-2.37215612546476</v>
      </c>
      <c r="K1963" s="53" t="n">
        <f aca="true">NORMINV(RAND(),0,K$7)</f>
        <v>0.985978236465762</v>
      </c>
      <c r="L1963" s="53" t="n">
        <f aca="true">NORMINV(RAND(),0,L$7)</f>
        <v>-0.0719534610509341</v>
      </c>
      <c r="M1963" s="53" t="n">
        <f aca="true">NORMINV(RAND(),0,M$7)</f>
        <v>-0.0295308223361446</v>
      </c>
      <c r="N1963" s="53" t="n">
        <f aca="true">NORMINV(RAND(),0,N$7)</f>
        <v>0.00822142239531595</v>
      </c>
      <c r="O1963" s="53" t="n">
        <f aca="false">SUM(J1963:N1963)</f>
        <v>-1.47944074999076</v>
      </c>
    </row>
    <row r="1964" customFormat="false" ht="15" hidden="false" customHeight="false" outlineLevel="0" collapsed="false">
      <c r="A1964" s="2" t="n">
        <v>1956</v>
      </c>
      <c r="B1964" s="53" t="n">
        <f aca="true">NORMINV(RAND(),0,B$7)</f>
        <v>-0.429896716911169</v>
      </c>
      <c r="C1964" s="53" t="n">
        <f aca="true">NORMINV(RAND(),0,C$7)</f>
        <v>0.53863250952065</v>
      </c>
      <c r="D1964" s="53" t="n">
        <f aca="true">NORMINV(RAND(),0,D$7)</f>
        <v>-3.36722983081021</v>
      </c>
      <c r="E1964" s="53" t="n">
        <f aca="true">NORMINV(RAND(),0,E$7)</f>
        <v>0.442849905918791</v>
      </c>
      <c r="F1964" s="53" t="n">
        <f aca="true">NORMINV(RAND(),0,F$7)</f>
        <v>0.179707124491035</v>
      </c>
      <c r="G1964" s="53" t="n">
        <f aca="true">NORMINV(RAND(),0,G$7)</f>
        <v>-2.12086230477475</v>
      </c>
      <c r="H1964" s="53" t="n">
        <f aca="true">NORMINV(RAND(),0,H$7)</f>
        <v>-0.593289895653534</v>
      </c>
      <c r="I1964" s="53" t="n">
        <f aca="false">SUM(B1964:H1964)</f>
        <v>-5.35008920821918</v>
      </c>
      <c r="J1964" s="53" t="n">
        <f aca="true">NORMINV(RAND(),0,J$7)</f>
        <v>-0.372775462593411</v>
      </c>
      <c r="K1964" s="53" t="n">
        <f aca="true">NORMINV(RAND(),0,K$7)</f>
        <v>-0.0917695521010814</v>
      </c>
      <c r="L1964" s="53" t="n">
        <f aca="true">NORMINV(RAND(),0,L$7)</f>
        <v>-0.223425234919305</v>
      </c>
      <c r="M1964" s="53" t="n">
        <f aca="true">NORMINV(RAND(),0,M$7)</f>
        <v>0.226986135905645</v>
      </c>
      <c r="N1964" s="53" t="n">
        <f aca="true">NORMINV(RAND(),0,N$7)</f>
        <v>0.681053028543762</v>
      </c>
      <c r="O1964" s="53" t="n">
        <f aca="false">SUM(J1964:N1964)</f>
        <v>0.22006891483561</v>
      </c>
    </row>
    <row r="1965" customFormat="false" ht="15" hidden="false" customHeight="false" outlineLevel="0" collapsed="false">
      <c r="A1965" s="2" t="n">
        <v>1957</v>
      </c>
      <c r="B1965" s="53" t="n">
        <f aca="true">NORMINV(RAND(),0,B$7)</f>
        <v>0.96551236785402</v>
      </c>
      <c r="C1965" s="53" t="n">
        <f aca="true">NORMINV(RAND(),0,C$7)</f>
        <v>1.34476648664477</v>
      </c>
      <c r="D1965" s="53" t="n">
        <f aca="true">NORMINV(RAND(),0,D$7)</f>
        <v>-0.141445894484459</v>
      </c>
      <c r="E1965" s="53" t="n">
        <f aca="true">NORMINV(RAND(),0,E$7)</f>
        <v>-0.449977315705369</v>
      </c>
      <c r="F1965" s="53" t="n">
        <f aca="true">NORMINV(RAND(),0,F$7)</f>
        <v>0.213911759761086</v>
      </c>
      <c r="G1965" s="53" t="n">
        <f aca="true">NORMINV(RAND(),0,G$7)</f>
        <v>-0.0696746519607477</v>
      </c>
      <c r="H1965" s="53" t="n">
        <f aca="true">NORMINV(RAND(),0,H$7)</f>
        <v>-0.0923281318293964</v>
      </c>
      <c r="I1965" s="53" t="n">
        <f aca="false">SUM(B1965:H1965)</f>
        <v>1.7707646202799</v>
      </c>
      <c r="J1965" s="53" t="n">
        <f aca="true">NORMINV(RAND(),0,J$7)</f>
        <v>0.59012225774139</v>
      </c>
      <c r="K1965" s="53" t="n">
        <f aca="true">NORMINV(RAND(),0,K$7)</f>
        <v>0.22218262643017</v>
      </c>
      <c r="L1965" s="53" t="n">
        <f aca="true">NORMINV(RAND(),0,L$7)</f>
        <v>0.098634710304026</v>
      </c>
      <c r="M1965" s="53" t="n">
        <f aca="true">NORMINV(RAND(),0,M$7)</f>
        <v>0.00592933062387611</v>
      </c>
      <c r="N1965" s="53" t="n">
        <f aca="true">NORMINV(RAND(),0,N$7)</f>
        <v>-0.0899001347098836</v>
      </c>
      <c r="O1965" s="53" t="n">
        <f aca="false">SUM(J1965:N1965)</f>
        <v>0.826968790389578</v>
      </c>
    </row>
    <row r="1966" customFormat="false" ht="15" hidden="false" customHeight="false" outlineLevel="0" collapsed="false">
      <c r="A1966" s="2" t="n">
        <v>1958</v>
      </c>
      <c r="B1966" s="53" t="n">
        <f aca="true">NORMINV(RAND(),0,B$7)</f>
        <v>-0.780478859607526</v>
      </c>
      <c r="C1966" s="53" t="n">
        <f aca="true">NORMINV(RAND(),0,C$7)</f>
        <v>0.62242117007882</v>
      </c>
      <c r="D1966" s="53" t="n">
        <f aca="true">NORMINV(RAND(),0,D$7)</f>
        <v>-1.1026476216949</v>
      </c>
      <c r="E1966" s="53" t="n">
        <f aca="true">NORMINV(RAND(),0,E$7)</f>
        <v>-0.142405692679452</v>
      </c>
      <c r="F1966" s="53" t="n">
        <f aca="true">NORMINV(RAND(),0,F$7)</f>
        <v>0.0898889268296448</v>
      </c>
      <c r="G1966" s="53" t="n">
        <f aca="true">NORMINV(RAND(),0,G$7)</f>
        <v>2.22343324738038</v>
      </c>
      <c r="H1966" s="53" t="n">
        <f aca="true">NORMINV(RAND(),0,H$7)</f>
        <v>-0.171804251731164</v>
      </c>
      <c r="I1966" s="53" t="n">
        <f aca="false">SUM(B1966:H1966)</f>
        <v>0.738406918575799</v>
      </c>
      <c r="J1966" s="53" t="n">
        <f aca="true">NORMINV(RAND(),0,J$7)</f>
        <v>1.81060344923938</v>
      </c>
      <c r="K1966" s="53" t="n">
        <f aca="true">NORMINV(RAND(),0,K$7)</f>
        <v>-0.54584549023339</v>
      </c>
      <c r="L1966" s="53" t="n">
        <f aca="true">NORMINV(RAND(),0,L$7)</f>
        <v>-0.71182319039643</v>
      </c>
      <c r="M1966" s="53" t="n">
        <f aca="true">NORMINV(RAND(),0,M$7)</f>
        <v>0.0904749893152059</v>
      </c>
      <c r="N1966" s="53" t="n">
        <f aca="true">NORMINV(RAND(),0,N$7)</f>
        <v>-0.331817271560215</v>
      </c>
      <c r="O1966" s="53" t="n">
        <f aca="false">SUM(J1966:N1966)</f>
        <v>0.311592486364554</v>
      </c>
    </row>
    <row r="1967" customFormat="false" ht="15" hidden="false" customHeight="false" outlineLevel="0" collapsed="false">
      <c r="A1967" s="2" t="n">
        <v>1959</v>
      </c>
      <c r="B1967" s="53" t="n">
        <f aca="true">NORMINV(RAND(),0,B$7)</f>
        <v>0.663231279554046</v>
      </c>
      <c r="C1967" s="53" t="n">
        <f aca="true">NORMINV(RAND(),0,C$7)</f>
        <v>-0.907743771968273</v>
      </c>
      <c r="D1967" s="53" t="n">
        <f aca="true">NORMINV(RAND(),0,D$7)</f>
        <v>0.798987737438192</v>
      </c>
      <c r="E1967" s="53" t="n">
        <f aca="true">NORMINV(RAND(),0,E$7)</f>
        <v>-0.512062535089608</v>
      </c>
      <c r="F1967" s="53" t="n">
        <f aca="true">NORMINV(RAND(),0,F$7)</f>
        <v>-0.239262233580464</v>
      </c>
      <c r="G1967" s="53" t="n">
        <f aca="true">NORMINV(RAND(),0,G$7)</f>
        <v>-0.362133513322577</v>
      </c>
      <c r="H1967" s="53" t="n">
        <f aca="true">NORMINV(RAND(),0,H$7)</f>
        <v>-0.455091311340371</v>
      </c>
      <c r="I1967" s="53" t="n">
        <f aca="false">SUM(B1967:H1967)</f>
        <v>-1.01407434830906</v>
      </c>
      <c r="J1967" s="53" t="n">
        <f aca="true">NORMINV(RAND(),0,J$7)</f>
        <v>-0.837925418462492</v>
      </c>
      <c r="K1967" s="53" t="n">
        <f aca="true">NORMINV(RAND(),0,K$7)</f>
        <v>-0.53849374741894</v>
      </c>
      <c r="L1967" s="53" t="n">
        <f aca="true">NORMINV(RAND(),0,L$7)</f>
        <v>0.632136077348479</v>
      </c>
      <c r="M1967" s="53" t="n">
        <f aca="true">NORMINV(RAND(),0,M$7)</f>
        <v>0.119966748737588</v>
      </c>
      <c r="N1967" s="53" t="n">
        <f aca="true">NORMINV(RAND(),0,N$7)</f>
        <v>-0.0405479740046216</v>
      </c>
      <c r="O1967" s="53" t="n">
        <f aca="false">SUM(J1967:N1967)</f>
        <v>-0.664864313799987</v>
      </c>
    </row>
    <row r="1968" customFormat="false" ht="15" hidden="false" customHeight="false" outlineLevel="0" collapsed="false">
      <c r="A1968" s="2" t="n">
        <v>1960</v>
      </c>
      <c r="B1968" s="53" t="n">
        <f aca="true">NORMINV(RAND(),0,B$7)</f>
        <v>0.327394617792525</v>
      </c>
      <c r="C1968" s="53" t="n">
        <f aca="true">NORMINV(RAND(),0,C$7)</f>
        <v>0.611827259670656</v>
      </c>
      <c r="D1968" s="53" t="n">
        <f aca="true">NORMINV(RAND(),0,D$7)</f>
        <v>-0.967422192821531</v>
      </c>
      <c r="E1968" s="53" t="n">
        <f aca="true">NORMINV(RAND(),0,E$7)</f>
        <v>0.143093686340022</v>
      </c>
      <c r="F1968" s="53" t="n">
        <f aca="true">NORMINV(RAND(),0,F$7)</f>
        <v>-0.674527861241436</v>
      </c>
      <c r="G1968" s="53" t="n">
        <f aca="true">NORMINV(RAND(),0,G$7)</f>
        <v>-1.14053354576747</v>
      </c>
      <c r="H1968" s="53" t="n">
        <f aca="true">NORMINV(RAND(),0,H$7)</f>
        <v>0.46625596004458</v>
      </c>
      <c r="I1968" s="53" t="n">
        <f aca="false">SUM(B1968:H1968)</f>
        <v>-1.23391207598266</v>
      </c>
      <c r="J1968" s="53" t="n">
        <f aca="true">NORMINV(RAND(),0,J$7)</f>
        <v>-2.3405032606475</v>
      </c>
      <c r="K1968" s="53" t="n">
        <f aca="true">NORMINV(RAND(),0,K$7)</f>
        <v>0.784649510482733</v>
      </c>
      <c r="L1968" s="53" t="n">
        <f aca="true">NORMINV(RAND(),0,L$7)</f>
        <v>0.215299237149944</v>
      </c>
      <c r="M1968" s="53" t="n">
        <f aca="true">NORMINV(RAND(),0,M$7)</f>
        <v>-0.000971111585000963</v>
      </c>
      <c r="N1968" s="53" t="n">
        <f aca="true">NORMINV(RAND(),0,N$7)</f>
        <v>-0.311017305894801</v>
      </c>
      <c r="O1968" s="53" t="n">
        <f aca="false">SUM(J1968:N1968)</f>
        <v>-1.65254293049463</v>
      </c>
    </row>
    <row r="1969" customFormat="false" ht="15" hidden="false" customHeight="false" outlineLevel="0" collapsed="false">
      <c r="A1969" s="2" t="n">
        <v>1961</v>
      </c>
      <c r="B1969" s="53" t="n">
        <f aca="true">NORMINV(RAND(),0,B$7)</f>
        <v>1.34920691088227</v>
      </c>
      <c r="C1969" s="53" t="n">
        <f aca="true">NORMINV(RAND(),0,C$7)</f>
        <v>-1.5533684401145</v>
      </c>
      <c r="D1969" s="53" t="n">
        <f aca="true">NORMINV(RAND(),0,D$7)</f>
        <v>-0.418805549758007</v>
      </c>
      <c r="E1969" s="53" t="n">
        <f aca="true">NORMINV(RAND(),0,E$7)</f>
        <v>0.129734457372149</v>
      </c>
      <c r="F1969" s="53" t="n">
        <f aca="true">NORMINV(RAND(),0,F$7)</f>
        <v>0.0462255663526246</v>
      </c>
      <c r="G1969" s="53" t="n">
        <f aca="true">NORMINV(RAND(),0,G$7)</f>
        <v>0.535923911121804</v>
      </c>
      <c r="H1969" s="53" t="n">
        <f aca="true">NORMINV(RAND(),0,H$7)</f>
        <v>0.128515919856925</v>
      </c>
      <c r="I1969" s="53" t="n">
        <f aca="false">SUM(B1969:H1969)</f>
        <v>0.217432775713264</v>
      </c>
      <c r="J1969" s="53" t="n">
        <f aca="true">NORMINV(RAND(),0,J$7)</f>
        <v>2.03222468476069</v>
      </c>
      <c r="K1969" s="53" t="n">
        <f aca="true">NORMINV(RAND(),0,K$7)</f>
        <v>0.342202394447631</v>
      </c>
      <c r="L1969" s="53" t="n">
        <f aca="true">NORMINV(RAND(),0,L$7)</f>
        <v>-0.307872772145337</v>
      </c>
      <c r="M1969" s="53" t="n">
        <f aca="true">NORMINV(RAND(),0,M$7)</f>
        <v>0.130415149654738</v>
      </c>
      <c r="N1969" s="53" t="n">
        <f aca="true">NORMINV(RAND(),0,N$7)</f>
        <v>-0.670299372980293</v>
      </c>
      <c r="O1969" s="53" t="n">
        <f aca="false">SUM(J1969:N1969)</f>
        <v>1.52667008373743</v>
      </c>
    </row>
    <row r="1970" customFormat="false" ht="15" hidden="false" customHeight="false" outlineLevel="0" collapsed="false">
      <c r="A1970" s="2" t="n">
        <v>1962</v>
      </c>
      <c r="B1970" s="53" t="n">
        <f aca="true">NORMINV(RAND(),0,B$7)</f>
        <v>-0.596198641681667</v>
      </c>
      <c r="C1970" s="53" t="n">
        <f aca="true">NORMINV(RAND(),0,C$7)</f>
        <v>-0.242974301293912</v>
      </c>
      <c r="D1970" s="53" t="n">
        <f aca="true">NORMINV(RAND(),0,D$7)</f>
        <v>-1.22774624871635</v>
      </c>
      <c r="E1970" s="53" t="n">
        <f aca="true">NORMINV(RAND(),0,E$7)</f>
        <v>0.587712742850329</v>
      </c>
      <c r="F1970" s="53" t="n">
        <f aca="true">NORMINV(RAND(),0,F$7)</f>
        <v>0.188669211440731</v>
      </c>
      <c r="G1970" s="53" t="n">
        <f aca="true">NORMINV(RAND(),0,G$7)</f>
        <v>-1.01190042046754</v>
      </c>
      <c r="H1970" s="53" t="n">
        <f aca="true">NORMINV(RAND(),0,H$7)</f>
        <v>0.046801672490786</v>
      </c>
      <c r="I1970" s="53" t="n">
        <f aca="false">SUM(B1970:H1970)</f>
        <v>-2.25563598537762</v>
      </c>
      <c r="J1970" s="53" t="n">
        <f aca="true">NORMINV(RAND(),0,J$7)</f>
        <v>0.474266312758124</v>
      </c>
      <c r="K1970" s="53" t="n">
        <f aca="true">NORMINV(RAND(),0,K$7)</f>
        <v>0.381689892944964</v>
      </c>
      <c r="L1970" s="53" t="n">
        <f aca="true">NORMINV(RAND(),0,L$7)</f>
        <v>-0.0653811530884094</v>
      </c>
      <c r="M1970" s="53" t="n">
        <f aca="true">NORMINV(RAND(),0,M$7)</f>
        <v>0.161060126558525</v>
      </c>
      <c r="N1970" s="53" t="n">
        <f aca="true">NORMINV(RAND(),0,N$7)</f>
        <v>0.20701160863016</v>
      </c>
      <c r="O1970" s="53" t="n">
        <f aca="false">SUM(J1970:N1970)</f>
        <v>1.15864678780336</v>
      </c>
    </row>
    <row r="1971" customFormat="false" ht="15" hidden="false" customHeight="false" outlineLevel="0" collapsed="false">
      <c r="A1971" s="2" t="n">
        <v>1963</v>
      </c>
      <c r="B1971" s="53" t="n">
        <f aca="true">NORMINV(RAND(),0,B$7)</f>
        <v>0.904382616424765</v>
      </c>
      <c r="C1971" s="53" t="n">
        <f aca="true">NORMINV(RAND(),0,C$7)</f>
        <v>1.49624118845665</v>
      </c>
      <c r="D1971" s="53" t="n">
        <f aca="true">NORMINV(RAND(),0,D$7)</f>
        <v>-2.41757001162091</v>
      </c>
      <c r="E1971" s="53" t="n">
        <f aca="true">NORMINV(RAND(),0,E$7)</f>
        <v>-0.562063940013446</v>
      </c>
      <c r="F1971" s="53" t="n">
        <f aca="true">NORMINV(RAND(),0,F$7)</f>
        <v>0.00843452058131177</v>
      </c>
      <c r="G1971" s="53" t="n">
        <f aca="true">NORMINV(RAND(),0,G$7)</f>
        <v>0.624029587333097</v>
      </c>
      <c r="H1971" s="53" t="n">
        <f aca="true">NORMINV(RAND(),0,H$7)</f>
        <v>-0.402371926795181</v>
      </c>
      <c r="I1971" s="53" t="n">
        <f aca="false">SUM(B1971:H1971)</f>
        <v>-0.34891796563371</v>
      </c>
      <c r="J1971" s="53" t="n">
        <f aca="true">NORMINV(RAND(),0,J$7)</f>
        <v>-0.65693134778824</v>
      </c>
      <c r="K1971" s="53" t="n">
        <f aca="true">NORMINV(RAND(),0,K$7)</f>
        <v>-0.00361808047068578</v>
      </c>
      <c r="L1971" s="53" t="n">
        <f aca="true">NORMINV(RAND(),0,L$7)</f>
        <v>-0.286259895705593</v>
      </c>
      <c r="M1971" s="53" t="n">
        <f aca="true">NORMINV(RAND(),0,M$7)</f>
        <v>-0.1472521657842</v>
      </c>
      <c r="N1971" s="53" t="n">
        <f aca="true">NORMINV(RAND(),0,N$7)</f>
        <v>-0.180826394749767</v>
      </c>
      <c r="O1971" s="53" t="n">
        <f aca="false">SUM(J1971:N1971)</f>
        <v>-1.27488788449849</v>
      </c>
    </row>
    <row r="1972" customFormat="false" ht="15" hidden="false" customHeight="false" outlineLevel="0" collapsed="false">
      <c r="A1972" s="2" t="n">
        <v>1964</v>
      </c>
      <c r="B1972" s="53" t="n">
        <f aca="true">NORMINV(RAND(),0,B$7)</f>
        <v>-1.22375879959047</v>
      </c>
      <c r="C1972" s="53" t="n">
        <f aca="true">NORMINV(RAND(),0,C$7)</f>
        <v>0.26160361435468</v>
      </c>
      <c r="D1972" s="53" t="n">
        <f aca="true">NORMINV(RAND(),0,D$7)</f>
        <v>-1.01422803312224</v>
      </c>
      <c r="E1972" s="53" t="n">
        <f aca="true">NORMINV(RAND(),0,E$7)</f>
        <v>-0.291797233780206</v>
      </c>
      <c r="F1972" s="53" t="n">
        <f aca="true">NORMINV(RAND(),0,F$7)</f>
        <v>0.277656072264402</v>
      </c>
      <c r="G1972" s="53" t="n">
        <f aca="true">NORMINV(RAND(),0,G$7)</f>
        <v>1.12231371328865</v>
      </c>
      <c r="H1972" s="53" t="n">
        <f aca="true">NORMINV(RAND(),0,H$7)</f>
        <v>0.741606168291398</v>
      </c>
      <c r="I1972" s="53" t="n">
        <f aca="false">SUM(B1972:H1972)</f>
        <v>-0.126604498293782</v>
      </c>
      <c r="J1972" s="53" t="n">
        <f aca="true">NORMINV(RAND(),0,J$7)</f>
        <v>1.02254105706282</v>
      </c>
      <c r="K1972" s="53" t="n">
        <f aca="true">NORMINV(RAND(),0,K$7)</f>
        <v>0.252157820957846</v>
      </c>
      <c r="L1972" s="53" t="n">
        <f aca="true">NORMINV(RAND(),0,L$7)</f>
        <v>0.386872189224804</v>
      </c>
      <c r="M1972" s="53" t="n">
        <f aca="true">NORMINV(RAND(),0,M$7)</f>
        <v>0.279314786006241</v>
      </c>
      <c r="N1972" s="53" t="n">
        <f aca="true">NORMINV(RAND(),0,N$7)</f>
        <v>0.184742494270957</v>
      </c>
      <c r="O1972" s="53" t="n">
        <f aca="false">SUM(J1972:N1972)</f>
        <v>2.12562834752267</v>
      </c>
    </row>
    <row r="1973" customFormat="false" ht="15" hidden="false" customHeight="false" outlineLevel="0" collapsed="false">
      <c r="A1973" s="2" t="n">
        <v>1965</v>
      </c>
      <c r="B1973" s="53" t="n">
        <f aca="true">NORMINV(RAND(),0,B$7)</f>
        <v>-0.0557737135244674</v>
      </c>
      <c r="C1973" s="53" t="n">
        <f aca="true">NORMINV(RAND(),0,C$7)</f>
        <v>-1.24827696051939</v>
      </c>
      <c r="D1973" s="53" t="n">
        <f aca="true">NORMINV(RAND(),0,D$7)</f>
        <v>0.0673104821104138</v>
      </c>
      <c r="E1973" s="53" t="n">
        <f aca="true">NORMINV(RAND(),0,E$7)</f>
        <v>-0.175980742298813</v>
      </c>
      <c r="F1973" s="53" t="n">
        <f aca="true">NORMINV(RAND(),0,F$7)</f>
        <v>0.0685724763670327</v>
      </c>
      <c r="G1973" s="53" t="n">
        <f aca="true">NORMINV(RAND(),0,G$7)</f>
        <v>-0.644458914790687</v>
      </c>
      <c r="H1973" s="53" t="n">
        <f aca="true">NORMINV(RAND(),0,H$7)</f>
        <v>0.247718969316171</v>
      </c>
      <c r="I1973" s="53" t="n">
        <f aca="false">SUM(B1973:H1973)</f>
        <v>-1.74088840333974</v>
      </c>
      <c r="J1973" s="53" t="n">
        <f aca="true">NORMINV(RAND(),0,J$7)</f>
        <v>-0.30374639496771</v>
      </c>
      <c r="K1973" s="53" t="n">
        <f aca="true">NORMINV(RAND(),0,K$7)</f>
        <v>0.554195176798142</v>
      </c>
      <c r="L1973" s="53" t="n">
        <f aca="true">NORMINV(RAND(),0,L$7)</f>
        <v>0.455582374006951</v>
      </c>
      <c r="M1973" s="53" t="n">
        <f aca="true">NORMINV(RAND(),0,M$7)</f>
        <v>-0.000699408453481431</v>
      </c>
      <c r="N1973" s="53" t="n">
        <f aca="true">NORMINV(RAND(),0,N$7)</f>
        <v>0.338800987972796</v>
      </c>
      <c r="O1973" s="53" t="n">
        <f aca="false">SUM(J1973:N1973)</f>
        <v>1.0441327353567</v>
      </c>
    </row>
    <row r="1974" customFormat="false" ht="15" hidden="false" customHeight="false" outlineLevel="0" collapsed="false">
      <c r="A1974" s="2" t="n">
        <v>1966</v>
      </c>
      <c r="B1974" s="53" t="n">
        <f aca="true">NORMINV(RAND(),0,B$7)</f>
        <v>-1.28511352294111</v>
      </c>
      <c r="C1974" s="53" t="n">
        <f aca="true">NORMINV(RAND(),0,C$7)</f>
        <v>0.414667211751026</v>
      </c>
      <c r="D1974" s="53" t="n">
        <f aca="true">NORMINV(RAND(),0,D$7)</f>
        <v>-0.0404266231103037</v>
      </c>
      <c r="E1974" s="53" t="n">
        <f aca="true">NORMINV(RAND(),0,E$7)</f>
        <v>0.30270131808955</v>
      </c>
      <c r="F1974" s="53" t="n">
        <f aca="true">NORMINV(RAND(),0,F$7)</f>
        <v>0.210406334919764</v>
      </c>
      <c r="G1974" s="53" t="n">
        <f aca="true">NORMINV(RAND(),0,G$7)</f>
        <v>0.408185939643496</v>
      </c>
      <c r="H1974" s="53" t="n">
        <f aca="true">NORMINV(RAND(),0,H$7)</f>
        <v>0.129979758733879</v>
      </c>
      <c r="I1974" s="53" t="n">
        <f aca="false">SUM(B1974:H1974)</f>
        <v>0.140400417086298</v>
      </c>
      <c r="J1974" s="53" t="n">
        <f aca="true">NORMINV(RAND(),0,J$7)</f>
        <v>2.55655314776099</v>
      </c>
      <c r="K1974" s="53" t="n">
        <f aca="true">NORMINV(RAND(),0,K$7)</f>
        <v>1.48049089887923</v>
      </c>
      <c r="L1974" s="53" t="n">
        <f aca="true">NORMINV(RAND(),0,L$7)</f>
        <v>0.216678609739639</v>
      </c>
      <c r="M1974" s="53" t="n">
        <f aca="true">NORMINV(RAND(),0,M$7)</f>
        <v>-0.0183074869724362</v>
      </c>
      <c r="N1974" s="53" t="n">
        <f aca="true">NORMINV(RAND(),0,N$7)</f>
        <v>-0.0976367416906617</v>
      </c>
      <c r="O1974" s="53" t="n">
        <f aca="false">SUM(J1974:N1974)</f>
        <v>4.13777842771676</v>
      </c>
    </row>
    <row r="1975" customFormat="false" ht="15" hidden="false" customHeight="false" outlineLevel="0" collapsed="false">
      <c r="A1975" s="2" t="n">
        <v>1967</v>
      </c>
      <c r="B1975" s="53" t="n">
        <f aca="true">NORMINV(RAND(),0,B$7)</f>
        <v>0.0243747047509155</v>
      </c>
      <c r="C1975" s="53" t="n">
        <f aca="true">NORMINV(RAND(),0,C$7)</f>
        <v>-3.08289952123377</v>
      </c>
      <c r="D1975" s="53" t="n">
        <f aca="true">NORMINV(RAND(),0,D$7)</f>
        <v>-0.799982041763593</v>
      </c>
      <c r="E1975" s="53" t="n">
        <f aca="true">NORMINV(RAND(),0,E$7)</f>
        <v>0.343258679168948</v>
      </c>
      <c r="F1975" s="53" t="n">
        <f aca="true">NORMINV(RAND(),0,F$7)</f>
        <v>0.239208223482853</v>
      </c>
      <c r="G1975" s="53" t="n">
        <f aca="true">NORMINV(RAND(),0,G$7)</f>
        <v>0.613971588142376</v>
      </c>
      <c r="H1975" s="53" t="n">
        <f aca="true">NORMINV(RAND(),0,H$7)</f>
        <v>0.055160107793808</v>
      </c>
      <c r="I1975" s="53" t="n">
        <f aca="false">SUM(B1975:H1975)</f>
        <v>-2.60690825965847</v>
      </c>
      <c r="J1975" s="53" t="n">
        <f aca="true">NORMINV(RAND(),0,J$7)</f>
        <v>0.210574177808442</v>
      </c>
      <c r="K1975" s="53" t="n">
        <f aca="true">NORMINV(RAND(),0,K$7)</f>
        <v>0.49730289091773</v>
      </c>
      <c r="L1975" s="53" t="n">
        <f aca="true">NORMINV(RAND(),0,L$7)</f>
        <v>0.117034882920333</v>
      </c>
      <c r="M1975" s="53" t="n">
        <f aca="true">NORMINV(RAND(),0,M$7)</f>
        <v>0.0621488044249052</v>
      </c>
      <c r="N1975" s="53" t="n">
        <f aca="true">NORMINV(RAND(),0,N$7)</f>
        <v>-0.221803088382154</v>
      </c>
      <c r="O1975" s="53" t="n">
        <f aca="false">SUM(J1975:N1975)</f>
        <v>0.665257667689256</v>
      </c>
    </row>
    <row r="1976" customFormat="false" ht="15" hidden="false" customHeight="false" outlineLevel="0" collapsed="false">
      <c r="A1976" s="2" t="n">
        <v>1968</v>
      </c>
      <c r="B1976" s="53" t="n">
        <f aca="true">NORMINV(RAND(),0,B$7)</f>
        <v>-2.22973172826267</v>
      </c>
      <c r="C1976" s="53" t="n">
        <f aca="true">NORMINV(RAND(),0,C$7)</f>
        <v>-0.388301403982145</v>
      </c>
      <c r="D1976" s="53" t="n">
        <f aca="true">NORMINV(RAND(),0,D$7)</f>
        <v>-0.73347619504035</v>
      </c>
      <c r="E1976" s="53" t="n">
        <f aca="true">NORMINV(RAND(),0,E$7)</f>
        <v>-0.155782623558178</v>
      </c>
      <c r="F1976" s="53" t="n">
        <f aca="true">NORMINV(RAND(),0,F$7)</f>
        <v>-0.417375886278566</v>
      </c>
      <c r="G1976" s="53" t="n">
        <f aca="true">NORMINV(RAND(),0,G$7)</f>
        <v>1.19554422524445</v>
      </c>
      <c r="H1976" s="53" t="n">
        <f aca="true">NORMINV(RAND(),0,H$7)</f>
        <v>-0.686835779825651</v>
      </c>
      <c r="I1976" s="53" t="n">
        <f aca="false">SUM(B1976:H1976)</f>
        <v>-3.41595939170312</v>
      </c>
      <c r="J1976" s="53" t="n">
        <f aca="true">NORMINV(RAND(),0,J$7)</f>
        <v>1.04300533172106</v>
      </c>
      <c r="K1976" s="53" t="n">
        <f aca="true">NORMINV(RAND(),0,K$7)</f>
        <v>0.580389291735094</v>
      </c>
      <c r="L1976" s="53" t="n">
        <f aca="true">NORMINV(RAND(),0,L$7)</f>
        <v>0.497272105103959</v>
      </c>
      <c r="M1976" s="53" t="n">
        <f aca="true">NORMINV(RAND(),0,M$7)</f>
        <v>-0.478517829422916</v>
      </c>
      <c r="N1976" s="53" t="n">
        <f aca="true">NORMINV(RAND(),0,N$7)</f>
        <v>0.0787782953130241</v>
      </c>
      <c r="O1976" s="53" t="n">
        <f aca="false">SUM(J1976:N1976)</f>
        <v>1.72092719445022</v>
      </c>
    </row>
    <row r="1977" customFormat="false" ht="15" hidden="false" customHeight="false" outlineLevel="0" collapsed="false">
      <c r="A1977" s="2" t="n">
        <v>1969</v>
      </c>
      <c r="B1977" s="53" t="n">
        <f aca="true">NORMINV(RAND(),0,B$7)</f>
        <v>-0.00816977835480077</v>
      </c>
      <c r="C1977" s="53" t="n">
        <f aca="true">NORMINV(RAND(),0,C$7)</f>
        <v>-1.33955449679385</v>
      </c>
      <c r="D1977" s="53" t="n">
        <f aca="true">NORMINV(RAND(),0,D$7)</f>
        <v>3.90229812406477</v>
      </c>
      <c r="E1977" s="53" t="n">
        <f aca="true">NORMINV(RAND(),0,E$7)</f>
        <v>0.00223306261014329</v>
      </c>
      <c r="F1977" s="53" t="n">
        <f aca="true">NORMINV(RAND(),0,F$7)</f>
        <v>0.284116352292254</v>
      </c>
      <c r="G1977" s="53" t="n">
        <f aca="true">NORMINV(RAND(),0,G$7)</f>
        <v>0.37878421966988</v>
      </c>
      <c r="H1977" s="53" t="n">
        <f aca="true">NORMINV(RAND(),0,H$7)</f>
        <v>0.121848510158549</v>
      </c>
      <c r="I1977" s="53" t="n">
        <f aca="false">SUM(B1977:H1977)</f>
        <v>3.34155599364694</v>
      </c>
      <c r="J1977" s="53" t="n">
        <f aca="true">NORMINV(RAND(),0,J$7)</f>
        <v>1.53159918866515</v>
      </c>
      <c r="K1977" s="53" t="n">
        <f aca="true">NORMINV(RAND(),0,K$7)</f>
        <v>0.192646456599745</v>
      </c>
      <c r="L1977" s="53" t="n">
        <f aca="true">NORMINV(RAND(),0,L$7)</f>
        <v>-0.481855135006864</v>
      </c>
      <c r="M1977" s="53" t="n">
        <f aca="true">NORMINV(RAND(),0,M$7)</f>
        <v>-0.264943369143535</v>
      </c>
      <c r="N1977" s="53" t="n">
        <f aca="true">NORMINV(RAND(),0,N$7)</f>
        <v>0.232113148919051</v>
      </c>
      <c r="O1977" s="53" t="n">
        <f aca="false">SUM(J1977:N1977)</f>
        <v>1.20956029003355</v>
      </c>
    </row>
    <row r="1978" customFormat="false" ht="15" hidden="false" customHeight="false" outlineLevel="0" collapsed="false">
      <c r="A1978" s="2" t="n">
        <v>1970</v>
      </c>
      <c r="B1978" s="53" t="n">
        <f aca="true">NORMINV(RAND(),0,B$7)</f>
        <v>1.17992740578155</v>
      </c>
      <c r="C1978" s="53" t="n">
        <f aca="true">NORMINV(RAND(),0,C$7)</f>
        <v>-0.315768104951506</v>
      </c>
      <c r="D1978" s="53" t="n">
        <f aca="true">NORMINV(RAND(),0,D$7)</f>
        <v>-2.51925394322249</v>
      </c>
      <c r="E1978" s="53" t="n">
        <f aca="true">NORMINV(RAND(),0,E$7)</f>
        <v>-0.281041937057639</v>
      </c>
      <c r="F1978" s="53" t="n">
        <f aca="true">NORMINV(RAND(),0,F$7)</f>
        <v>-0.293204620745899</v>
      </c>
      <c r="G1978" s="53" t="n">
        <f aca="true">NORMINV(RAND(),0,G$7)</f>
        <v>-1.43748030595182</v>
      </c>
      <c r="H1978" s="53" t="n">
        <f aca="true">NORMINV(RAND(),0,H$7)</f>
        <v>0.240660306886511</v>
      </c>
      <c r="I1978" s="53" t="n">
        <f aca="false">SUM(B1978:H1978)</f>
        <v>-3.42616119926129</v>
      </c>
      <c r="J1978" s="53" t="n">
        <f aca="true">NORMINV(RAND(),0,J$7)</f>
        <v>0.387598989122767</v>
      </c>
      <c r="K1978" s="53" t="n">
        <f aca="true">NORMINV(RAND(),0,K$7)</f>
        <v>-0.738281662585779</v>
      </c>
      <c r="L1978" s="53" t="n">
        <f aca="true">NORMINV(RAND(),0,L$7)</f>
        <v>0.161742649981944</v>
      </c>
      <c r="M1978" s="53" t="n">
        <f aca="true">NORMINV(RAND(),0,M$7)</f>
        <v>0.169857857482693</v>
      </c>
      <c r="N1978" s="53" t="n">
        <f aca="true">NORMINV(RAND(),0,N$7)</f>
        <v>-0.130844123377221</v>
      </c>
      <c r="O1978" s="53" t="n">
        <f aca="false">SUM(J1978:N1978)</f>
        <v>-0.149926289375597</v>
      </c>
    </row>
    <row r="1979" customFormat="false" ht="15" hidden="false" customHeight="false" outlineLevel="0" collapsed="false">
      <c r="A1979" s="2" t="n">
        <v>1971</v>
      </c>
      <c r="B1979" s="53" t="n">
        <f aca="true">NORMINV(RAND(),0,B$7)</f>
        <v>-3.1725244772522</v>
      </c>
      <c r="C1979" s="53" t="n">
        <f aca="true">NORMINV(RAND(),0,C$7)</f>
        <v>-0.552299918250938</v>
      </c>
      <c r="D1979" s="53" t="n">
        <f aca="true">NORMINV(RAND(),0,D$7)</f>
        <v>0.783674641836723</v>
      </c>
      <c r="E1979" s="53" t="n">
        <f aca="true">NORMINV(RAND(),0,E$7)</f>
        <v>-0.0212958091551708</v>
      </c>
      <c r="F1979" s="53" t="n">
        <f aca="true">NORMINV(RAND(),0,F$7)</f>
        <v>0.458595112627136</v>
      </c>
      <c r="G1979" s="53" t="n">
        <f aca="true">NORMINV(RAND(),0,G$7)</f>
        <v>-0.165232929141986</v>
      </c>
      <c r="H1979" s="53" t="n">
        <f aca="true">NORMINV(RAND(),0,H$7)</f>
        <v>0.250880339155318</v>
      </c>
      <c r="I1979" s="53" t="n">
        <f aca="false">SUM(B1979:H1979)</f>
        <v>-2.41820304018112</v>
      </c>
      <c r="J1979" s="53" t="n">
        <f aca="true">NORMINV(RAND(),0,J$7)</f>
        <v>-2.51733052901731</v>
      </c>
      <c r="K1979" s="53" t="n">
        <f aca="true">NORMINV(RAND(),0,K$7)</f>
        <v>-0.786280098421419</v>
      </c>
      <c r="L1979" s="53" t="n">
        <f aca="true">NORMINV(RAND(),0,L$7)</f>
        <v>-0.537975634560053</v>
      </c>
      <c r="M1979" s="53" t="n">
        <f aca="true">NORMINV(RAND(),0,M$7)</f>
        <v>-0.16052053356804</v>
      </c>
      <c r="N1979" s="53" t="n">
        <f aca="true">NORMINV(RAND(),0,N$7)</f>
        <v>-0.629589982636271</v>
      </c>
      <c r="O1979" s="53" t="n">
        <f aca="false">SUM(J1979:N1979)</f>
        <v>-4.63169677820309</v>
      </c>
    </row>
    <row r="1980" customFormat="false" ht="15" hidden="false" customHeight="false" outlineLevel="0" collapsed="false">
      <c r="A1980" s="2" t="n">
        <v>1972</v>
      </c>
      <c r="B1980" s="53" t="n">
        <f aca="true">NORMINV(RAND(),0,B$7)</f>
        <v>1.0953954007026</v>
      </c>
      <c r="C1980" s="53" t="n">
        <f aca="true">NORMINV(RAND(),0,C$7)</f>
        <v>0.329892754269684</v>
      </c>
      <c r="D1980" s="53" t="n">
        <f aca="true">NORMINV(RAND(),0,D$7)</f>
        <v>-1.31558930816226</v>
      </c>
      <c r="E1980" s="53" t="n">
        <f aca="true">NORMINV(RAND(),0,E$7)</f>
        <v>-0.427799431992582</v>
      </c>
      <c r="F1980" s="53" t="n">
        <f aca="true">NORMINV(RAND(),0,F$7)</f>
        <v>0.0792342830873985</v>
      </c>
      <c r="G1980" s="53" t="n">
        <f aca="true">NORMINV(RAND(),0,G$7)</f>
        <v>-0.540795667563785</v>
      </c>
      <c r="H1980" s="53" t="n">
        <f aca="true">NORMINV(RAND(),0,H$7)</f>
        <v>-0.874952698183652</v>
      </c>
      <c r="I1980" s="53" t="n">
        <f aca="false">SUM(B1980:H1980)</f>
        <v>-1.65461466784259</v>
      </c>
      <c r="J1980" s="53" t="n">
        <f aca="true">NORMINV(RAND(),0,J$7)</f>
        <v>-0.952463336868791</v>
      </c>
      <c r="K1980" s="53" t="n">
        <f aca="true">NORMINV(RAND(),0,K$7)</f>
        <v>0.1276916841967</v>
      </c>
      <c r="L1980" s="53" t="n">
        <f aca="true">NORMINV(RAND(),0,L$7)</f>
        <v>0.178998035989725</v>
      </c>
      <c r="M1980" s="53" t="n">
        <f aca="true">NORMINV(RAND(),0,M$7)</f>
        <v>-0.126041662195484</v>
      </c>
      <c r="N1980" s="53" t="n">
        <f aca="true">NORMINV(RAND(),0,N$7)</f>
        <v>0.149502339891498</v>
      </c>
      <c r="O1980" s="53" t="n">
        <f aca="false">SUM(J1980:N1980)</f>
        <v>-0.622312938986351</v>
      </c>
    </row>
    <row r="1981" customFormat="false" ht="15" hidden="false" customHeight="false" outlineLevel="0" collapsed="false">
      <c r="A1981" s="2" t="n">
        <v>1973</v>
      </c>
      <c r="B1981" s="53" t="n">
        <f aca="true">NORMINV(RAND(),0,B$7)</f>
        <v>-0.547468237601606</v>
      </c>
      <c r="C1981" s="53" t="n">
        <f aca="true">NORMINV(RAND(),0,C$7)</f>
        <v>-0.113045411387733</v>
      </c>
      <c r="D1981" s="53" t="n">
        <f aca="true">NORMINV(RAND(),0,D$7)</f>
        <v>2.66856247769915</v>
      </c>
      <c r="E1981" s="53" t="n">
        <f aca="true">NORMINV(RAND(),0,E$7)</f>
        <v>0.385456362893299</v>
      </c>
      <c r="F1981" s="53" t="n">
        <f aca="true">NORMINV(RAND(),0,F$7)</f>
        <v>-0.207576862322584</v>
      </c>
      <c r="G1981" s="53" t="n">
        <f aca="true">NORMINV(RAND(),0,G$7)</f>
        <v>1.33142751993283</v>
      </c>
      <c r="H1981" s="53" t="n">
        <f aca="true">NORMINV(RAND(),0,H$7)</f>
        <v>0.158554236923569</v>
      </c>
      <c r="I1981" s="53" t="n">
        <f aca="false">SUM(B1981:H1981)</f>
        <v>3.67591008613692</v>
      </c>
      <c r="J1981" s="53" t="n">
        <f aca="true">NORMINV(RAND(),0,J$7)</f>
        <v>2.34909496538369</v>
      </c>
      <c r="K1981" s="53" t="n">
        <f aca="true">NORMINV(RAND(),0,K$7)</f>
        <v>0.0741742757025049</v>
      </c>
      <c r="L1981" s="53" t="n">
        <f aca="true">NORMINV(RAND(),0,L$7)</f>
        <v>0.392721444491908</v>
      </c>
      <c r="M1981" s="53" t="n">
        <f aca="true">NORMINV(RAND(),0,M$7)</f>
        <v>0.1869692997444</v>
      </c>
      <c r="N1981" s="53" t="n">
        <f aca="true">NORMINV(RAND(),0,N$7)</f>
        <v>0.101673885903617</v>
      </c>
      <c r="O1981" s="53" t="n">
        <f aca="false">SUM(J1981:N1981)</f>
        <v>3.10463387122612</v>
      </c>
    </row>
    <row r="1982" customFormat="false" ht="15" hidden="false" customHeight="false" outlineLevel="0" collapsed="false">
      <c r="A1982" s="2" t="n">
        <v>1974</v>
      </c>
      <c r="B1982" s="53" t="n">
        <f aca="true">NORMINV(RAND(),0,B$7)</f>
        <v>1.28520372199335</v>
      </c>
      <c r="C1982" s="53" t="n">
        <f aca="true">NORMINV(RAND(),0,C$7)</f>
        <v>1.58952349062193</v>
      </c>
      <c r="D1982" s="53" t="n">
        <f aca="true">NORMINV(RAND(),0,D$7)</f>
        <v>-3.473513266826</v>
      </c>
      <c r="E1982" s="53" t="n">
        <f aca="true">NORMINV(RAND(),0,E$7)</f>
        <v>-0.0910446823489196</v>
      </c>
      <c r="F1982" s="53" t="n">
        <f aca="true">NORMINV(RAND(),0,F$7)</f>
        <v>0.0620301728203366</v>
      </c>
      <c r="G1982" s="53" t="n">
        <f aca="true">NORMINV(RAND(),0,G$7)</f>
        <v>1.51789365267905</v>
      </c>
      <c r="H1982" s="53" t="n">
        <f aca="true">NORMINV(RAND(),0,H$7)</f>
        <v>-0.143360275828124</v>
      </c>
      <c r="I1982" s="53" t="n">
        <f aca="false">SUM(B1982:H1982)</f>
        <v>0.746732813111625</v>
      </c>
      <c r="J1982" s="53" t="n">
        <f aca="true">NORMINV(RAND(),0,J$7)</f>
        <v>1.54792187207181</v>
      </c>
      <c r="K1982" s="53" t="n">
        <f aca="true">NORMINV(RAND(),0,K$7)</f>
        <v>-0.391100599382801</v>
      </c>
      <c r="L1982" s="53" t="n">
        <f aca="true">NORMINV(RAND(),0,L$7)</f>
        <v>0.0630051172922418</v>
      </c>
      <c r="M1982" s="53" t="n">
        <f aca="true">NORMINV(RAND(),0,M$7)</f>
        <v>0.204116474609712</v>
      </c>
      <c r="N1982" s="53" t="n">
        <f aca="true">NORMINV(RAND(),0,N$7)</f>
        <v>-0.380685380896371</v>
      </c>
      <c r="O1982" s="53" t="n">
        <f aca="false">SUM(J1982:N1982)</f>
        <v>1.04325748369459</v>
      </c>
    </row>
    <row r="1983" customFormat="false" ht="15" hidden="false" customHeight="false" outlineLevel="0" collapsed="false">
      <c r="A1983" s="2" t="n">
        <v>1975</v>
      </c>
      <c r="B1983" s="53" t="n">
        <f aca="true">NORMINV(RAND(),0,B$7)</f>
        <v>-0.630653269895563</v>
      </c>
      <c r="C1983" s="53" t="n">
        <f aca="true">NORMINV(RAND(),0,C$7)</f>
        <v>1.26471171701155</v>
      </c>
      <c r="D1983" s="53" t="n">
        <f aca="true">NORMINV(RAND(),0,D$7)</f>
        <v>1.75400853309251</v>
      </c>
      <c r="E1983" s="53" t="n">
        <f aca="true">NORMINV(RAND(),0,E$7)</f>
        <v>-0.270726653039129</v>
      </c>
      <c r="F1983" s="53" t="n">
        <f aca="true">NORMINV(RAND(),0,F$7)</f>
        <v>-0.273545395829967</v>
      </c>
      <c r="G1983" s="53" t="n">
        <f aca="true">NORMINV(RAND(),0,G$7)</f>
        <v>1.75509984614262</v>
      </c>
      <c r="H1983" s="53" t="n">
        <f aca="true">NORMINV(RAND(),0,H$7)</f>
        <v>-0.0563954902537411</v>
      </c>
      <c r="I1983" s="53" t="n">
        <f aca="false">SUM(B1983:H1983)</f>
        <v>3.54249928722828</v>
      </c>
      <c r="J1983" s="53" t="n">
        <f aca="true">NORMINV(RAND(),0,J$7)</f>
        <v>-2.00279510115728</v>
      </c>
      <c r="K1983" s="53" t="n">
        <f aca="true">NORMINV(RAND(),0,K$7)</f>
        <v>-0.87813342219675</v>
      </c>
      <c r="L1983" s="53" t="n">
        <f aca="true">NORMINV(RAND(),0,L$7)</f>
        <v>0.257940488652369</v>
      </c>
      <c r="M1983" s="53" t="n">
        <f aca="true">NORMINV(RAND(),0,M$7)</f>
        <v>0.120699878825671</v>
      </c>
      <c r="N1983" s="53" t="n">
        <f aca="true">NORMINV(RAND(),0,N$7)</f>
        <v>0.0340447438436544</v>
      </c>
      <c r="O1983" s="53" t="n">
        <f aca="false">SUM(J1983:N1983)</f>
        <v>-2.46824341203234</v>
      </c>
    </row>
    <row r="1984" customFormat="false" ht="15" hidden="false" customHeight="false" outlineLevel="0" collapsed="false">
      <c r="A1984" s="2" t="n">
        <v>1976</v>
      </c>
      <c r="B1984" s="53" t="n">
        <f aca="true">NORMINV(RAND(),0,B$7)</f>
        <v>-1.30226896289596</v>
      </c>
      <c r="C1984" s="53" t="n">
        <f aca="true">NORMINV(RAND(),0,C$7)</f>
        <v>1.79721988148604</v>
      </c>
      <c r="D1984" s="53" t="n">
        <f aca="true">NORMINV(RAND(),0,D$7)</f>
        <v>1.65490560888717</v>
      </c>
      <c r="E1984" s="53" t="n">
        <f aca="true">NORMINV(RAND(),0,E$7)</f>
        <v>-0.435343065765523</v>
      </c>
      <c r="F1984" s="53" t="n">
        <f aca="true">NORMINV(RAND(),0,F$7)</f>
        <v>-0.171776076527126</v>
      </c>
      <c r="G1984" s="53" t="n">
        <f aca="true">NORMINV(RAND(),0,G$7)</f>
        <v>2.48248954506637</v>
      </c>
      <c r="H1984" s="53" t="n">
        <f aca="true">NORMINV(RAND(),0,H$7)</f>
        <v>0.084455364949776</v>
      </c>
      <c r="I1984" s="53" t="n">
        <f aca="false">SUM(B1984:H1984)</f>
        <v>4.10968229520075</v>
      </c>
      <c r="J1984" s="53" t="n">
        <f aca="true">NORMINV(RAND(),0,J$7)</f>
        <v>0.546195954969102</v>
      </c>
      <c r="K1984" s="53" t="n">
        <f aca="true">NORMINV(RAND(),0,K$7)</f>
        <v>-0.590975724776341</v>
      </c>
      <c r="L1984" s="53" t="n">
        <f aca="true">NORMINV(RAND(),0,L$7)</f>
        <v>-0.119757266337246</v>
      </c>
      <c r="M1984" s="53" t="n">
        <f aca="true">NORMINV(RAND(),0,M$7)</f>
        <v>-0.0652518213493644</v>
      </c>
      <c r="N1984" s="53" t="n">
        <f aca="true">NORMINV(RAND(),0,N$7)</f>
        <v>0.583082026145609</v>
      </c>
      <c r="O1984" s="53" t="n">
        <f aca="false">SUM(J1984:N1984)</f>
        <v>0.353293168651759</v>
      </c>
    </row>
    <row r="1985" customFormat="false" ht="15" hidden="false" customHeight="false" outlineLevel="0" collapsed="false">
      <c r="A1985" s="2" t="n">
        <v>1977</v>
      </c>
      <c r="B1985" s="53" t="n">
        <f aca="true">NORMINV(RAND(),0,B$7)</f>
        <v>0.25289255928239</v>
      </c>
      <c r="C1985" s="53" t="n">
        <f aca="true">NORMINV(RAND(),0,C$7)</f>
        <v>0.299121769611274</v>
      </c>
      <c r="D1985" s="53" t="n">
        <f aca="true">NORMINV(RAND(),0,D$7)</f>
        <v>2.39209807451666</v>
      </c>
      <c r="E1985" s="53" t="n">
        <f aca="true">NORMINV(RAND(),0,E$7)</f>
        <v>-0.276942685010098</v>
      </c>
      <c r="F1985" s="53" t="n">
        <f aca="true">NORMINV(RAND(),0,F$7)</f>
        <v>-0.110524246550559</v>
      </c>
      <c r="G1985" s="53" t="n">
        <f aca="true">NORMINV(RAND(),0,G$7)</f>
        <v>1.95913268777093</v>
      </c>
      <c r="H1985" s="53" t="n">
        <f aca="true">NORMINV(RAND(),0,H$7)</f>
        <v>0.110250108656613</v>
      </c>
      <c r="I1985" s="53" t="n">
        <f aca="false">SUM(B1985:H1985)</f>
        <v>4.62602826827721</v>
      </c>
      <c r="J1985" s="53" t="n">
        <f aca="true">NORMINV(RAND(),0,J$7)</f>
        <v>-0.396935616277526</v>
      </c>
      <c r="K1985" s="53" t="n">
        <f aca="true">NORMINV(RAND(),0,K$7)</f>
        <v>0.334021538561378</v>
      </c>
      <c r="L1985" s="53" t="n">
        <f aca="true">NORMINV(RAND(),0,L$7)</f>
        <v>0.479620054503931</v>
      </c>
      <c r="M1985" s="53" t="n">
        <f aca="true">NORMINV(RAND(),0,M$7)</f>
        <v>0.0775023422066871</v>
      </c>
      <c r="N1985" s="53" t="n">
        <f aca="true">NORMINV(RAND(),0,N$7)</f>
        <v>0.139253600858202</v>
      </c>
      <c r="O1985" s="53" t="n">
        <f aca="false">SUM(J1985:N1985)</f>
        <v>0.633461919852672</v>
      </c>
    </row>
    <row r="1986" customFormat="false" ht="15" hidden="false" customHeight="false" outlineLevel="0" collapsed="false">
      <c r="A1986" s="2" t="n">
        <v>1978</v>
      </c>
      <c r="B1986" s="53" t="n">
        <f aca="true">NORMINV(RAND(),0,B$7)</f>
        <v>1.38303025203605</v>
      </c>
      <c r="C1986" s="53" t="n">
        <f aca="true">NORMINV(RAND(),0,C$7)</f>
        <v>-1.07904552683666</v>
      </c>
      <c r="D1986" s="53" t="n">
        <f aca="true">NORMINV(RAND(),0,D$7)</f>
        <v>-1.03076364219632</v>
      </c>
      <c r="E1986" s="53" t="n">
        <f aca="true">NORMINV(RAND(),0,E$7)</f>
        <v>-0.118137614651029</v>
      </c>
      <c r="F1986" s="53" t="n">
        <f aca="true">NORMINV(RAND(),0,F$7)</f>
        <v>0.284018144532303</v>
      </c>
      <c r="G1986" s="53" t="n">
        <f aca="true">NORMINV(RAND(),0,G$7)</f>
        <v>-0.799271816811504</v>
      </c>
      <c r="H1986" s="53" t="n">
        <f aca="true">NORMINV(RAND(),0,H$7)</f>
        <v>-0.828105919259861</v>
      </c>
      <c r="I1986" s="53" t="n">
        <f aca="false">SUM(B1986:H1986)</f>
        <v>-2.18827612318702</v>
      </c>
      <c r="J1986" s="53" t="n">
        <f aca="true">NORMINV(RAND(),0,J$7)</f>
        <v>0.623078160433357</v>
      </c>
      <c r="K1986" s="53" t="n">
        <f aca="true">NORMINV(RAND(),0,K$7)</f>
        <v>1.61279992807014</v>
      </c>
      <c r="L1986" s="53" t="n">
        <f aca="true">NORMINV(RAND(),0,L$7)</f>
        <v>-0.769552040789401</v>
      </c>
      <c r="M1986" s="53" t="n">
        <f aca="true">NORMINV(RAND(),0,M$7)</f>
        <v>-0.285085791078329</v>
      </c>
      <c r="N1986" s="53" t="n">
        <f aca="true">NORMINV(RAND(),0,N$7)</f>
        <v>-0.185461651998002</v>
      </c>
      <c r="O1986" s="53" t="n">
        <f aca="false">SUM(J1986:N1986)</f>
        <v>0.995778604637763</v>
      </c>
    </row>
    <row r="1987" customFormat="false" ht="15" hidden="false" customHeight="false" outlineLevel="0" collapsed="false">
      <c r="A1987" s="2" t="n">
        <v>1979</v>
      </c>
      <c r="B1987" s="53" t="n">
        <f aca="true">NORMINV(RAND(),0,B$7)</f>
        <v>0.31985012759003</v>
      </c>
      <c r="C1987" s="53" t="n">
        <f aca="true">NORMINV(RAND(),0,C$7)</f>
        <v>-1.28812122305211</v>
      </c>
      <c r="D1987" s="53" t="n">
        <f aca="true">NORMINV(RAND(),0,D$7)</f>
        <v>2.42808670976112</v>
      </c>
      <c r="E1987" s="53" t="n">
        <f aca="true">NORMINV(RAND(),0,E$7)</f>
        <v>-0.321586292972621</v>
      </c>
      <c r="F1987" s="53" t="n">
        <f aca="true">NORMINV(RAND(),0,F$7)</f>
        <v>-0.0801678895779649</v>
      </c>
      <c r="G1987" s="53" t="n">
        <f aca="true">NORMINV(RAND(),0,G$7)</f>
        <v>0.0360709500923532</v>
      </c>
      <c r="H1987" s="53" t="n">
        <f aca="true">NORMINV(RAND(),0,H$7)</f>
        <v>-0.467825619217741</v>
      </c>
      <c r="I1987" s="53" t="n">
        <f aca="false">SUM(B1987:H1987)</f>
        <v>0.626306762623072</v>
      </c>
      <c r="J1987" s="53" t="n">
        <f aca="true">NORMINV(RAND(),0,J$7)</f>
        <v>-0.000391690731445028</v>
      </c>
      <c r="K1987" s="53" t="n">
        <f aca="true">NORMINV(RAND(),0,K$7)</f>
        <v>0.627336776953936</v>
      </c>
      <c r="L1987" s="53" t="n">
        <f aca="true">NORMINV(RAND(),0,L$7)</f>
        <v>0.793178998242451</v>
      </c>
      <c r="M1987" s="53" t="n">
        <f aca="true">NORMINV(RAND(),0,M$7)</f>
        <v>-0.108875653598275</v>
      </c>
      <c r="N1987" s="53" t="n">
        <f aca="true">NORMINV(RAND(),0,N$7)</f>
        <v>0.339569205924205</v>
      </c>
      <c r="O1987" s="53" t="n">
        <f aca="false">SUM(J1987:N1987)</f>
        <v>1.65081763679087</v>
      </c>
    </row>
    <row r="1988" customFormat="false" ht="15" hidden="false" customHeight="false" outlineLevel="0" collapsed="false">
      <c r="A1988" s="2" t="n">
        <v>1980</v>
      </c>
      <c r="B1988" s="53" t="n">
        <f aca="true">NORMINV(RAND(),0,B$7)</f>
        <v>2.38618273441854</v>
      </c>
      <c r="C1988" s="53" t="n">
        <f aca="true">NORMINV(RAND(),0,C$7)</f>
        <v>0.835258559539961</v>
      </c>
      <c r="D1988" s="53" t="n">
        <f aca="true">NORMINV(RAND(),0,D$7)</f>
        <v>-0.855419228463902</v>
      </c>
      <c r="E1988" s="53" t="n">
        <f aca="true">NORMINV(RAND(),0,E$7)</f>
        <v>0.0661871666957132</v>
      </c>
      <c r="F1988" s="53" t="n">
        <f aca="true">NORMINV(RAND(),0,F$7)</f>
        <v>0.0626225934155145</v>
      </c>
      <c r="G1988" s="53" t="n">
        <f aca="true">NORMINV(RAND(),0,G$7)</f>
        <v>-0.00595464286800812</v>
      </c>
      <c r="H1988" s="53" t="n">
        <f aca="true">NORMINV(RAND(),0,H$7)</f>
        <v>-0.0375482249026555</v>
      </c>
      <c r="I1988" s="53" t="n">
        <f aca="false">SUM(B1988:H1988)</f>
        <v>2.45132895783517</v>
      </c>
      <c r="J1988" s="53" t="n">
        <f aca="true">NORMINV(RAND(),0,J$7)</f>
        <v>0.983584441047563</v>
      </c>
      <c r="K1988" s="53" t="n">
        <f aca="true">NORMINV(RAND(),0,K$7)</f>
        <v>-0.00837571778367687</v>
      </c>
      <c r="L1988" s="53" t="n">
        <f aca="true">NORMINV(RAND(),0,L$7)</f>
        <v>-0.237391645968455</v>
      </c>
      <c r="M1988" s="53" t="n">
        <f aca="true">NORMINV(RAND(),0,M$7)</f>
        <v>0.0488481033276991</v>
      </c>
      <c r="N1988" s="53" t="n">
        <f aca="true">NORMINV(RAND(),0,N$7)</f>
        <v>-0.0226048897035217</v>
      </c>
      <c r="O1988" s="53" t="n">
        <f aca="false">SUM(J1988:N1988)</f>
        <v>0.764060290919609</v>
      </c>
    </row>
    <row r="1989" customFormat="false" ht="15" hidden="false" customHeight="false" outlineLevel="0" collapsed="false">
      <c r="A1989" s="2" t="n">
        <v>1981</v>
      </c>
      <c r="B1989" s="53" t="n">
        <f aca="true">NORMINV(RAND(),0,B$7)</f>
        <v>-0.951967143709849</v>
      </c>
      <c r="C1989" s="53" t="n">
        <f aca="true">NORMINV(RAND(),0,C$7)</f>
        <v>0.19443085101663</v>
      </c>
      <c r="D1989" s="53" t="n">
        <f aca="true">NORMINV(RAND(),0,D$7)</f>
        <v>2.28941622304011</v>
      </c>
      <c r="E1989" s="53" t="n">
        <f aca="true">NORMINV(RAND(),0,E$7)</f>
        <v>-0.110549861851543</v>
      </c>
      <c r="F1989" s="53" t="n">
        <f aca="true">NORMINV(RAND(),0,F$7)</f>
        <v>0.178568657412629</v>
      </c>
      <c r="G1989" s="53" t="n">
        <f aca="true">NORMINV(RAND(),0,G$7)</f>
        <v>-1.51293678961811</v>
      </c>
      <c r="H1989" s="53" t="n">
        <f aca="true">NORMINV(RAND(),0,H$7)</f>
        <v>-0.437001880623444</v>
      </c>
      <c r="I1989" s="53" t="n">
        <f aca="false">SUM(B1989:H1989)</f>
        <v>-0.35003994433358</v>
      </c>
      <c r="J1989" s="53" t="n">
        <f aca="true">NORMINV(RAND(),0,J$7)</f>
        <v>0.618792862396449</v>
      </c>
      <c r="K1989" s="53" t="n">
        <f aca="true">NORMINV(RAND(),0,K$7)</f>
        <v>-0.46198502398857</v>
      </c>
      <c r="L1989" s="53" t="n">
        <f aca="true">NORMINV(RAND(),0,L$7)</f>
        <v>0.0274819585489267</v>
      </c>
      <c r="M1989" s="53" t="n">
        <f aca="true">NORMINV(RAND(),0,M$7)</f>
        <v>0.0600798675028034</v>
      </c>
      <c r="N1989" s="53" t="n">
        <f aca="true">NORMINV(RAND(),0,N$7)</f>
        <v>-0.34701345961935</v>
      </c>
      <c r="O1989" s="53" t="n">
        <f aca="false">SUM(J1989:N1989)</f>
        <v>-0.102643795159742</v>
      </c>
    </row>
    <row r="1990" customFormat="false" ht="15" hidden="false" customHeight="false" outlineLevel="0" collapsed="false">
      <c r="A1990" s="2" t="n">
        <v>1982</v>
      </c>
      <c r="B1990" s="53" t="n">
        <f aca="true">NORMINV(RAND(),0,B$7)</f>
        <v>-1.48224848811772</v>
      </c>
      <c r="C1990" s="53" t="n">
        <f aca="true">NORMINV(RAND(),0,C$7)</f>
        <v>0.650343384637772</v>
      </c>
      <c r="D1990" s="53" t="n">
        <f aca="true">NORMINV(RAND(),0,D$7)</f>
        <v>0.622361817118204</v>
      </c>
      <c r="E1990" s="53" t="n">
        <f aca="true">NORMINV(RAND(),0,E$7)</f>
        <v>0.401035642267809</v>
      </c>
      <c r="F1990" s="53" t="n">
        <f aca="true">NORMINV(RAND(),0,F$7)</f>
        <v>-0.0867586821734394</v>
      </c>
      <c r="G1990" s="53" t="n">
        <f aca="true">NORMINV(RAND(),0,G$7)</f>
        <v>-0.544045099722495</v>
      </c>
      <c r="H1990" s="53" t="n">
        <f aca="true">NORMINV(RAND(),0,H$7)</f>
        <v>0.624939253406146</v>
      </c>
      <c r="I1990" s="53" t="n">
        <f aca="false">SUM(B1990:H1990)</f>
        <v>0.185627827416277</v>
      </c>
      <c r="J1990" s="53" t="n">
        <f aca="true">NORMINV(RAND(),0,J$7)</f>
        <v>-0.993956802609001</v>
      </c>
      <c r="K1990" s="53" t="n">
        <f aca="true">NORMINV(RAND(),0,K$7)</f>
        <v>-0.443439777108583</v>
      </c>
      <c r="L1990" s="53" t="n">
        <f aca="true">NORMINV(RAND(),0,L$7)</f>
        <v>0.533535307921793</v>
      </c>
      <c r="M1990" s="53" t="n">
        <f aca="true">NORMINV(RAND(),0,M$7)</f>
        <v>-0.202239522569815</v>
      </c>
      <c r="N1990" s="53" t="n">
        <f aca="true">NORMINV(RAND(),0,N$7)</f>
        <v>-0.0549417662561343</v>
      </c>
      <c r="O1990" s="53" t="n">
        <f aca="false">SUM(J1990:N1990)</f>
        <v>-1.16104256062174</v>
      </c>
    </row>
    <row r="1991" customFormat="false" ht="15" hidden="false" customHeight="false" outlineLevel="0" collapsed="false">
      <c r="A1991" s="2" t="n">
        <v>1983</v>
      </c>
      <c r="B1991" s="53" t="n">
        <f aca="true">NORMINV(RAND(),0,B$7)</f>
        <v>1.70599897480001</v>
      </c>
      <c r="C1991" s="53" t="n">
        <f aca="true">NORMINV(RAND(),0,C$7)</f>
        <v>1.88216794253854</v>
      </c>
      <c r="D1991" s="53" t="n">
        <f aca="true">NORMINV(RAND(),0,D$7)</f>
        <v>2.89750637021058</v>
      </c>
      <c r="E1991" s="53" t="n">
        <f aca="true">NORMINV(RAND(),0,E$7)</f>
        <v>0.986099281456035</v>
      </c>
      <c r="F1991" s="53" t="n">
        <f aca="true">NORMINV(RAND(),0,F$7)</f>
        <v>-0.128906456109612</v>
      </c>
      <c r="G1991" s="53" t="n">
        <f aca="true">NORMINV(RAND(),0,G$7)</f>
        <v>-0.884883912607925</v>
      </c>
      <c r="H1991" s="53" t="n">
        <f aca="true">NORMINV(RAND(),0,H$7)</f>
        <v>0.279017252171525</v>
      </c>
      <c r="I1991" s="53" t="n">
        <f aca="false">SUM(B1991:H1991)</f>
        <v>6.73699945245915</v>
      </c>
      <c r="J1991" s="53" t="n">
        <f aca="true">NORMINV(RAND(),0,J$7)</f>
        <v>-1.63128581308389</v>
      </c>
      <c r="K1991" s="53" t="n">
        <f aca="true">NORMINV(RAND(),0,K$7)</f>
        <v>-0.319256563628204</v>
      </c>
      <c r="L1991" s="53" t="n">
        <f aca="true">NORMINV(RAND(),0,L$7)</f>
        <v>0.198773236076538</v>
      </c>
      <c r="M1991" s="53" t="n">
        <f aca="true">NORMINV(RAND(),0,M$7)</f>
        <v>-0.134539288693052</v>
      </c>
      <c r="N1991" s="53" t="n">
        <f aca="true">NORMINV(RAND(),0,N$7)</f>
        <v>-0.14996861631747</v>
      </c>
      <c r="O1991" s="53" t="n">
        <f aca="false">SUM(J1991:N1991)</f>
        <v>-2.03627704564608</v>
      </c>
    </row>
    <row r="1992" customFormat="false" ht="15" hidden="false" customHeight="false" outlineLevel="0" collapsed="false">
      <c r="A1992" s="2" t="n">
        <v>1984</v>
      </c>
      <c r="B1992" s="53" t="n">
        <f aca="true">NORMINV(RAND(),0,B$7)</f>
        <v>0.879012081694163</v>
      </c>
      <c r="C1992" s="53" t="n">
        <f aca="true">NORMINV(RAND(),0,C$7)</f>
        <v>-0.48340653837368</v>
      </c>
      <c r="D1992" s="53" t="n">
        <f aca="true">NORMINV(RAND(),0,D$7)</f>
        <v>-0.628161734001658</v>
      </c>
      <c r="E1992" s="53" t="n">
        <f aca="true">NORMINV(RAND(),0,E$7)</f>
        <v>0.0391713931665181</v>
      </c>
      <c r="F1992" s="53" t="n">
        <f aca="true">NORMINV(RAND(),0,F$7)</f>
        <v>0.279035255929074</v>
      </c>
      <c r="G1992" s="53" t="n">
        <f aca="true">NORMINV(RAND(),0,G$7)</f>
        <v>0.20437085433931</v>
      </c>
      <c r="H1992" s="53" t="n">
        <f aca="true">NORMINV(RAND(),0,H$7)</f>
        <v>0.345300365719429</v>
      </c>
      <c r="I1992" s="53" t="n">
        <f aca="false">SUM(B1992:H1992)</f>
        <v>0.635321678473157</v>
      </c>
      <c r="J1992" s="53" t="n">
        <f aca="true">NORMINV(RAND(),0,J$7)</f>
        <v>1.90276109052189</v>
      </c>
      <c r="K1992" s="53" t="n">
        <f aca="true">NORMINV(RAND(),0,K$7)</f>
        <v>0.730741197427543</v>
      </c>
      <c r="L1992" s="53" t="n">
        <f aca="true">NORMINV(RAND(),0,L$7)</f>
        <v>0.218964180475011</v>
      </c>
      <c r="M1992" s="53" t="n">
        <f aca="true">NORMINV(RAND(),0,M$7)</f>
        <v>-0.146114785945401</v>
      </c>
      <c r="N1992" s="53" t="n">
        <f aca="true">NORMINV(RAND(),0,N$7)</f>
        <v>0.227205531212976</v>
      </c>
      <c r="O1992" s="53" t="n">
        <f aca="false">SUM(J1992:N1992)</f>
        <v>2.93355721369202</v>
      </c>
    </row>
    <row r="1993" customFormat="false" ht="15" hidden="false" customHeight="false" outlineLevel="0" collapsed="false">
      <c r="A1993" s="2" t="n">
        <v>1985</v>
      </c>
      <c r="B1993" s="53" t="n">
        <f aca="true">NORMINV(RAND(),0,B$7)</f>
        <v>-0.667674743432829</v>
      </c>
      <c r="C1993" s="53" t="n">
        <f aca="true">NORMINV(RAND(),0,C$7)</f>
        <v>0.4479054340691</v>
      </c>
      <c r="D1993" s="53" t="n">
        <f aca="true">NORMINV(RAND(),0,D$7)</f>
        <v>0.460418471558766</v>
      </c>
      <c r="E1993" s="53" t="n">
        <f aca="true">NORMINV(RAND(),0,E$7)</f>
        <v>0.435753508222072</v>
      </c>
      <c r="F1993" s="53" t="n">
        <f aca="true">NORMINV(RAND(),0,F$7)</f>
        <v>-0.32267996407516</v>
      </c>
      <c r="G1993" s="53" t="n">
        <f aca="true">NORMINV(RAND(),0,G$7)</f>
        <v>-2.48360541403337</v>
      </c>
      <c r="H1993" s="53" t="n">
        <f aca="true">NORMINV(RAND(),0,H$7)</f>
        <v>-0.0202137498946492</v>
      </c>
      <c r="I1993" s="53" t="n">
        <f aca="false">SUM(B1993:H1993)</f>
        <v>-2.15009645758607</v>
      </c>
      <c r="J1993" s="53" t="n">
        <f aca="true">NORMINV(RAND(),0,J$7)</f>
        <v>-2.40149650021563</v>
      </c>
      <c r="K1993" s="53" t="n">
        <f aca="true">NORMINV(RAND(),0,K$7)</f>
        <v>0.901020097363614</v>
      </c>
      <c r="L1993" s="53" t="n">
        <f aca="true">NORMINV(RAND(),0,L$7)</f>
        <v>0.0473498741307591</v>
      </c>
      <c r="M1993" s="53" t="n">
        <f aca="true">NORMINV(RAND(),0,M$7)</f>
        <v>0.0676539609894083</v>
      </c>
      <c r="N1993" s="53" t="n">
        <f aca="true">NORMINV(RAND(),0,N$7)</f>
        <v>0.0945523883183916</v>
      </c>
      <c r="O1993" s="53" t="n">
        <f aca="false">SUM(J1993:N1993)</f>
        <v>-1.29092017941345</v>
      </c>
    </row>
    <row r="1994" customFormat="false" ht="15" hidden="false" customHeight="false" outlineLevel="0" collapsed="false">
      <c r="A1994" s="2" t="n">
        <v>1986</v>
      </c>
      <c r="B1994" s="53" t="n">
        <f aca="true">NORMINV(RAND(),0,B$7)</f>
        <v>1.04881949551719</v>
      </c>
      <c r="C1994" s="53" t="n">
        <f aca="true">NORMINV(RAND(),0,C$7)</f>
        <v>-0.434551763438147</v>
      </c>
      <c r="D1994" s="53" t="n">
        <f aca="true">NORMINV(RAND(),0,D$7)</f>
        <v>0.248180777594642</v>
      </c>
      <c r="E1994" s="53" t="n">
        <f aca="true">NORMINV(RAND(),0,E$7)</f>
        <v>0.737108995564916</v>
      </c>
      <c r="F1994" s="53" t="n">
        <f aca="true">NORMINV(RAND(),0,F$7)</f>
        <v>0.156403078981795</v>
      </c>
      <c r="G1994" s="53" t="n">
        <f aca="true">NORMINV(RAND(),0,G$7)</f>
        <v>1.15986445397441</v>
      </c>
      <c r="H1994" s="53" t="n">
        <f aca="true">NORMINV(RAND(),0,H$7)</f>
        <v>-0.109124408970227</v>
      </c>
      <c r="I1994" s="53" t="n">
        <f aca="false">SUM(B1994:H1994)</f>
        <v>2.80670062922458</v>
      </c>
      <c r="J1994" s="53" t="n">
        <f aca="true">NORMINV(RAND(),0,J$7)</f>
        <v>-3.87962287638547</v>
      </c>
      <c r="K1994" s="53" t="n">
        <f aca="true">NORMINV(RAND(),0,K$7)</f>
        <v>-0.898991162064415</v>
      </c>
      <c r="L1994" s="53" t="n">
        <f aca="true">NORMINV(RAND(),0,L$7)</f>
        <v>0.525163817931596</v>
      </c>
      <c r="M1994" s="53" t="n">
        <f aca="true">NORMINV(RAND(),0,M$7)</f>
        <v>-0.158737573541237</v>
      </c>
      <c r="N1994" s="53" t="n">
        <f aca="true">NORMINV(RAND(),0,N$7)</f>
        <v>-0.030653579813386</v>
      </c>
      <c r="O1994" s="53" t="n">
        <f aca="false">SUM(J1994:N1994)</f>
        <v>-4.44284137387291</v>
      </c>
    </row>
    <row r="1995" customFormat="false" ht="15" hidden="false" customHeight="false" outlineLevel="0" collapsed="false">
      <c r="A1995" s="2" t="n">
        <v>1987</v>
      </c>
      <c r="B1995" s="53" t="n">
        <f aca="true">NORMINV(RAND(),0,B$7)</f>
        <v>0.840405022520908</v>
      </c>
      <c r="C1995" s="53" t="n">
        <f aca="true">NORMINV(RAND(),0,C$7)</f>
        <v>2.06446096726119</v>
      </c>
      <c r="D1995" s="53" t="n">
        <f aca="true">NORMINV(RAND(),0,D$7)</f>
        <v>-0.302670174351879</v>
      </c>
      <c r="E1995" s="53" t="n">
        <f aca="true">NORMINV(RAND(),0,E$7)</f>
        <v>-0.0753759645377898</v>
      </c>
      <c r="F1995" s="53" t="n">
        <f aca="true">NORMINV(RAND(),0,F$7)</f>
        <v>0.152529502632913</v>
      </c>
      <c r="G1995" s="53" t="n">
        <f aca="true">NORMINV(RAND(),0,G$7)</f>
        <v>1.84090732356197</v>
      </c>
      <c r="H1995" s="53" t="n">
        <f aca="true">NORMINV(RAND(),0,H$7)</f>
        <v>0.171449086643286</v>
      </c>
      <c r="I1995" s="53" t="n">
        <f aca="false">SUM(B1995:H1995)</f>
        <v>4.69170576373059</v>
      </c>
      <c r="J1995" s="53" t="n">
        <f aca="true">NORMINV(RAND(),0,J$7)</f>
        <v>-0.620397491731633</v>
      </c>
      <c r="K1995" s="53" t="n">
        <f aca="true">NORMINV(RAND(),0,K$7)</f>
        <v>0.64552651478055</v>
      </c>
      <c r="L1995" s="53" t="n">
        <f aca="true">NORMINV(RAND(),0,L$7)</f>
        <v>0.244126086598407</v>
      </c>
      <c r="M1995" s="53" t="n">
        <f aca="true">NORMINV(RAND(),0,M$7)</f>
        <v>0.340145032033571</v>
      </c>
      <c r="N1995" s="53" t="n">
        <f aca="true">NORMINV(RAND(),0,N$7)</f>
        <v>0.356429804641051</v>
      </c>
      <c r="O1995" s="53" t="n">
        <f aca="false">SUM(J1995:N1995)</f>
        <v>0.965829946321946</v>
      </c>
    </row>
    <row r="1996" customFormat="false" ht="15" hidden="false" customHeight="false" outlineLevel="0" collapsed="false">
      <c r="A1996" s="2" t="n">
        <v>1988</v>
      </c>
      <c r="B1996" s="53" t="n">
        <f aca="true">NORMINV(RAND(),0,B$7)</f>
        <v>-1.43635629702299</v>
      </c>
      <c r="C1996" s="53" t="n">
        <f aca="true">NORMINV(RAND(),0,C$7)</f>
        <v>-2.02177668550785</v>
      </c>
      <c r="D1996" s="53" t="n">
        <f aca="true">NORMINV(RAND(),0,D$7)</f>
        <v>4.40868854570796</v>
      </c>
      <c r="E1996" s="53" t="n">
        <f aca="true">NORMINV(RAND(),0,E$7)</f>
        <v>-0.0825092037405275</v>
      </c>
      <c r="F1996" s="53" t="n">
        <f aca="true">NORMINV(RAND(),0,F$7)</f>
        <v>-0.203912536343972</v>
      </c>
      <c r="G1996" s="53" t="n">
        <f aca="true">NORMINV(RAND(),0,G$7)</f>
        <v>-1.4924198055462</v>
      </c>
      <c r="H1996" s="53" t="n">
        <f aca="true">NORMINV(RAND(),0,H$7)</f>
        <v>0.132524133276238</v>
      </c>
      <c r="I1996" s="53" t="n">
        <f aca="false">SUM(B1996:H1996)</f>
        <v>-0.695761849177338</v>
      </c>
      <c r="J1996" s="53" t="n">
        <f aca="true">NORMINV(RAND(),0,J$7)</f>
        <v>2.06381490840321</v>
      </c>
      <c r="K1996" s="53" t="n">
        <f aca="true">NORMINV(RAND(),0,K$7)</f>
        <v>-0.382068680918896</v>
      </c>
      <c r="L1996" s="53" t="n">
        <f aca="true">NORMINV(RAND(),0,L$7)</f>
        <v>-0.134199550754618</v>
      </c>
      <c r="M1996" s="53" t="n">
        <f aca="true">NORMINV(RAND(),0,M$7)</f>
        <v>-0.149237354234997</v>
      </c>
      <c r="N1996" s="53" t="n">
        <f aca="true">NORMINV(RAND(),0,N$7)</f>
        <v>0.770386858057842</v>
      </c>
      <c r="O1996" s="53" t="n">
        <f aca="false">SUM(J1996:N1996)</f>
        <v>2.16869618055254</v>
      </c>
    </row>
    <row r="1997" customFormat="false" ht="15" hidden="false" customHeight="false" outlineLevel="0" collapsed="false">
      <c r="A1997" s="2" t="n">
        <v>1989</v>
      </c>
      <c r="B1997" s="53" t="n">
        <f aca="true">NORMINV(RAND(),0,B$7)</f>
        <v>0.0506553582708239</v>
      </c>
      <c r="C1997" s="53" t="n">
        <f aca="true">NORMINV(RAND(),0,C$7)</f>
        <v>0.66559486752885</v>
      </c>
      <c r="D1997" s="53" t="n">
        <f aca="true">NORMINV(RAND(),0,D$7)</f>
        <v>1.01395339699747</v>
      </c>
      <c r="E1997" s="53" t="n">
        <f aca="true">NORMINV(RAND(),0,E$7)</f>
        <v>-0.0427868396393577</v>
      </c>
      <c r="F1997" s="53" t="n">
        <f aca="true">NORMINV(RAND(),0,F$7)</f>
        <v>0.0231230814174925</v>
      </c>
      <c r="G1997" s="53" t="n">
        <f aca="true">NORMINV(RAND(),0,G$7)</f>
        <v>-1.67028053691016</v>
      </c>
      <c r="H1997" s="53" t="n">
        <f aca="true">NORMINV(RAND(),0,H$7)</f>
        <v>0.475551277201207</v>
      </c>
      <c r="I1997" s="53" t="n">
        <f aca="false">SUM(B1997:H1997)</f>
        <v>0.515810604866325</v>
      </c>
      <c r="J1997" s="53" t="n">
        <f aca="true">NORMINV(RAND(),0,J$7)</f>
        <v>3.43899337585837</v>
      </c>
      <c r="K1997" s="53" t="n">
        <f aca="true">NORMINV(RAND(),0,K$7)</f>
        <v>-0.383718145078487</v>
      </c>
      <c r="L1997" s="53" t="n">
        <f aca="true">NORMINV(RAND(),0,L$7)</f>
        <v>0.00243369054574863</v>
      </c>
      <c r="M1997" s="53" t="n">
        <f aca="true">NORMINV(RAND(),0,M$7)</f>
        <v>-0.399390026729593</v>
      </c>
      <c r="N1997" s="53" t="n">
        <f aca="true">NORMINV(RAND(),0,N$7)</f>
        <v>0.428947170115821</v>
      </c>
      <c r="O1997" s="53" t="n">
        <f aca="false">SUM(J1997:N1997)</f>
        <v>3.08726606471186</v>
      </c>
    </row>
    <row r="1998" customFormat="false" ht="15" hidden="false" customHeight="false" outlineLevel="0" collapsed="false">
      <c r="A1998" s="2" t="n">
        <v>1990</v>
      </c>
      <c r="B1998" s="53" t="n">
        <f aca="true">NORMINV(RAND(),0,B$7)</f>
        <v>0.989935395977133</v>
      </c>
      <c r="C1998" s="53" t="n">
        <f aca="true">NORMINV(RAND(),0,C$7)</f>
        <v>0.355129703086521</v>
      </c>
      <c r="D1998" s="53" t="n">
        <f aca="true">NORMINV(RAND(),0,D$7)</f>
        <v>-0.00832185476645375</v>
      </c>
      <c r="E1998" s="53" t="n">
        <f aca="true">NORMINV(RAND(),0,E$7)</f>
        <v>-0.372641116236972</v>
      </c>
      <c r="F1998" s="53" t="n">
        <f aca="true">NORMINV(RAND(),0,F$7)</f>
        <v>-0.119997078330007</v>
      </c>
      <c r="G1998" s="53" t="n">
        <f aca="true">NORMINV(RAND(),0,G$7)</f>
        <v>0.53809534129565</v>
      </c>
      <c r="H1998" s="53" t="n">
        <f aca="true">NORMINV(RAND(),0,H$7)</f>
        <v>-0.376181506007471</v>
      </c>
      <c r="I1998" s="53" t="n">
        <f aca="false">SUM(B1998:H1998)</f>
        <v>1.0060188850184</v>
      </c>
      <c r="J1998" s="53" t="n">
        <f aca="true">NORMINV(RAND(),0,J$7)</f>
        <v>-1.40970476584515</v>
      </c>
      <c r="K1998" s="53" t="n">
        <f aca="true">NORMINV(RAND(),0,K$7)</f>
        <v>-0.794224850400434</v>
      </c>
      <c r="L1998" s="53" t="n">
        <f aca="true">NORMINV(RAND(),0,L$7)</f>
        <v>-0.152599488240813</v>
      </c>
      <c r="M1998" s="53" t="n">
        <f aca="true">NORMINV(RAND(),0,M$7)</f>
        <v>0.0979919619661333</v>
      </c>
      <c r="N1998" s="53" t="n">
        <f aca="true">NORMINV(RAND(),0,N$7)</f>
        <v>-0.322212309326124</v>
      </c>
      <c r="O1998" s="53" t="n">
        <f aca="false">SUM(J1998:N1998)</f>
        <v>-2.58074945184639</v>
      </c>
    </row>
    <row r="1999" customFormat="false" ht="15" hidden="false" customHeight="false" outlineLevel="0" collapsed="false">
      <c r="A1999" s="2" t="n">
        <v>1991</v>
      </c>
      <c r="B1999" s="53" t="n">
        <f aca="true">NORMINV(RAND(),0,B$7)</f>
        <v>-1.53420760742541</v>
      </c>
      <c r="C1999" s="53" t="n">
        <f aca="true">NORMINV(RAND(),0,C$7)</f>
        <v>0.36882698495951</v>
      </c>
      <c r="D1999" s="53" t="n">
        <f aca="true">NORMINV(RAND(),0,D$7)</f>
        <v>-0.0685800208800957</v>
      </c>
      <c r="E1999" s="53" t="n">
        <f aca="true">NORMINV(RAND(),0,E$7)</f>
        <v>-0.0837491480007121</v>
      </c>
      <c r="F1999" s="53" t="n">
        <f aca="true">NORMINV(RAND(),0,F$7)</f>
        <v>0.284987380670604</v>
      </c>
      <c r="G1999" s="53" t="n">
        <f aca="true">NORMINV(RAND(),0,G$7)</f>
        <v>1.44046144676351</v>
      </c>
      <c r="H1999" s="53" t="n">
        <f aca="true">NORMINV(RAND(),0,H$7)</f>
        <v>-0.209469221482152</v>
      </c>
      <c r="I1999" s="53" t="n">
        <f aca="false">SUM(B1999:H1999)</f>
        <v>0.198269814605257</v>
      </c>
      <c r="J1999" s="53" t="n">
        <f aca="true">NORMINV(RAND(),0,J$7)</f>
        <v>0.655167903126936</v>
      </c>
      <c r="K1999" s="53" t="n">
        <f aca="true">NORMINV(RAND(),0,K$7)</f>
        <v>0.523070185265768</v>
      </c>
      <c r="L1999" s="53" t="n">
        <f aca="true">NORMINV(RAND(),0,L$7)</f>
        <v>-0.433169089541499</v>
      </c>
      <c r="M1999" s="53" t="n">
        <f aca="true">NORMINV(RAND(),0,M$7)</f>
        <v>0.241165372537935</v>
      </c>
      <c r="N1999" s="53" t="n">
        <f aca="true">NORMINV(RAND(),0,N$7)</f>
        <v>0.0456668735011409</v>
      </c>
      <c r="O1999" s="53" t="n">
        <f aca="false">SUM(J1999:N1999)</f>
        <v>1.03190124489028</v>
      </c>
    </row>
    <row r="2000" customFormat="false" ht="15" hidden="false" customHeight="false" outlineLevel="0" collapsed="false">
      <c r="A2000" s="2" t="n">
        <v>1992</v>
      </c>
      <c r="B2000" s="53" t="n">
        <f aca="true">NORMINV(RAND(),0,B$7)</f>
        <v>-0.992745563113036</v>
      </c>
      <c r="C2000" s="53" t="n">
        <f aca="true">NORMINV(RAND(),0,C$7)</f>
        <v>-1.57235513245714</v>
      </c>
      <c r="D2000" s="53" t="n">
        <f aca="true">NORMINV(RAND(),0,D$7)</f>
        <v>-2.58226654906366</v>
      </c>
      <c r="E2000" s="53" t="n">
        <f aca="true">NORMINV(RAND(),0,E$7)</f>
        <v>0.243095559259498</v>
      </c>
      <c r="F2000" s="53" t="n">
        <f aca="true">NORMINV(RAND(),0,F$7)</f>
        <v>-0.47316461072888</v>
      </c>
      <c r="G2000" s="53" t="n">
        <f aca="true">NORMINV(RAND(),0,G$7)</f>
        <v>0.599900453208144</v>
      </c>
      <c r="H2000" s="53" t="n">
        <f aca="true">NORMINV(RAND(),0,H$7)</f>
        <v>-0.176262905617959</v>
      </c>
      <c r="I2000" s="53" t="n">
        <f aca="false">SUM(B2000:H2000)</f>
        <v>-4.95379874851303</v>
      </c>
      <c r="J2000" s="53" t="n">
        <f aca="true">NORMINV(RAND(),0,J$7)</f>
        <v>2.12923895559699</v>
      </c>
      <c r="K2000" s="53" t="n">
        <f aca="true">NORMINV(RAND(),0,K$7)</f>
        <v>0.428178787522622</v>
      </c>
      <c r="L2000" s="53" t="n">
        <f aca="true">NORMINV(RAND(),0,L$7)</f>
        <v>0.0793962244156971</v>
      </c>
      <c r="M2000" s="53" t="n">
        <f aca="true">NORMINV(RAND(),0,M$7)</f>
        <v>0.172155928999129</v>
      </c>
      <c r="N2000" s="53" t="n">
        <f aca="true">NORMINV(RAND(),0,N$7)</f>
        <v>-0.836225539121544</v>
      </c>
      <c r="O2000" s="53" t="n">
        <f aca="false">SUM(J2000:N2000)</f>
        <v>1.9727443574129</v>
      </c>
    </row>
    <row r="2001" customFormat="false" ht="15" hidden="false" customHeight="false" outlineLevel="0" collapsed="false">
      <c r="A2001" s="2" t="n">
        <v>1993</v>
      </c>
      <c r="B2001" s="53" t="n">
        <f aca="true">NORMINV(RAND(),0,B$7)</f>
        <v>-1.10401673511069</v>
      </c>
      <c r="C2001" s="53" t="n">
        <f aca="true">NORMINV(RAND(),0,C$7)</f>
        <v>0.104831586203374</v>
      </c>
      <c r="D2001" s="53" t="n">
        <f aca="true">NORMINV(RAND(),0,D$7)</f>
        <v>2.05239896765164</v>
      </c>
      <c r="E2001" s="53" t="n">
        <f aca="true">NORMINV(RAND(),0,E$7)</f>
        <v>-0.110422227381479</v>
      </c>
      <c r="F2001" s="53" t="n">
        <f aca="true">NORMINV(RAND(),0,F$7)</f>
        <v>-0.266299040972192</v>
      </c>
      <c r="G2001" s="53" t="n">
        <f aca="true">NORMINV(RAND(),0,G$7)</f>
        <v>-0.655668991862454</v>
      </c>
      <c r="H2001" s="53" t="n">
        <f aca="true">NORMINV(RAND(),0,H$7)</f>
        <v>0.187311257468053</v>
      </c>
      <c r="I2001" s="53" t="n">
        <f aca="false">SUM(B2001:H2001)</f>
        <v>0.208134815996252</v>
      </c>
      <c r="J2001" s="53" t="n">
        <f aca="true">NORMINV(RAND(),0,J$7)</f>
        <v>-0.612951077009505</v>
      </c>
      <c r="K2001" s="53" t="n">
        <f aca="true">NORMINV(RAND(),0,K$7)</f>
        <v>-0.593298799360499</v>
      </c>
      <c r="L2001" s="53" t="n">
        <f aca="true">NORMINV(RAND(),0,L$7)</f>
        <v>0.441893734935162</v>
      </c>
      <c r="M2001" s="53" t="n">
        <f aca="true">NORMINV(RAND(),0,M$7)</f>
        <v>-0.194449267583057</v>
      </c>
      <c r="N2001" s="53" t="n">
        <f aca="true">NORMINV(RAND(),0,N$7)</f>
        <v>0.385546923238057</v>
      </c>
      <c r="O2001" s="53" t="n">
        <f aca="false">SUM(J2001:N2001)</f>
        <v>-0.573258485779842</v>
      </c>
    </row>
    <row r="2002" customFormat="false" ht="15" hidden="false" customHeight="false" outlineLevel="0" collapsed="false">
      <c r="A2002" s="2" t="n">
        <v>1994</v>
      </c>
      <c r="B2002" s="53" t="n">
        <f aca="true">NORMINV(RAND(),0,B$7)</f>
        <v>-0.746280435774516</v>
      </c>
      <c r="C2002" s="53" t="n">
        <f aca="true">NORMINV(RAND(),0,C$7)</f>
        <v>-2.48368997870468</v>
      </c>
      <c r="D2002" s="53" t="n">
        <f aca="true">NORMINV(RAND(),0,D$7)</f>
        <v>0.0383112701174148</v>
      </c>
      <c r="E2002" s="53" t="n">
        <f aca="true">NORMINV(RAND(),0,E$7)</f>
        <v>0.265423586926837</v>
      </c>
      <c r="F2002" s="53" t="n">
        <f aca="true">NORMINV(RAND(),0,F$7)</f>
        <v>-0.767517254713234</v>
      </c>
      <c r="G2002" s="53" t="n">
        <f aca="true">NORMINV(RAND(),0,G$7)</f>
        <v>-1.32025186336295</v>
      </c>
      <c r="H2002" s="53" t="n">
        <f aca="true">NORMINV(RAND(),0,H$7)</f>
        <v>0.641505674948678</v>
      </c>
      <c r="I2002" s="53" t="n">
        <f aca="false">SUM(B2002:H2002)</f>
        <v>-4.37249900056245</v>
      </c>
      <c r="J2002" s="53" t="n">
        <f aca="true">NORMINV(RAND(),0,J$7)</f>
        <v>1.60410299774185</v>
      </c>
      <c r="K2002" s="53" t="n">
        <f aca="true">NORMINV(RAND(),0,K$7)</f>
        <v>0.452416540353622</v>
      </c>
      <c r="L2002" s="53" t="n">
        <f aca="true">NORMINV(RAND(),0,L$7)</f>
        <v>-0.209853517021227</v>
      </c>
      <c r="M2002" s="53" t="n">
        <f aca="true">NORMINV(RAND(),0,M$7)</f>
        <v>-0.0136092948473687</v>
      </c>
      <c r="N2002" s="53" t="n">
        <f aca="true">NORMINV(RAND(),0,N$7)</f>
        <v>0.225711205159131</v>
      </c>
      <c r="O2002" s="53" t="n">
        <f aca="false">SUM(J2002:N2002)</f>
        <v>2.05876793138601</v>
      </c>
    </row>
    <row r="2003" customFormat="false" ht="15" hidden="false" customHeight="false" outlineLevel="0" collapsed="false">
      <c r="A2003" s="2" t="n">
        <v>1995</v>
      </c>
      <c r="B2003" s="53" t="n">
        <f aca="true">NORMINV(RAND(),0,B$7)</f>
        <v>1.8208915687025</v>
      </c>
      <c r="C2003" s="53" t="n">
        <f aca="true">NORMINV(RAND(),0,C$7)</f>
        <v>-0.107948047382404</v>
      </c>
      <c r="D2003" s="53" t="n">
        <f aca="true">NORMINV(RAND(),0,D$7)</f>
        <v>-2.71480648110117</v>
      </c>
      <c r="E2003" s="53" t="n">
        <f aca="true">NORMINV(RAND(),0,E$7)</f>
        <v>0.0924552282632691</v>
      </c>
      <c r="F2003" s="53" t="n">
        <f aca="true">NORMINV(RAND(),0,F$7)</f>
        <v>-0.158236062567153</v>
      </c>
      <c r="G2003" s="53" t="n">
        <f aca="true">NORMINV(RAND(),0,G$7)</f>
        <v>1.87497613576379</v>
      </c>
      <c r="H2003" s="53" t="n">
        <f aca="true">NORMINV(RAND(),0,H$7)</f>
        <v>-0.367005517972221</v>
      </c>
      <c r="I2003" s="53" t="n">
        <f aca="false">SUM(B2003:H2003)</f>
        <v>0.440326823706614</v>
      </c>
      <c r="J2003" s="53" t="n">
        <f aca="true">NORMINV(RAND(),0,J$7)</f>
        <v>-1.36488940316716</v>
      </c>
      <c r="K2003" s="53" t="n">
        <f aca="true">NORMINV(RAND(),0,K$7)</f>
        <v>-0.714391360051205</v>
      </c>
      <c r="L2003" s="53" t="n">
        <f aca="true">NORMINV(RAND(),0,L$7)</f>
        <v>0.195059597474758</v>
      </c>
      <c r="M2003" s="53" t="n">
        <f aca="true">NORMINV(RAND(),0,M$7)</f>
        <v>-0.334468640085611</v>
      </c>
      <c r="N2003" s="53" t="n">
        <f aca="true">NORMINV(RAND(),0,N$7)</f>
        <v>0.358617488654761</v>
      </c>
      <c r="O2003" s="53" t="n">
        <f aca="false">SUM(J2003:N2003)</f>
        <v>-1.86007231717446</v>
      </c>
    </row>
    <row r="2004" customFormat="false" ht="15" hidden="false" customHeight="false" outlineLevel="0" collapsed="false">
      <c r="A2004" s="2" t="n">
        <v>1996</v>
      </c>
      <c r="B2004" s="53" t="n">
        <f aca="true">NORMINV(RAND(),0,B$7)</f>
        <v>1.49142416228171</v>
      </c>
      <c r="C2004" s="53" t="n">
        <f aca="true">NORMINV(RAND(),0,C$7)</f>
        <v>-0.0411852050382249</v>
      </c>
      <c r="D2004" s="53" t="n">
        <f aca="true">NORMINV(RAND(),0,D$7)</f>
        <v>1.69610882358594</v>
      </c>
      <c r="E2004" s="53" t="n">
        <f aca="true">NORMINV(RAND(),0,E$7)</f>
        <v>-0.326478688854496</v>
      </c>
      <c r="F2004" s="53" t="n">
        <f aca="true">NORMINV(RAND(),0,F$7)</f>
        <v>-0.222246610853782</v>
      </c>
      <c r="G2004" s="53" t="n">
        <f aca="true">NORMINV(RAND(),0,G$7)</f>
        <v>1.62709104472587</v>
      </c>
      <c r="H2004" s="53" t="n">
        <f aca="true">NORMINV(RAND(),0,H$7)</f>
        <v>-0.642042228982157</v>
      </c>
      <c r="I2004" s="53" t="n">
        <f aca="false">SUM(B2004:H2004)</f>
        <v>3.58267129686486</v>
      </c>
      <c r="J2004" s="53" t="n">
        <f aca="true">NORMINV(RAND(),0,J$7)</f>
        <v>-0.803087471106729</v>
      </c>
      <c r="K2004" s="53" t="n">
        <f aca="true">NORMINV(RAND(),0,K$7)</f>
        <v>0.96363837412074</v>
      </c>
      <c r="L2004" s="53" t="n">
        <f aca="true">NORMINV(RAND(),0,L$7)</f>
        <v>0.537489311815847</v>
      </c>
      <c r="M2004" s="53" t="n">
        <f aca="true">NORMINV(RAND(),0,M$7)</f>
        <v>-0.240707622802713</v>
      </c>
      <c r="N2004" s="53" t="n">
        <f aca="true">NORMINV(RAND(),0,N$7)</f>
        <v>-0.337699076199834</v>
      </c>
      <c r="O2004" s="53" t="n">
        <f aca="false">SUM(J2004:N2004)</f>
        <v>0.119633515827311</v>
      </c>
    </row>
    <row r="2005" customFormat="false" ht="15" hidden="false" customHeight="false" outlineLevel="0" collapsed="false">
      <c r="A2005" s="2" t="n">
        <v>1997</v>
      </c>
      <c r="B2005" s="53" t="n">
        <f aca="true">NORMINV(RAND(),0,B$7)</f>
        <v>0.95162452847477</v>
      </c>
      <c r="C2005" s="53" t="n">
        <f aca="true">NORMINV(RAND(),0,C$7)</f>
        <v>-0.229250805595455</v>
      </c>
      <c r="D2005" s="53" t="n">
        <f aca="true">NORMINV(RAND(),0,D$7)</f>
        <v>-0.93494611276181</v>
      </c>
      <c r="E2005" s="53" t="n">
        <f aca="true">NORMINV(RAND(),0,E$7)</f>
        <v>-0.206028812313406</v>
      </c>
      <c r="F2005" s="53" t="n">
        <f aca="true">NORMINV(RAND(),0,F$7)</f>
        <v>-0.221720502172877</v>
      </c>
      <c r="G2005" s="53" t="n">
        <f aca="true">NORMINV(RAND(),0,G$7)</f>
        <v>1.19185137848007</v>
      </c>
      <c r="H2005" s="53" t="n">
        <f aca="true">NORMINV(RAND(),0,H$7)</f>
        <v>-0.141255396362392</v>
      </c>
      <c r="I2005" s="53" t="n">
        <f aca="false">SUM(B2005:H2005)</f>
        <v>0.410274277748897</v>
      </c>
      <c r="J2005" s="53" t="n">
        <f aca="true">NORMINV(RAND(),0,J$7)</f>
        <v>-0.56462397085448</v>
      </c>
      <c r="K2005" s="53" t="n">
        <f aca="true">NORMINV(RAND(),0,K$7)</f>
        <v>-0.0370684770294617</v>
      </c>
      <c r="L2005" s="53" t="n">
        <f aca="true">NORMINV(RAND(),0,L$7)</f>
        <v>0.133231255509067</v>
      </c>
      <c r="M2005" s="53" t="n">
        <f aca="true">NORMINV(RAND(),0,M$7)</f>
        <v>0.111449400217607</v>
      </c>
      <c r="N2005" s="53" t="n">
        <f aca="true">NORMINV(RAND(),0,N$7)</f>
        <v>0.0635871512623402</v>
      </c>
      <c r="O2005" s="53" t="n">
        <f aca="false">SUM(J2005:N2005)</f>
        <v>-0.293424640894927</v>
      </c>
    </row>
    <row r="2006" customFormat="false" ht="15" hidden="false" customHeight="false" outlineLevel="0" collapsed="false">
      <c r="A2006" s="2" t="n">
        <v>1998</v>
      </c>
      <c r="B2006" s="53" t="n">
        <f aca="true">NORMINV(RAND(),0,B$7)</f>
        <v>-2.38495812083261</v>
      </c>
      <c r="C2006" s="53" t="n">
        <f aca="true">NORMINV(RAND(),0,C$7)</f>
        <v>-1.03347976042155</v>
      </c>
      <c r="D2006" s="53" t="n">
        <f aca="true">NORMINV(RAND(),0,D$7)</f>
        <v>1.96110330941171</v>
      </c>
      <c r="E2006" s="53" t="n">
        <f aca="true">NORMINV(RAND(),0,E$7)</f>
        <v>-0.0536719143522558</v>
      </c>
      <c r="F2006" s="53" t="n">
        <f aca="true">NORMINV(RAND(),0,F$7)</f>
        <v>-0.330745614016536</v>
      </c>
      <c r="G2006" s="53" t="n">
        <f aca="true">NORMINV(RAND(),0,G$7)</f>
        <v>-1.903418162875</v>
      </c>
      <c r="H2006" s="53" t="n">
        <f aca="true">NORMINV(RAND(),0,H$7)</f>
        <v>-0.0745055170754153</v>
      </c>
      <c r="I2006" s="53" t="n">
        <f aca="false">SUM(B2006:H2006)</f>
        <v>-3.81967578016166</v>
      </c>
      <c r="J2006" s="53" t="n">
        <f aca="true">NORMINV(RAND(),0,J$7)</f>
        <v>-0.824112029863664</v>
      </c>
      <c r="K2006" s="53" t="n">
        <f aca="true">NORMINV(RAND(),0,K$7)</f>
        <v>0.256591605639234</v>
      </c>
      <c r="L2006" s="53" t="n">
        <f aca="true">NORMINV(RAND(),0,L$7)</f>
        <v>0.303673314884063</v>
      </c>
      <c r="M2006" s="53" t="n">
        <f aca="true">NORMINV(RAND(),0,M$7)</f>
        <v>0.341582711002395</v>
      </c>
      <c r="N2006" s="53" t="n">
        <f aca="true">NORMINV(RAND(),0,N$7)</f>
        <v>-0.520072990156296</v>
      </c>
      <c r="O2006" s="53" t="n">
        <f aca="false">SUM(J2006:N2006)</f>
        <v>-0.442337388494269</v>
      </c>
    </row>
    <row r="2007" customFormat="false" ht="15" hidden="false" customHeight="false" outlineLevel="0" collapsed="false">
      <c r="A2007" s="2" t="n">
        <v>1999</v>
      </c>
      <c r="B2007" s="53" t="n">
        <f aca="true">NORMINV(RAND(),0,B$7)</f>
        <v>-0.991490861383107</v>
      </c>
      <c r="C2007" s="53" t="n">
        <f aca="true">NORMINV(RAND(),0,C$7)</f>
        <v>-1.68627401305337</v>
      </c>
      <c r="D2007" s="53" t="n">
        <f aca="true">NORMINV(RAND(),0,D$7)</f>
        <v>-0.449158471184912</v>
      </c>
      <c r="E2007" s="53" t="n">
        <f aca="true">NORMINV(RAND(),0,E$7)</f>
        <v>-0.0795675415506288</v>
      </c>
      <c r="F2007" s="53" t="n">
        <f aca="true">NORMINV(RAND(),0,F$7)</f>
        <v>-0.349253908563584</v>
      </c>
      <c r="G2007" s="53" t="n">
        <f aca="true">NORMINV(RAND(),0,G$7)</f>
        <v>-0.621773761728349</v>
      </c>
      <c r="H2007" s="53" t="n">
        <f aca="true">NORMINV(RAND(),0,H$7)</f>
        <v>-0.386691492579568</v>
      </c>
      <c r="I2007" s="53" t="n">
        <f aca="false">SUM(B2007:H2007)</f>
        <v>-4.56421005004352</v>
      </c>
      <c r="J2007" s="53" t="n">
        <f aca="true">NORMINV(RAND(),0,J$7)</f>
        <v>-0.259278896469168</v>
      </c>
      <c r="K2007" s="53" t="n">
        <f aca="true">NORMINV(RAND(),0,K$7)</f>
        <v>0.630811646727086</v>
      </c>
      <c r="L2007" s="53" t="n">
        <f aca="true">NORMINV(RAND(),0,L$7)</f>
        <v>-0.201175484627882</v>
      </c>
      <c r="M2007" s="53" t="n">
        <f aca="true">NORMINV(RAND(),0,M$7)</f>
        <v>0.0932732215325558</v>
      </c>
      <c r="N2007" s="53" t="n">
        <f aca="true">NORMINV(RAND(),0,N$7)</f>
        <v>-0.0780229084427853</v>
      </c>
      <c r="O2007" s="53" t="n">
        <f aca="false">SUM(J2007:N2007)</f>
        <v>0.185607578719806</v>
      </c>
    </row>
    <row r="2008" customFormat="false" ht="15" hidden="false" customHeight="false" outlineLevel="0" collapsed="false">
      <c r="A2008" s="2" t="n">
        <v>2000</v>
      </c>
      <c r="B2008" s="53" t="n">
        <f aca="true">NORMINV(RAND(),0,B$7)</f>
        <v>-0.414977273021654</v>
      </c>
      <c r="C2008" s="53" t="n">
        <f aca="true">NORMINV(RAND(),0,C$7)</f>
        <v>2.08258219496029</v>
      </c>
      <c r="D2008" s="53" t="n">
        <f aca="true">NORMINV(RAND(),0,D$7)</f>
        <v>0.470820611310292</v>
      </c>
      <c r="E2008" s="53" t="n">
        <f aca="true">NORMINV(RAND(),0,E$7)</f>
        <v>0.50561840207466</v>
      </c>
      <c r="F2008" s="53" t="n">
        <f aca="true">NORMINV(RAND(),0,F$7)</f>
        <v>-0.554016919820293</v>
      </c>
      <c r="G2008" s="53" t="n">
        <f aca="true">NORMINV(RAND(),0,G$7)</f>
        <v>-0.509717457149872</v>
      </c>
      <c r="H2008" s="53" t="n">
        <f aca="true">NORMINV(RAND(),0,H$7)</f>
        <v>0.344425134641596</v>
      </c>
      <c r="I2008" s="53" t="n">
        <f aca="false">SUM(B2008:H2008)</f>
        <v>1.92473469299502</v>
      </c>
      <c r="J2008" s="53" t="n">
        <f aca="true">NORMINV(RAND(),0,J$7)</f>
        <v>1.057477423842</v>
      </c>
      <c r="K2008" s="53" t="n">
        <f aca="true">NORMINV(RAND(),0,K$7)</f>
        <v>-0.167854975453807</v>
      </c>
      <c r="L2008" s="53" t="n">
        <f aca="true">NORMINV(RAND(),0,L$7)</f>
        <v>-0.441054205436417</v>
      </c>
      <c r="M2008" s="53" t="n">
        <f aca="true">NORMINV(RAND(),0,M$7)</f>
        <v>-0.329086357536446</v>
      </c>
      <c r="N2008" s="53" t="n">
        <f aca="true">NORMINV(RAND(),0,N$7)</f>
        <v>-0.119085121896427</v>
      </c>
      <c r="O2008" s="53" t="n">
        <f aca="false">SUM(J2008:N2008)</f>
        <v>0.000396763518901944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2"/>
    <col collapsed="false" customWidth="true" hidden="false" outlineLevel="0" max="4" min="4" style="0" width="30"/>
    <col collapsed="false" customWidth="true" hidden="false" outlineLevel="0" max="5" min="5" style="0" width="14"/>
    <col collapsed="false" customWidth="true" hidden="false" outlineLevel="0" max="6" min="6" style="0" width="10"/>
    <col collapsed="false" customWidth="true" hidden="false" outlineLevel="0" max="7" min="7" style="0" width="12"/>
    <col collapsed="false" customWidth="true" hidden="false" outlineLevel="0" max="10" min="8" style="0" width="10"/>
    <col collapsed="false" customWidth="true" hidden="false" outlineLevel="0" max="13" min="11" style="0" width="9"/>
  </cols>
  <sheetData>
    <row r="1" customFormat="false" ht="17.35" hidden="false" customHeight="false" outlineLevel="0" collapsed="false">
      <c r="A1" s="8" t="s">
        <v>1563</v>
      </c>
      <c r="B1" s="2"/>
      <c r="C1" s="2"/>
      <c r="D1" s="2"/>
      <c r="E1" s="2"/>
      <c r="F1" s="2"/>
      <c r="G1" s="2"/>
      <c r="H1" s="2"/>
      <c r="I1" s="2"/>
      <c r="J1" s="2"/>
      <c r="K1" s="2"/>
      <c r="L1" s="2"/>
      <c r="M1" s="2"/>
    </row>
    <row r="2" customFormat="false" ht="15" hidden="false" customHeight="false" outlineLevel="0" collapsed="false">
      <c r="A2" s="3" t="s">
        <v>1564</v>
      </c>
      <c r="B2" s="2"/>
      <c r="C2" s="2"/>
      <c r="D2" s="2"/>
      <c r="E2" s="2"/>
      <c r="F2" s="2"/>
      <c r="G2" s="2"/>
      <c r="H2" s="2"/>
      <c r="I2" s="2"/>
      <c r="J2" s="2"/>
      <c r="K2" s="2"/>
      <c r="L2" s="2"/>
      <c r="M2" s="2"/>
    </row>
    <row r="3" customFormat="false" ht="15" hidden="false" customHeight="false" outlineLevel="0" collapsed="false">
      <c r="A3" s="2"/>
      <c r="B3" s="2"/>
      <c r="C3" s="2"/>
      <c r="D3" s="2"/>
      <c r="E3" s="2"/>
      <c r="F3" s="2"/>
      <c r="G3" s="2"/>
      <c r="H3" s="2"/>
      <c r="I3" s="2"/>
      <c r="J3" s="2"/>
      <c r="K3" s="2"/>
      <c r="L3" s="2"/>
      <c r="M3" s="2"/>
    </row>
    <row r="4" customFormat="false" ht="26.85" hidden="false" customHeight="false" outlineLevel="0" collapsed="false">
      <c r="A4" s="6" t="s">
        <v>1565</v>
      </c>
      <c r="B4" s="6" t="s">
        <v>1566</v>
      </c>
      <c r="C4" s="6" t="s">
        <v>1567</v>
      </c>
      <c r="D4" s="6" t="s">
        <v>1568</v>
      </c>
      <c r="E4" s="6" t="s">
        <v>1569</v>
      </c>
      <c r="F4" s="6" t="s">
        <v>1570</v>
      </c>
      <c r="G4" s="6" t="s">
        <v>1571</v>
      </c>
      <c r="H4" s="6" t="s">
        <v>1572</v>
      </c>
      <c r="I4" s="6" t="s">
        <v>1573</v>
      </c>
      <c r="J4" s="6" t="s">
        <v>1574</v>
      </c>
      <c r="K4" s="6" t="s">
        <v>1575</v>
      </c>
      <c r="L4" s="6" t="s">
        <v>1576</v>
      </c>
      <c r="M4" s="6" t="s">
        <v>1577</v>
      </c>
    </row>
    <row r="5" customFormat="false" ht="15" hidden="false" customHeight="false" outlineLevel="0" collapsed="false">
      <c r="A5" s="2" t="s">
        <v>1578</v>
      </c>
      <c r="B5" s="54" t="n">
        <v>33</v>
      </c>
      <c r="C5" s="55" t="n">
        <f aca="false">B5/0.3048</f>
        <v>108.267716535433</v>
      </c>
      <c r="D5" s="56" t="s">
        <v>1579</v>
      </c>
      <c r="E5" s="54" t="n">
        <v>6.207</v>
      </c>
      <c r="F5" s="54" t="n">
        <v>6.198</v>
      </c>
      <c r="G5" s="55" t="n">
        <f aca="false">ROUND((F5-E5)*100,1)</f>
        <v>-0.9</v>
      </c>
      <c r="H5" s="53" t="n">
        <f aca="false">G5/30.48</f>
        <v>-0.0295275590551181</v>
      </c>
      <c r="I5" s="56" t="n">
        <v>-3</v>
      </c>
      <c r="J5" s="56" t="n">
        <v>-1.6</v>
      </c>
      <c r="K5" s="57" t="n">
        <f aca="false">G5^2</f>
        <v>0.81</v>
      </c>
      <c r="L5" s="57" t="n">
        <f aca="false">I5^2</f>
        <v>9</v>
      </c>
      <c r="M5" s="57" t="n">
        <f aca="false">J5^2</f>
        <v>2.56</v>
      </c>
    </row>
    <row r="6" customFormat="false" ht="15" hidden="false" customHeight="false" outlineLevel="0" collapsed="false">
      <c r="A6" s="2" t="s">
        <v>1580</v>
      </c>
      <c r="B6" s="54" t="n">
        <v>99.7</v>
      </c>
      <c r="C6" s="55" t="n">
        <f aca="false">B6/0.3048</f>
        <v>327.099737532808</v>
      </c>
      <c r="D6" s="56" t="s">
        <v>1581</v>
      </c>
      <c r="E6" s="54" t="n">
        <v>6.421</v>
      </c>
      <c r="F6" s="54" t="n">
        <v>6.422</v>
      </c>
      <c r="G6" s="55" t="n">
        <f aca="false">ROUND((F6-E6)*100,1)</f>
        <v>0.1</v>
      </c>
      <c r="H6" s="53" t="n">
        <f aca="false">G6/30.48</f>
        <v>0.00328083989501312</v>
      </c>
      <c r="I6" s="56" t="n">
        <v>-0.8</v>
      </c>
      <c r="J6" s="56" t="n">
        <v>-1.6</v>
      </c>
      <c r="K6" s="57" t="n">
        <f aca="false">G6^2</f>
        <v>0.01</v>
      </c>
      <c r="L6" s="57" t="n">
        <f aca="false">I6^2</f>
        <v>0.64</v>
      </c>
      <c r="M6" s="57" t="n">
        <f aca="false">J6^2</f>
        <v>2.56</v>
      </c>
    </row>
    <row r="7" customFormat="false" ht="15" hidden="false" customHeight="false" outlineLevel="0" collapsed="false">
      <c r="A7" s="2" t="s">
        <v>1582</v>
      </c>
      <c r="B7" s="54" t="n">
        <v>166.4</v>
      </c>
      <c r="C7" s="55" t="n">
        <f aca="false">B7/0.3048</f>
        <v>545.931758530184</v>
      </c>
      <c r="D7" s="56" t="s">
        <v>1579</v>
      </c>
      <c r="E7" s="54" t="n">
        <v>6.627</v>
      </c>
      <c r="F7" s="54" t="n">
        <v>6.631</v>
      </c>
      <c r="G7" s="55" t="n">
        <f aca="false">ROUND((F7-E7)*100,1)</f>
        <v>0.4</v>
      </c>
      <c r="H7" s="53" t="n">
        <f aca="false">G7/30.48</f>
        <v>0.0131233595800525</v>
      </c>
      <c r="I7" s="56" t="n">
        <v>3.8</v>
      </c>
      <c r="J7" s="56" t="n">
        <v>2.1</v>
      </c>
      <c r="K7" s="57" t="n">
        <f aca="false">G7^2</f>
        <v>0.16</v>
      </c>
      <c r="L7" s="57" t="n">
        <f aca="false">I7^2</f>
        <v>14.44</v>
      </c>
      <c r="M7" s="57" t="n">
        <f aca="false">J7^2</f>
        <v>4.41</v>
      </c>
    </row>
    <row r="8" customFormat="false" ht="15" hidden="false" customHeight="false" outlineLevel="0" collapsed="false">
      <c r="A8" s="2" t="s">
        <v>1583</v>
      </c>
      <c r="B8" s="54" t="n">
        <v>233.1</v>
      </c>
      <c r="C8" s="55" t="n">
        <f aca="false">B8/0.3048</f>
        <v>764.763779527559</v>
      </c>
      <c r="D8" s="56" t="s">
        <v>1581</v>
      </c>
      <c r="E8" s="54" t="n">
        <v>6.821</v>
      </c>
      <c r="F8" s="54" t="n">
        <v>6.818</v>
      </c>
      <c r="G8" s="55" t="n">
        <f aca="false">ROUND((F8-E8)*100,1)</f>
        <v>-0.3</v>
      </c>
      <c r="H8" s="53" t="n">
        <f aca="false">G8/30.48</f>
        <v>-0.00984251968503937</v>
      </c>
      <c r="I8" s="56" t="n">
        <v>-0.9</v>
      </c>
      <c r="J8" s="56" t="n">
        <v>-1.3</v>
      </c>
      <c r="K8" s="57" t="n">
        <f aca="false">G8^2</f>
        <v>0.09</v>
      </c>
      <c r="L8" s="57" t="n">
        <f aca="false">I8^2</f>
        <v>0.81</v>
      </c>
      <c r="M8" s="57" t="n">
        <f aca="false">J8^2</f>
        <v>1.69</v>
      </c>
    </row>
    <row r="9" customFormat="false" ht="15" hidden="false" customHeight="false" outlineLevel="0" collapsed="false">
      <c r="A9" s="2" t="s">
        <v>1584</v>
      </c>
      <c r="B9" s="54" t="n">
        <v>299.8</v>
      </c>
      <c r="C9" s="55" t="n">
        <f aca="false">B9/0.3048</f>
        <v>983.595800524934</v>
      </c>
      <c r="D9" s="56" t="s">
        <v>1579</v>
      </c>
      <c r="E9" s="54" t="n">
        <v>6.999</v>
      </c>
      <c r="F9" s="54" t="n">
        <v>7.027</v>
      </c>
      <c r="G9" s="55" t="n">
        <f aca="false">ROUND((F9-E9)*100,1)</f>
        <v>2.8</v>
      </c>
      <c r="H9" s="53" t="n">
        <f aca="false">G9/30.48</f>
        <v>0.0918635170603675</v>
      </c>
      <c r="I9" s="56" t="n">
        <v>-0.1</v>
      </c>
      <c r="J9" s="56" t="n">
        <v>-2.3</v>
      </c>
      <c r="K9" s="57" t="n">
        <f aca="false">G9^2</f>
        <v>7.84</v>
      </c>
      <c r="L9" s="57" t="n">
        <f aca="false">I9^2</f>
        <v>0.01</v>
      </c>
      <c r="M9" s="57" t="n">
        <f aca="false">J9^2</f>
        <v>5.29</v>
      </c>
    </row>
    <row r="10" customFormat="false" ht="15" hidden="false" customHeight="false" outlineLevel="0" collapsed="false">
      <c r="A10" s="2" t="s">
        <v>1585</v>
      </c>
      <c r="B10" s="54" t="n">
        <v>366.4</v>
      </c>
      <c r="C10" s="55" t="n">
        <f aca="false">B10/0.3048</f>
        <v>1202.09973753281</v>
      </c>
      <c r="D10" s="56" t="s">
        <v>1581</v>
      </c>
      <c r="E10" s="54" t="n">
        <v>7.161</v>
      </c>
      <c r="F10" s="54" t="n">
        <v>7.125</v>
      </c>
      <c r="G10" s="55" t="n">
        <f aca="false">ROUND((F10-E10)*100,1)</f>
        <v>-3.6</v>
      </c>
      <c r="H10" s="53" t="n">
        <f aca="false">G10/30.48</f>
        <v>-0.118110236220472</v>
      </c>
      <c r="I10" s="56" t="n">
        <v>1.4</v>
      </c>
      <c r="J10" s="56" t="n">
        <v>-2.7</v>
      </c>
      <c r="K10" s="57" t="n">
        <f aca="false">G10^2</f>
        <v>12.96</v>
      </c>
      <c r="L10" s="57" t="n">
        <f aca="false">I10^2</f>
        <v>1.96</v>
      </c>
      <c r="M10" s="57" t="n">
        <f aca="false">J10^2</f>
        <v>7.29</v>
      </c>
    </row>
    <row r="11" customFormat="false" ht="15" hidden="false" customHeight="false" outlineLevel="0" collapsed="false">
      <c r="A11" s="2" t="s">
        <v>1586</v>
      </c>
      <c r="B11" s="54" t="n">
        <v>433.1</v>
      </c>
      <c r="C11" s="55" t="n">
        <f aca="false">B11/0.3048</f>
        <v>1420.93175853018</v>
      </c>
      <c r="D11" s="56" t="s">
        <v>1579</v>
      </c>
      <c r="E11" s="54" t="n">
        <v>7.307</v>
      </c>
      <c r="F11" s="54" t="n">
        <v>7.297</v>
      </c>
      <c r="G11" s="55" t="n">
        <f aca="false">ROUND((F11-E11)*100,1)</f>
        <v>-1</v>
      </c>
      <c r="H11" s="53" t="n">
        <f aca="false">G11/30.48</f>
        <v>-0.0328083989501312</v>
      </c>
      <c r="I11" s="56" t="n">
        <v>0.9</v>
      </c>
      <c r="J11" s="56" t="n">
        <v>-1.1</v>
      </c>
      <c r="K11" s="57" t="n">
        <f aca="false">G11^2</f>
        <v>1</v>
      </c>
      <c r="L11" s="57" t="n">
        <f aca="false">I11^2</f>
        <v>0.81</v>
      </c>
      <c r="M11" s="57" t="n">
        <f aca="false">J11^2</f>
        <v>1.21</v>
      </c>
    </row>
    <row r="12" customFormat="false" ht="15" hidden="false" customHeight="false" outlineLevel="0" collapsed="false">
      <c r="A12" s="2" t="s">
        <v>1587</v>
      </c>
      <c r="B12" s="54" t="n">
        <v>499.8</v>
      </c>
      <c r="C12" s="55" t="n">
        <f aca="false">B12/0.3048</f>
        <v>1639.76377952756</v>
      </c>
      <c r="D12" s="56" t="s">
        <v>1581</v>
      </c>
      <c r="E12" s="54" t="n">
        <v>7.439</v>
      </c>
      <c r="F12" s="54" t="n">
        <v>7.456</v>
      </c>
      <c r="G12" s="55" t="n">
        <f aca="false">ROUND((F12-E12)*100,1)</f>
        <v>1.7</v>
      </c>
      <c r="H12" s="53" t="n">
        <f aca="false">G12/30.48</f>
        <v>0.0557742782152231</v>
      </c>
      <c r="I12" s="56" t="n">
        <v>-0.8</v>
      </c>
      <c r="J12" s="56" t="n">
        <v>1.5</v>
      </c>
      <c r="K12" s="57" t="n">
        <f aca="false">G12^2</f>
        <v>2.89</v>
      </c>
      <c r="L12" s="57" t="n">
        <f aca="false">I12^2</f>
        <v>0.64</v>
      </c>
      <c r="M12" s="57" t="n">
        <f aca="false">J12^2</f>
        <v>2.25</v>
      </c>
    </row>
    <row r="13" customFormat="false" ht="15" hidden="false" customHeight="false" outlineLevel="0" collapsed="false">
      <c r="A13" s="2" t="s">
        <v>1588</v>
      </c>
      <c r="B13" s="54" t="n">
        <v>566.5</v>
      </c>
      <c r="C13" s="55" t="n">
        <f aca="false">B13/0.3048</f>
        <v>1858.59580052493</v>
      </c>
      <c r="D13" s="56" t="s">
        <v>1579</v>
      </c>
      <c r="E13" s="54" t="n">
        <v>7.562</v>
      </c>
      <c r="F13" s="54" t="n">
        <v>7.557</v>
      </c>
      <c r="G13" s="55" t="n">
        <f aca="false">ROUND((F13-E13)*100,1)</f>
        <v>-0.5</v>
      </c>
      <c r="H13" s="53" t="n">
        <f aca="false">G13/30.48</f>
        <v>-0.0164041994750656</v>
      </c>
      <c r="I13" s="56" t="n">
        <v>-1</v>
      </c>
      <c r="J13" s="56" t="n">
        <v>1.5</v>
      </c>
      <c r="K13" s="57" t="n">
        <f aca="false">G13^2</f>
        <v>0.25</v>
      </c>
      <c r="L13" s="57" t="n">
        <f aca="false">I13^2</f>
        <v>1</v>
      </c>
      <c r="M13" s="57" t="n">
        <f aca="false">J13^2</f>
        <v>2.25</v>
      </c>
    </row>
    <row r="14" customFormat="false" ht="15" hidden="false" customHeight="false" outlineLevel="0" collapsed="false">
      <c r="A14" s="2" t="s">
        <v>1589</v>
      </c>
      <c r="B14" s="54" t="n">
        <v>633.2</v>
      </c>
      <c r="C14" s="55" t="n">
        <f aca="false">B14/0.3048</f>
        <v>2077.42782152231</v>
      </c>
      <c r="D14" s="56" t="s">
        <v>1581</v>
      </c>
      <c r="E14" s="54" t="n">
        <v>7.679</v>
      </c>
      <c r="F14" s="54" t="n">
        <v>7.675</v>
      </c>
      <c r="G14" s="55" t="n">
        <f aca="false">ROUND((F14-E14)*100,1)</f>
        <v>-0.4</v>
      </c>
      <c r="H14" s="53" t="n">
        <f aca="false">G14/30.48</f>
        <v>-0.0131233595800525</v>
      </c>
      <c r="I14" s="56" t="n">
        <v>3.2</v>
      </c>
      <c r="J14" s="56" t="n">
        <v>0.5</v>
      </c>
      <c r="K14" s="57" t="n">
        <f aca="false">G14^2</f>
        <v>0.16</v>
      </c>
      <c r="L14" s="57" t="n">
        <f aca="false">I14^2</f>
        <v>10.24</v>
      </c>
      <c r="M14" s="57" t="n">
        <f aca="false">J14^2</f>
        <v>0.25</v>
      </c>
    </row>
    <row r="15" customFormat="false" ht="15" hidden="false" customHeight="false" outlineLevel="0" collapsed="false">
      <c r="A15" s="2" t="s">
        <v>1590</v>
      </c>
      <c r="B15" s="54" t="n">
        <v>699.9</v>
      </c>
      <c r="C15" s="55" t="n">
        <f aca="false">B15/0.3048</f>
        <v>2296.25984251968</v>
      </c>
      <c r="D15" s="56" t="s">
        <v>1579</v>
      </c>
      <c r="E15" s="54" t="n">
        <v>7.797</v>
      </c>
      <c r="F15" s="54" t="n">
        <v>7.791</v>
      </c>
      <c r="G15" s="55" t="n">
        <f aca="false">ROUND((F15-E15)*100,1)</f>
        <v>-0.6</v>
      </c>
      <c r="H15" s="53" t="n">
        <f aca="false">G15/30.48</f>
        <v>-0.0196850393700787</v>
      </c>
      <c r="I15" s="56" t="n">
        <v>-2.7</v>
      </c>
      <c r="J15" s="56" t="n">
        <v>-1.5</v>
      </c>
      <c r="K15" s="57" t="n">
        <f aca="false">G15^2</f>
        <v>0.36</v>
      </c>
      <c r="L15" s="57" t="n">
        <f aca="false">I15^2</f>
        <v>7.29</v>
      </c>
      <c r="M15" s="57" t="n">
        <f aca="false">J15^2</f>
        <v>2.25</v>
      </c>
    </row>
    <row r="16" customFormat="false" ht="15" hidden="false" customHeight="false" outlineLevel="0" collapsed="false">
      <c r="A16" s="2" t="s">
        <v>1591</v>
      </c>
      <c r="B16" s="54" t="n">
        <v>766.6</v>
      </c>
      <c r="C16" s="55" t="n">
        <f aca="false">B16/0.3048</f>
        <v>2515.09186351706</v>
      </c>
      <c r="D16" s="56" t="s">
        <v>1581</v>
      </c>
      <c r="E16" s="54" t="n">
        <v>7.921</v>
      </c>
      <c r="F16" s="54" t="n">
        <v>7.945</v>
      </c>
      <c r="G16" s="55" t="n">
        <f aca="false">ROUND((F16-E16)*100,1)</f>
        <v>2.4</v>
      </c>
      <c r="H16" s="53" t="n">
        <f aca="false">G16/30.48</f>
        <v>0.078740157480315</v>
      </c>
      <c r="I16" s="56" t="n">
        <v>-3.7</v>
      </c>
      <c r="J16" s="56" t="n">
        <v>0.9</v>
      </c>
      <c r="K16" s="57" t="n">
        <f aca="false">G16^2</f>
        <v>5.76</v>
      </c>
      <c r="L16" s="57" t="n">
        <f aca="false">I16^2</f>
        <v>13.69</v>
      </c>
      <c r="M16" s="57" t="n">
        <f aca="false">J16^2</f>
        <v>0.81</v>
      </c>
    </row>
    <row r="17" customFormat="false" ht="15" hidden="false" customHeight="false" outlineLevel="0" collapsed="false">
      <c r="A17" s="2" t="s">
        <v>1592</v>
      </c>
      <c r="B17" s="54" t="n">
        <v>833.3</v>
      </c>
      <c r="C17" s="55" t="n">
        <f aca="false">B17/0.3048</f>
        <v>2733.92388451444</v>
      </c>
      <c r="D17" s="56" t="s">
        <v>1579</v>
      </c>
      <c r="E17" s="54" t="n">
        <v>8.055</v>
      </c>
      <c r="F17" s="54" t="n">
        <v>8.073</v>
      </c>
      <c r="G17" s="55" t="n">
        <f aca="false">ROUND((F17-E17)*100,1)</f>
        <v>1.8</v>
      </c>
      <c r="H17" s="53" t="n">
        <f aca="false">G17/30.48</f>
        <v>0.0590551181102362</v>
      </c>
      <c r="I17" s="56" t="n">
        <v>2.2</v>
      </c>
      <c r="J17" s="56" t="n">
        <v>-0.7</v>
      </c>
      <c r="K17" s="57" t="n">
        <f aca="false">G17^2</f>
        <v>3.24</v>
      </c>
      <c r="L17" s="57" t="n">
        <f aca="false">I17^2</f>
        <v>4.84</v>
      </c>
      <c r="M17" s="57" t="n">
        <f aca="false">J17^2</f>
        <v>0.49</v>
      </c>
    </row>
    <row r="18" customFormat="false" ht="15" hidden="false" customHeight="false" outlineLevel="0" collapsed="false">
      <c r="A18" s="2" t="s">
        <v>1593</v>
      </c>
      <c r="B18" s="54" t="n">
        <v>900</v>
      </c>
      <c r="C18" s="55" t="n">
        <f aca="false">B18/0.3048</f>
        <v>2952.75590551181</v>
      </c>
      <c r="D18" s="56" t="s">
        <v>1581</v>
      </c>
      <c r="E18" s="54" t="n">
        <v>8.203</v>
      </c>
      <c r="F18" s="54" t="n">
        <v>8.173</v>
      </c>
      <c r="G18" s="55" t="n">
        <f aca="false">ROUND((F18-E18)*100,1)</f>
        <v>-3</v>
      </c>
      <c r="H18" s="53" t="n">
        <f aca="false">G18/30.48</f>
        <v>-0.0984251968503937</v>
      </c>
      <c r="I18" s="56" t="n">
        <v>2.5</v>
      </c>
      <c r="J18" s="56" t="n">
        <v>0.6</v>
      </c>
      <c r="K18" s="57" t="n">
        <f aca="false">G18^2</f>
        <v>9</v>
      </c>
      <c r="L18" s="57" t="n">
        <f aca="false">I18^2</f>
        <v>6.25</v>
      </c>
      <c r="M18" s="57" t="n">
        <f aca="false">J18^2</f>
        <v>0.36</v>
      </c>
    </row>
    <row r="19" customFormat="false" ht="15" hidden="false" customHeight="false" outlineLevel="0" collapsed="false">
      <c r="A19" s="2" t="s">
        <v>1594</v>
      </c>
      <c r="B19" s="54" t="n">
        <v>966.7</v>
      </c>
      <c r="C19" s="55" t="n">
        <f aca="false">B19/0.3048</f>
        <v>3171.58792650919</v>
      </c>
      <c r="D19" s="56" t="s">
        <v>1579</v>
      </c>
      <c r="E19" s="54" t="n">
        <v>8.368</v>
      </c>
      <c r="F19" s="54" t="n">
        <v>8.343</v>
      </c>
      <c r="G19" s="55" t="n">
        <f aca="false">ROUND((F19-E19)*100,1)</f>
        <v>-2.5</v>
      </c>
      <c r="H19" s="53" t="n">
        <f aca="false">G19/30.48</f>
        <v>-0.0820209973753281</v>
      </c>
      <c r="I19" s="56" t="n">
        <v>-2.8</v>
      </c>
      <c r="J19" s="56" t="n">
        <v>3</v>
      </c>
      <c r="K19" s="57" t="n">
        <f aca="false">G19^2</f>
        <v>6.25</v>
      </c>
      <c r="L19" s="57" t="n">
        <f aca="false">I19^2</f>
        <v>7.84</v>
      </c>
      <c r="M19" s="57" t="n">
        <f aca="false">J19^2</f>
        <v>9</v>
      </c>
    </row>
    <row r="20" customFormat="false" ht="15" hidden="false" customHeight="false" outlineLevel="0" collapsed="false">
      <c r="A20" s="2" t="s">
        <v>1595</v>
      </c>
      <c r="B20" s="54" t="n">
        <v>1033.3</v>
      </c>
      <c r="C20" s="55" t="n">
        <f aca="false">B20/0.3048</f>
        <v>3390.09186351706</v>
      </c>
      <c r="D20" s="56" t="s">
        <v>1581</v>
      </c>
      <c r="E20" s="54" t="n">
        <v>8.549</v>
      </c>
      <c r="F20" s="54" t="n">
        <v>8.541</v>
      </c>
      <c r="G20" s="55" t="n">
        <f aca="false">ROUND((F20-E20)*100,1)</f>
        <v>-0.8</v>
      </c>
      <c r="H20" s="53" t="n">
        <f aca="false">G20/30.48</f>
        <v>-0.026246719160105</v>
      </c>
      <c r="I20" s="56" t="n">
        <v>1.6</v>
      </c>
      <c r="J20" s="56" t="n">
        <v>-0.7</v>
      </c>
      <c r="K20" s="57" t="n">
        <f aca="false">G20^2</f>
        <v>0.64</v>
      </c>
      <c r="L20" s="57" t="n">
        <f aca="false">I20^2</f>
        <v>2.56</v>
      </c>
      <c r="M20" s="57" t="n">
        <f aca="false">J20^2</f>
        <v>0.49</v>
      </c>
    </row>
    <row r="21" customFormat="false" ht="15" hidden="false" customHeight="false" outlineLevel="0" collapsed="false">
      <c r="A21" s="2" t="s">
        <v>1596</v>
      </c>
      <c r="B21" s="54" t="n">
        <v>1100</v>
      </c>
      <c r="C21" s="55" t="n">
        <f aca="false">B21/0.3048</f>
        <v>3608.92388451444</v>
      </c>
      <c r="D21" s="56" t="s">
        <v>1579</v>
      </c>
      <c r="E21" s="54" t="n">
        <v>8.744</v>
      </c>
      <c r="F21" s="54" t="n">
        <v>8.742</v>
      </c>
      <c r="G21" s="55" t="n">
        <f aca="false">ROUND((F21-E21)*100,1)</f>
        <v>-0.2</v>
      </c>
      <c r="H21" s="53" t="n">
        <f aca="false">G21/30.48</f>
        <v>-0.00656167979002625</v>
      </c>
      <c r="I21" s="56" t="n">
        <v>0.4</v>
      </c>
      <c r="J21" s="56" t="n">
        <v>-2.5</v>
      </c>
      <c r="K21" s="57" t="n">
        <f aca="false">G21^2</f>
        <v>0.04</v>
      </c>
      <c r="L21" s="57" t="n">
        <f aca="false">I21^2</f>
        <v>0.16</v>
      </c>
      <c r="M21" s="57" t="n">
        <f aca="false">J21^2</f>
        <v>6.25</v>
      </c>
    </row>
    <row r="22" customFormat="false" ht="15" hidden="false" customHeight="false" outlineLevel="0" collapsed="false">
      <c r="A22" s="2" t="s">
        <v>1597</v>
      </c>
      <c r="B22" s="54" t="n">
        <v>1166.7</v>
      </c>
      <c r="C22" s="55" t="n">
        <f aca="false">B22/0.3048</f>
        <v>3827.75590551181</v>
      </c>
      <c r="D22" s="56" t="s">
        <v>1581</v>
      </c>
      <c r="E22" s="54" t="n">
        <v>8.952</v>
      </c>
      <c r="F22" s="54" t="n">
        <v>8.975</v>
      </c>
      <c r="G22" s="55" t="n">
        <f aca="false">ROUND((F22-E22)*100,1)</f>
        <v>2.3</v>
      </c>
      <c r="H22" s="53" t="n">
        <f aca="false">G22/30.48</f>
        <v>0.0754593175853018</v>
      </c>
      <c r="I22" s="56" t="n">
        <v>-0.7</v>
      </c>
      <c r="J22" s="56" t="n">
        <v>2.6</v>
      </c>
      <c r="K22" s="57" t="n">
        <f aca="false">G22^2</f>
        <v>5.29</v>
      </c>
      <c r="L22" s="57" t="n">
        <f aca="false">I22^2</f>
        <v>0.49</v>
      </c>
      <c r="M22" s="57" t="n">
        <f aca="false">J22^2</f>
        <v>6.76</v>
      </c>
    </row>
    <row r="23" customFormat="false" ht="15" hidden="false" customHeight="false" outlineLevel="0" collapsed="false">
      <c r="A23" s="2" t="s">
        <v>1598</v>
      </c>
      <c r="B23" s="54" t="n">
        <v>1233.4</v>
      </c>
      <c r="C23" s="55" t="n">
        <f aca="false">B23/0.3048</f>
        <v>4046.58792650919</v>
      </c>
      <c r="D23" s="56" t="s">
        <v>1579</v>
      </c>
      <c r="E23" s="54" t="n">
        <v>9.166</v>
      </c>
      <c r="F23" s="54" t="n">
        <v>9.165</v>
      </c>
      <c r="G23" s="55" t="n">
        <f aca="false">ROUND((F23-E23)*100,1)</f>
        <v>-0.1</v>
      </c>
      <c r="H23" s="53" t="n">
        <f aca="false">G23/30.48</f>
        <v>-0.00328083989501312</v>
      </c>
      <c r="I23" s="56" t="n">
        <v>-0.2</v>
      </c>
      <c r="J23" s="56" t="n">
        <v>-0.6</v>
      </c>
      <c r="K23" s="57" t="n">
        <f aca="false">G23^2</f>
        <v>0.01</v>
      </c>
      <c r="L23" s="57" t="n">
        <f aca="false">I23^2</f>
        <v>0.04</v>
      </c>
      <c r="M23" s="57" t="n">
        <f aca="false">J23^2</f>
        <v>0.36</v>
      </c>
    </row>
    <row r="24" customFormat="false" ht="15" hidden="false" customHeight="false" outlineLevel="0" collapsed="false">
      <c r="A24" s="2" t="s">
        <v>1599</v>
      </c>
      <c r="B24" s="54" t="n">
        <v>1300.1</v>
      </c>
      <c r="C24" s="55" t="n">
        <f aca="false">B24/0.3048</f>
        <v>4265.41994750656</v>
      </c>
      <c r="D24" s="56" t="s">
        <v>1581</v>
      </c>
      <c r="E24" s="54" t="n">
        <v>9.383</v>
      </c>
      <c r="F24" s="54" t="n">
        <v>9.415</v>
      </c>
      <c r="G24" s="55" t="n">
        <f aca="false">ROUND((F24-E24)*100,1)</f>
        <v>3.2</v>
      </c>
      <c r="H24" s="53" t="n">
        <f aca="false">G24/30.48</f>
        <v>0.10498687664042</v>
      </c>
      <c r="I24" s="56" t="n">
        <v>4</v>
      </c>
      <c r="J24" s="56" t="n">
        <v>-0.6</v>
      </c>
      <c r="K24" s="57" t="n">
        <f aca="false">G24^2</f>
        <v>10.24</v>
      </c>
      <c r="L24" s="57" t="n">
        <f aca="false">I24^2</f>
        <v>16</v>
      </c>
      <c r="M24" s="57" t="n">
        <f aca="false">J24^2</f>
        <v>0.36</v>
      </c>
    </row>
    <row r="25" customFormat="false" ht="15" hidden="false" customHeight="false" outlineLevel="0" collapsed="false">
      <c r="A25" s="2" t="s">
        <v>1600</v>
      </c>
      <c r="B25" s="54" t="n">
        <v>1366.8</v>
      </c>
      <c r="C25" s="55" t="n">
        <f aca="false">B25/0.3048</f>
        <v>4484.25196850394</v>
      </c>
      <c r="D25" s="56" t="s">
        <v>1579</v>
      </c>
      <c r="E25" s="54" t="n">
        <v>9.595</v>
      </c>
      <c r="F25" s="54" t="n">
        <v>9.64</v>
      </c>
      <c r="G25" s="55" t="n">
        <f aca="false">ROUND((F25-E25)*100,1)</f>
        <v>4.5</v>
      </c>
      <c r="H25" s="53" t="n">
        <f aca="false">G25/30.48</f>
        <v>0.147637795275591</v>
      </c>
      <c r="I25" s="56" t="n">
        <v>1.4</v>
      </c>
      <c r="J25" s="56" t="n">
        <v>-2.9</v>
      </c>
      <c r="K25" s="57" t="n">
        <f aca="false">G25^2</f>
        <v>20.25</v>
      </c>
      <c r="L25" s="57" t="n">
        <f aca="false">I25^2</f>
        <v>1.96</v>
      </c>
      <c r="M25" s="57" t="n">
        <f aca="false">J25^2</f>
        <v>8.41</v>
      </c>
    </row>
    <row r="26" customFormat="false" ht="15" hidden="false" customHeight="false" outlineLevel="0" collapsed="false">
      <c r="A26" s="2" t="s">
        <v>1601</v>
      </c>
      <c r="B26" s="54" t="n">
        <v>1433.5</v>
      </c>
      <c r="C26" s="55" t="n">
        <f aca="false">B26/0.3048</f>
        <v>4703.08398950131</v>
      </c>
      <c r="D26" s="56" t="s">
        <v>1581</v>
      </c>
      <c r="E26" s="54" t="n">
        <v>9.8</v>
      </c>
      <c r="F26" s="54" t="n">
        <v>9.781</v>
      </c>
      <c r="G26" s="55" t="n">
        <f aca="false">ROUND((F26-E26)*100,1)</f>
        <v>-1.9</v>
      </c>
      <c r="H26" s="53" t="n">
        <f aca="false">G26/30.48</f>
        <v>-0.0623359580052493</v>
      </c>
      <c r="I26" s="56" t="n">
        <v>1</v>
      </c>
      <c r="J26" s="56" t="n">
        <v>0.8</v>
      </c>
      <c r="K26" s="57" t="n">
        <f aca="false">G26^2</f>
        <v>3.61</v>
      </c>
      <c r="L26" s="57" t="n">
        <f aca="false">I26^2</f>
        <v>1</v>
      </c>
      <c r="M26" s="57" t="n">
        <f aca="false">J26^2</f>
        <v>0.64</v>
      </c>
    </row>
    <row r="27" customFormat="false" ht="15" hidden="false" customHeight="false" outlineLevel="0" collapsed="false">
      <c r="A27" s="2" t="s">
        <v>1602</v>
      </c>
      <c r="B27" s="54" t="n">
        <v>1500.2</v>
      </c>
      <c r="C27" s="55" t="n">
        <f aca="false">B27/0.3048</f>
        <v>4921.91601049869</v>
      </c>
      <c r="D27" s="56" t="s">
        <v>1579</v>
      </c>
      <c r="E27" s="54" t="n">
        <v>9.991</v>
      </c>
      <c r="F27" s="54" t="n">
        <v>9.996</v>
      </c>
      <c r="G27" s="55" t="n">
        <f aca="false">ROUND((F27-E27)*100,1)</f>
        <v>0.5</v>
      </c>
      <c r="H27" s="53" t="n">
        <f aca="false">G27/30.48</f>
        <v>0.0164041994750656</v>
      </c>
      <c r="I27" s="56" t="n">
        <v>0.8</v>
      </c>
      <c r="J27" s="56" t="n">
        <v>1.3</v>
      </c>
      <c r="K27" s="57" t="n">
        <f aca="false">G27^2</f>
        <v>0.25</v>
      </c>
      <c r="L27" s="57" t="n">
        <f aca="false">I27^2</f>
        <v>0.64</v>
      </c>
      <c r="M27" s="57" t="n">
        <f aca="false">J27^2</f>
        <v>1.69</v>
      </c>
    </row>
    <row r="28" customFormat="false" ht="15" hidden="false" customHeight="false" outlineLevel="0" collapsed="false">
      <c r="A28" s="2" t="s">
        <v>1603</v>
      </c>
      <c r="B28" s="54" t="n">
        <v>1566.9</v>
      </c>
      <c r="C28" s="55" t="n">
        <f aca="false">B28/0.3048</f>
        <v>5140.74803149606</v>
      </c>
      <c r="D28" s="56" t="s">
        <v>1581</v>
      </c>
      <c r="E28" s="54" t="n">
        <v>10.167</v>
      </c>
      <c r="F28" s="54" t="n">
        <v>10.193</v>
      </c>
      <c r="G28" s="55" t="n">
        <f aca="false">ROUND((F28-E28)*100,1)</f>
        <v>2.6</v>
      </c>
      <c r="H28" s="53" t="n">
        <f aca="false">G28/30.48</f>
        <v>0.0853018372703412</v>
      </c>
      <c r="I28" s="56" t="n">
        <v>-1.8</v>
      </c>
      <c r="J28" s="56" t="n">
        <v>0</v>
      </c>
      <c r="K28" s="57" t="n">
        <f aca="false">G28^2</f>
        <v>6.76</v>
      </c>
      <c r="L28" s="57" t="n">
        <f aca="false">I28^2</f>
        <v>3.24</v>
      </c>
      <c r="M28" s="57" t="n">
        <f aca="false">J28^2</f>
        <v>0</v>
      </c>
    </row>
    <row r="29" customFormat="false" ht="15" hidden="false" customHeight="false" outlineLevel="0" collapsed="false">
      <c r="A29" s="2" t="s">
        <v>1604</v>
      </c>
      <c r="B29" s="54" t="n">
        <v>1633.6</v>
      </c>
      <c r="C29" s="55" t="n">
        <f aca="false">B29/0.3048</f>
        <v>5359.58005249344</v>
      </c>
      <c r="D29" s="56" t="s">
        <v>1579</v>
      </c>
      <c r="E29" s="54" t="n">
        <v>10.327</v>
      </c>
      <c r="F29" s="54" t="n">
        <v>10.334</v>
      </c>
      <c r="G29" s="55" t="n">
        <f aca="false">ROUND((F29-E29)*100,1)</f>
        <v>0.7</v>
      </c>
      <c r="H29" s="53" t="n">
        <f aca="false">G29/30.48</f>
        <v>0.0229658792650919</v>
      </c>
      <c r="I29" s="56" t="n">
        <v>-1.1</v>
      </c>
      <c r="J29" s="56" t="n">
        <v>1.3</v>
      </c>
      <c r="K29" s="57" t="n">
        <f aca="false">G29^2</f>
        <v>0.49</v>
      </c>
      <c r="L29" s="57" t="n">
        <f aca="false">I29^2</f>
        <v>1.21</v>
      </c>
      <c r="M29" s="57" t="n">
        <f aca="false">J29^2</f>
        <v>1.69</v>
      </c>
    </row>
    <row r="30" customFormat="false" ht="15" hidden="false" customHeight="false" outlineLevel="0" collapsed="false">
      <c r="A30" s="2" t="s">
        <v>1605</v>
      </c>
      <c r="B30" s="54" t="n">
        <v>1700.2</v>
      </c>
      <c r="C30" s="55" t="n">
        <f aca="false">B30/0.3048</f>
        <v>5578.08398950131</v>
      </c>
      <c r="D30" s="56" t="s">
        <v>1581</v>
      </c>
      <c r="E30" s="54" t="n">
        <v>10.47</v>
      </c>
      <c r="F30" s="54" t="n">
        <v>10.48</v>
      </c>
      <c r="G30" s="55" t="n">
        <f aca="false">ROUND((F30-E30)*100,1)</f>
        <v>1</v>
      </c>
      <c r="H30" s="53" t="n">
        <f aca="false">G30/30.48</f>
        <v>0.0328083989501312</v>
      </c>
      <c r="I30" s="56" t="n">
        <v>-0.7</v>
      </c>
      <c r="J30" s="56" t="n">
        <v>-1</v>
      </c>
      <c r="K30" s="57" t="n">
        <f aca="false">G30^2</f>
        <v>1</v>
      </c>
      <c r="L30" s="57" t="n">
        <f aca="false">I30^2</f>
        <v>0.49</v>
      </c>
      <c r="M30" s="57" t="n">
        <f aca="false">J30^2</f>
        <v>1</v>
      </c>
    </row>
    <row r="31" customFormat="false" ht="15" hidden="false" customHeight="false" outlineLevel="0" collapsed="false">
      <c r="A31" s="2" t="s">
        <v>1606</v>
      </c>
      <c r="B31" s="54" t="n">
        <v>1766.9</v>
      </c>
      <c r="C31" s="55" t="n">
        <f aca="false">B31/0.3048</f>
        <v>5796.91601049869</v>
      </c>
      <c r="D31" s="56" t="s">
        <v>1579</v>
      </c>
      <c r="E31" s="54" t="n">
        <v>10.601</v>
      </c>
      <c r="F31" s="54" t="n">
        <v>10.592</v>
      </c>
      <c r="G31" s="55" t="n">
        <f aca="false">ROUND((F31-E31)*100,1)</f>
        <v>-0.9</v>
      </c>
      <c r="H31" s="53" t="n">
        <f aca="false">G31/30.48</f>
        <v>-0.0295275590551181</v>
      </c>
      <c r="I31" s="56" t="n">
        <v>-2.5</v>
      </c>
      <c r="J31" s="56" t="n">
        <v>1.7</v>
      </c>
      <c r="K31" s="57" t="n">
        <f aca="false">G31^2</f>
        <v>0.81</v>
      </c>
      <c r="L31" s="57" t="n">
        <f aca="false">I31^2</f>
        <v>6.25</v>
      </c>
      <c r="M31" s="57" t="n">
        <f aca="false">J31^2</f>
        <v>2.89</v>
      </c>
    </row>
    <row r="32" customFormat="false" ht="15" hidden="false" customHeight="false" outlineLevel="0" collapsed="false">
      <c r="A32" s="2" t="s">
        <v>1607</v>
      </c>
      <c r="B32" s="54" t="n">
        <v>1833.6</v>
      </c>
      <c r="C32" s="55" t="n">
        <f aca="false">B32/0.3048</f>
        <v>6015.74803149606</v>
      </c>
      <c r="D32" s="56" t="s">
        <v>1581</v>
      </c>
      <c r="E32" s="54" t="n">
        <v>10.722</v>
      </c>
      <c r="F32" s="54" t="n">
        <v>10.711</v>
      </c>
      <c r="G32" s="55" t="n">
        <f aca="false">ROUND((F32-E32)*100,1)</f>
        <v>-1.1</v>
      </c>
      <c r="H32" s="53" t="n">
        <f aca="false">G32/30.48</f>
        <v>-0.0360892388451444</v>
      </c>
      <c r="I32" s="56" t="n">
        <v>0.9</v>
      </c>
      <c r="J32" s="56" t="n">
        <v>0.9</v>
      </c>
      <c r="K32" s="57" t="n">
        <f aca="false">G32^2</f>
        <v>1.21</v>
      </c>
      <c r="L32" s="57" t="n">
        <f aca="false">I32^2</f>
        <v>0.81</v>
      </c>
      <c r="M32" s="57" t="n">
        <f aca="false">J32^2</f>
        <v>0.81</v>
      </c>
    </row>
    <row r="33" customFormat="false" ht="15" hidden="false" customHeight="false" outlineLevel="0" collapsed="false">
      <c r="A33" s="2" t="s">
        <v>1608</v>
      </c>
      <c r="B33" s="54" t="n">
        <v>1900.3</v>
      </c>
      <c r="C33" s="55" t="n">
        <f aca="false">B33/0.3048</f>
        <v>6234.58005249344</v>
      </c>
      <c r="D33" s="56" t="s">
        <v>1579</v>
      </c>
      <c r="E33" s="54" t="n">
        <v>10.839</v>
      </c>
      <c r="F33" s="54" t="n">
        <v>10.845</v>
      </c>
      <c r="G33" s="55" t="n">
        <f aca="false">ROUND((F33-E33)*100,1)</f>
        <v>0.6</v>
      </c>
      <c r="H33" s="53" t="n">
        <f aca="false">G33/30.48</f>
        <v>0.0196850393700787</v>
      </c>
      <c r="I33" s="56" t="n">
        <v>2.3</v>
      </c>
      <c r="J33" s="56" t="n">
        <v>2.4</v>
      </c>
      <c r="K33" s="57" t="n">
        <f aca="false">G33^2</f>
        <v>0.36</v>
      </c>
      <c r="L33" s="57" t="n">
        <f aca="false">I33^2</f>
        <v>5.29</v>
      </c>
      <c r="M33" s="57" t="n">
        <f aca="false">J33^2</f>
        <v>5.76</v>
      </c>
    </row>
    <row r="34" customFormat="false" ht="15" hidden="false" customHeight="false" outlineLevel="0" collapsed="false">
      <c r="A34" s="2" t="s">
        <v>1609</v>
      </c>
      <c r="B34" s="54" t="n">
        <v>1967</v>
      </c>
      <c r="C34" s="55" t="n">
        <f aca="false">B34/0.3048</f>
        <v>6453.41207349081</v>
      </c>
      <c r="D34" s="56" t="s">
        <v>1581</v>
      </c>
      <c r="E34" s="54" t="n">
        <v>10.958</v>
      </c>
      <c r="F34" s="54" t="n">
        <v>10.983</v>
      </c>
      <c r="G34" s="55" t="n">
        <f aca="false">ROUND((F34-E34)*100,1)</f>
        <v>2.5</v>
      </c>
      <c r="H34" s="53" t="n">
        <f aca="false">G34/30.48</f>
        <v>0.0820209973753281</v>
      </c>
      <c r="I34" s="56" t="n">
        <v>-0.6</v>
      </c>
      <c r="J34" s="56" t="n">
        <v>-2.9</v>
      </c>
      <c r="K34" s="57" t="n">
        <f aca="false">G34^2</f>
        <v>6.25</v>
      </c>
      <c r="L34" s="57" t="n">
        <f aca="false">I34^2</f>
        <v>0.36</v>
      </c>
      <c r="M34" s="57" t="n">
        <f aca="false">J34^2</f>
        <v>8.41</v>
      </c>
    </row>
    <row r="35" customFormat="false" ht="15" hidden="false" customHeight="false" outlineLevel="0" collapsed="false">
      <c r="A35" s="2"/>
      <c r="B35" s="2"/>
      <c r="C35" s="2"/>
      <c r="D35" s="2"/>
      <c r="E35" s="2"/>
      <c r="F35" s="2"/>
      <c r="G35" s="2"/>
      <c r="H35" s="2"/>
      <c r="I35" s="2"/>
      <c r="J35" s="2"/>
      <c r="K35" s="2"/>
      <c r="L35" s="2"/>
      <c r="M35" s="2"/>
    </row>
    <row r="36" customFormat="false" ht="26.85" hidden="false" customHeight="false" outlineLevel="0" collapsed="false">
      <c r="A36" s="6" t="s">
        <v>1610</v>
      </c>
      <c r="B36" s="6" t="s">
        <v>214</v>
      </c>
      <c r="C36" s="6" t="s">
        <v>215</v>
      </c>
      <c r="D36" s="6" t="s">
        <v>1611</v>
      </c>
      <c r="E36" s="6" t="s">
        <v>217</v>
      </c>
      <c r="F36" s="6" t="s">
        <v>218</v>
      </c>
      <c r="G36" s="6" t="s">
        <v>219</v>
      </c>
      <c r="H36" s="6" t="s">
        <v>220</v>
      </c>
      <c r="I36" s="2"/>
      <c r="J36" s="2"/>
      <c r="K36" s="2"/>
      <c r="L36" s="2"/>
      <c r="M36" s="2"/>
    </row>
    <row r="37" customFormat="false" ht="15" hidden="false" customHeight="false" outlineLevel="0" collapsed="false">
      <c r="A37" s="2" t="s">
        <v>1612</v>
      </c>
      <c r="B37" s="58" t="n">
        <f aca="false">COUNT(G5:G34)</f>
        <v>30</v>
      </c>
      <c r="C37" s="2"/>
      <c r="D37" s="2" t="s">
        <v>1613</v>
      </c>
      <c r="E37" s="2" t="n">
        <v>30</v>
      </c>
      <c r="F37" s="5" t="str">
        <f aca="false">IF(ABS(B37-E37)&lt;=H37,"OK","CHECK")</f>
        <v>OK</v>
      </c>
      <c r="G37" s="2"/>
      <c r="H37" s="56" t="n">
        <v>0</v>
      </c>
      <c r="I37" s="2"/>
      <c r="J37" s="2"/>
      <c r="K37" s="2"/>
      <c r="L37" s="2"/>
      <c r="M37" s="2"/>
    </row>
    <row r="38" customFormat="false" ht="15" hidden="false" customHeight="false" outlineLevel="0" collapsed="false">
      <c r="A38" s="2" t="s">
        <v>1614</v>
      </c>
      <c r="B38" s="58" t="n">
        <f aca="false">AVERAGE(G5:G34)</f>
        <v>0.31</v>
      </c>
      <c r="C38" s="2" t="s">
        <v>300</v>
      </c>
      <c r="D38" s="2" t="s">
        <v>1615</v>
      </c>
      <c r="E38" s="2" t="n">
        <v>0.31</v>
      </c>
      <c r="F38" s="5" t="str">
        <f aca="false">IF(ABS(B38-E38)&lt;=H38,"OK","CHECK")</f>
        <v>OK</v>
      </c>
      <c r="G38" s="59" t="n">
        <f aca="false">B38/30.48</f>
        <v>0.0101706036745407</v>
      </c>
      <c r="H38" s="56" t="n">
        <v>0.005</v>
      </c>
      <c r="I38" s="2"/>
      <c r="J38" s="2"/>
      <c r="K38" s="2"/>
      <c r="L38" s="2"/>
      <c r="M38" s="2"/>
    </row>
    <row r="39" customFormat="false" ht="15" hidden="false" customHeight="false" outlineLevel="0" collapsed="false">
      <c r="A39" s="2" t="s">
        <v>1616</v>
      </c>
      <c r="B39" s="58" t="n">
        <f aca="false">SUM(K5:K34)</f>
        <v>107.99</v>
      </c>
      <c r="C39" s="2" t="s">
        <v>314</v>
      </c>
      <c r="D39" s="2" t="s">
        <v>1617</v>
      </c>
      <c r="E39" s="2" t="n">
        <v>107.99</v>
      </c>
      <c r="F39" s="5" t="str">
        <f aca="false">IF(ABS(B39-E39)&lt;=H39,"OK","CHECK")</f>
        <v>OK</v>
      </c>
      <c r="G39" s="2"/>
      <c r="H39" s="56" t="n">
        <v>0.005</v>
      </c>
      <c r="I39" s="2"/>
      <c r="J39" s="2"/>
      <c r="K39" s="2"/>
      <c r="L39" s="2"/>
      <c r="M39" s="2"/>
    </row>
    <row r="40" customFormat="false" ht="15" hidden="false" customHeight="false" outlineLevel="0" collapsed="false">
      <c r="A40" s="2" t="s">
        <v>1538</v>
      </c>
      <c r="B40" s="58" t="n">
        <f aca="false">SQRT(SUMSQ(G5:G34)/COUNT(G5:G34))</f>
        <v>1.89727875302146</v>
      </c>
      <c r="C40" s="2" t="s">
        <v>300</v>
      </c>
      <c r="D40" s="2" t="s">
        <v>1618</v>
      </c>
      <c r="E40" s="2" t="n">
        <v>1.9</v>
      </c>
      <c r="F40" s="5" t="str">
        <f aca="false">IF(ABS(B40-E40)&lt;=H40,"OK","CHECK")</f>
        <v>OK</v>
      </c>
      <c r="G40" s="59" t="n">
        <f aca="false">B40/30.48</f>
        <v>0.0622466782487356</v>
      </c>
      <c r="H40" s="56" t="n">
        <v>0.005</v>
      </c>
      <c r="I40" s="2"/>
      <c r="J40" s="2"/>
      <c r="K40" s="2"/>
      <c r="L40" s="2"/>
      <c r="M40" s="2"/>
    </row>
    <row r="41" customFormat="false" ht="15" hidden="false" customHeight="false" outlineLevel="0" collapsed="false">
      <c r="A41" s="2" t="s">
        <v>1619</v>
      </c>
      <c r="B41" s="58" t="n">
        <f aca="false">SQRT(SUMSQ(I5:I34)/COUNT(I5:I34))</f>
        <v>1.99966663888426</v>
      </c>
      <c r="C41" s="2" t="s">
        <v>300</v>
      </c>
      <c r="D41" s="2"/>
      <c r="E41" s="2" t="n">
        <v>2</v>
      </c>
      <c r="F41" s="5" t="str">
        <f aca="false">IF(ABS(B41-E41)&lt;=H41,"OK","CHECK")</f>
        <v>OK</v>
      </c>
      <c r="G41" s="59" t="n">
        <f aca="false">B41/30.48</f>
        <v>0.0656058608557828</v>
      </c>
      <c r="H41" s="56" t="n">
        <v>0.005</v>
      </c>
      <c r="I41" s="2"/>
      <c r="J41" s="2"/>
      <c r="K41" s="2"/>
      <c r="L41" s="2"/>
      <c r="M41" s="2"/>
    </row>
    <row r="42" customFormat="false" ht="15" hidden="false" customHeight="false" outlineLevel="0" collapsed="false">
      <c r="A42" s="2" t="s">
        <v>1620</v>
      </c>
      <c r="B42" s="58" t="n">
        <f aca="false">SQRT(SUMSQ(J5:J34)/COUNT(J5:J34))</f>
        <v>1.71454561521899</v>
      </c>
      <c r="C42" s="2" t="s">
        <v>300</v>
      </c>
      <c r="D42" s="2"/>
      <c r="E42" s="2" t="n">
        <v>1.71</v>
      </c>
      <c r="F42" s="5" t="str">
        <f aca="false">IF(ABS(B42-E42)&lt;=H42,"OK","CHECK")</f>
        <v>OK</v>
      </c>
      <c r="G42" s="59" t="n">
        <f aca="false">B42/30.48</f>
        <v>0.0562514965623028</v>
      </c>
      <c r="H42" s="56" t="n">
        <v>0.005</v>
      </c>
      <c r="I42" s="2"/>
      <c r="J42" s="2"/>
      <c r="K42" s="2"/>
      <c r="L42" s="2"/>
      <c r="M42" s="2"/>
    </row>
    <row r="43" customFormat="false" ht="15" hidden="false" customHeight="false" outlineLevel="0" collapsed="false">
      <c r="A43" s="2" t="s">
        <v>1621</v>
      </c>
      <c r="B43" s="58" t="n">
        <f aca="false">SQRT(B41^2+B42^2)</f>
        <v>2.63407162646222</v>
      </c>
      <c r="C43" s="2" t="s">
        <v>300</v>
      </c>
      <c r="D43" s="2" t="s">
        <v>906</v>
      </c>
      <c r="E43" s="2" t="n">
        <v>2.63</v>
      </c>
      <c r="F43" s="5" t="str">
        <f aca="false">IF(ABS(B43-E43)&lt;=H43,"OK","CHECK")</f>
        <v>OK</v>
      </c>
      <c r="G43" s="59" t="n">
        <f aca="false">B43/30.48</f>
        <v>0.0864196727841936</v>
      </c>
      <c r="H43" s="56" t="n">
        <v>0.005</v>
      </c>
      <c r="I43" s="2"/>
      <c r="J43" s="2"/>
      <c r="K43" s="2"/>
      <c r="L43" s="2"/>
      <c r="M43" s="2"/>
    </row>
    <row r="44" customFormat="false" ht="15" hidden="false" customHeight="false" outlineLevel="0" collapsed="false">
      <c r="A44" s="2" t="s">
        <v>1622</v>
      </c>
      <c r="B44" s="60" t="n">
        <v>0.8</v>
      </c>
      <c r="C44" s="2" t="s">
        <v>300</v>
      </c>
      <c r="D44" s="2" t="s">
        <v>226</v>
      </c>
      <c r="E44" s="2"/>
      <c r="F44" s="2"/>
      <c r="G44" s="59" t="n">
        <f aca="false">B44/30.48</f>
        <v>0.026246719160105</v>
      </c>
      <c r="H44" s="2"/>
      <c r="I44" s="2"/>
      <c r="J44" s="2"/>
      <c r="K44" s="2"/>
      <c r="L44" s="2"/>
      <c r="M44" s="2"/>
    </row>
    <row r="45" customFormat="false" ht="15" hidden="false" customHeight="false" outlineLevel="0" collapsed="false">
      <c r="A45" s="2" t="s">
        <v>1623</v>
      </c>
      <c r="B45" s="60" t="n">
        <v>1</v>
      </c>
      <c r="C45" s="2" t="s">
        <v>300</v>
      </c>
      <c r="D45" s="2" t="s">
        <v>226</v>
      </c>
      <c r="E45" s="2"/>
      <c r="F45" s="2"/>
      <c r="G45" s="59" t="n">
        <f aca="false">B45/30.48</f>
        <v>0.0328083989501312</v>
      </c>
      <c r="H45" s="2"/>
      <c r="I45" s="2"/>
      <c r="J45" s="2"/>
      <c r="K45" s="2"/>
      <c r="L45" s="2"/>
      <c r="M45" s="2"/>
    </row>
    <row r="46" customFormat="false" ht="15" hidden="false" customHeight="false" outlineLevel="0" collapsed="false">
      <c r="A46" s="2" t="s">
        <v>1624</v>
      </c>
      <c r="B46" s="58" t="n">
        <f aca="false">SQRT(B40^2+B44^2)</f>
        <v>2.059045086118</v>
      </c>
      <c r="C46" s="2" t="s">
        <v>300</v>
      </c>
      <c r="D46" s="2" t="s">
        <v>1625</v>
      </c>
      <c r="E46" s="2" t="n">
        <v>2.06</v>
      </c>
      <c r="F46" s="5" t="str">
        <f aca="false">IF(ABS(B46-E46)&lt;=H46,"OK","CHECK")</f>
        <v>OK</v>
      </c>
      <c r="G46" s="59" t="n">
        <f aca="false">B46/30.48</f>
        <v>0.0675539726416665</v>
      </c>
      <c r="H46" s="56" t="n">
        <v>0.005</v>
      </c>
      <c r="I46" s="2"/>
      <c r="J46" s="2"/>
      <c r="K46" s="2"/>
      <c r="L46" s="2"/>
      <c r="M46" s="2"/>
    </row>
    <row r="47" customFormat="false" ht="15" hidden="false" customHeight="false" outlineLevel="0" collapsed="false">
      <c r="A47" s="2" t="s">
        <v>1626</v>
      </c>
      <c r="B47" s="58" t="n">
        <f aca="false">SQRT(B43^2+B45^2)</f>
        <v>2.81750480626623</v>
      </c>
      <c r="C47" s="2" t="s">
        <v>300</v>
      </c>
      <c r="D47" s="2"/>
      <c r="E47" s="2" t="n">
        <v>2.82</v>
      </c>
      <c r="F47" s="5" t="str">
        <f aca="false">IF(ABS(B47-E47)&lt;=H47,"OK","CHECK")</f>
        <v>OK</v>
      </c>
      <c r="G47" s="59" t="n">
        <f aca="false">B47/30.48</f>
        <v>0.0924378217278948</v>
      </c>
      <c r="H47" s="56" t="n">
        <v>0.005</v>
      </c>
      <c r="I47" s="2"/>
      <c r="J47" s="2"/>
      <c r="K47" s="2"/>
      <c r="L47" s="2"/>
      <c r="M47" s="2"/>
    </row>
    <row r="48" customFormat="false" ht="15" hidden="false" customHeight="false" outlineLevel="0" collapsed="false">
      <c r="A48" s="2" t="s">
        <v>1627</v>
      </c>
      <c r="B48" s="58" t="n">
        <f aca="false">MAX(MAX(G5:G34),-MIN(G5:G34))</f>
        <v>4.5</v>
      </c>
      <c r="C48" s="2" t="s">
        <v>300</v>
      </c>
      <c r="D48" s="2"/>
      <c r="E48" s="2" t="n">
        <v>4.5</v>
      </c>
      <c r="F48" s="5" t="str">
        <f aca="false">IF(ABS(B48-E48)&lt;=H48,"OK","CHECK")</f>
        <v>OK</v>
      </c>
      <c r="G48" s="59" t="n">
        <f aca="false">B48/30.48</f>
        <v>0.147637795275591</v>
      </c>
      <c r="H48" s="56" t="n">
        <v>0.05</v>
      </c>
      <c r="I48" s="2"/>
      <c r="J48" s="2"/>
      <c r="K48" s="2"/>
      <c r="L48" s="2"/>
      <c r="M48" s="2"/>
    </row>
    <row r="49" customFormat="false" ht="15" hidden="false" customHeight="false" outlineLevel="0" collapsed="false">
      <c r="A49" s="2" t="s">
        <v>1628</v>
      </c>
      <c r="B49" s="58" t="n">
        <f aca="false">3*B40</f>
        <v>5.69183625906438</v>
      </c>
      <c r="C49" s="2" t="s">
        <v>300</v>
      </c>
      <c r="D49" s="2"/>
      <c r="E49" s="2" t="n">
        <v>5.7</v>
      </c>
      <c r="F49" s="5" t="str">
        <f aca="false">IF(ABS(B49-E49)&lt;=H49,"OK","CHECK")</f>
        <v>OK</v>
      </c>
      <c r="G49" s="59" t="n">
        <f aca="false">B49/30.48</f>
        <v>0.186740034746207</v>
      </c>
      <c r="H49" s="56" t="n">
        <v>0.05</v>
      </c>
      <c r="I49" s="2"/>
      <c r="J49" s="2"/>
      <c r="K49" s="2"/>
      <c r="L49" s="2"/>
      <c r="M49" s="2"/>
    </row>
    <row r="50" customFormat="false" ht="15" hidden="false" customHeight="false" outlineLevel="0" collapsed="false">
      <c r="A50" s="2" t="s">
        <v>1629</v>
      </c>
      <c r="B50" s="58" t="n">
        <f aca="false">COUNTIF(G5:G34,"&gt;"&amp;B49)+COUNTIF(G5:G34,"&lt;"&amp;-B49)</f>
        <v>0</v>
      </c>
      <c r="C50" s="2"/>
      <c r="D50" s="2"/>
      <c r="E50" s="2" t="n">
        <v>0</v>
      </c>
      <c r="F50" s="5" t="str">
        <f aca="false">IF(ABS(B50-E50)&lt;=H50,"OK","CHECK")</f>
        <v>OK</v>
      </c>
      <c r="G50" s="2"/>
      <c r="H50" s="56" t="n">
        <v>0</v>
      </c>
      <c r="I50" s="2"/>
      <c r="J50" s="2"/>
      <c r="K50" s="2"/>
      <c r="L50" s="2"/>
      <c r="M50" s="2"/>
    </row>
    <row r="51" customFormat="false" ht="15" hidden="false" customHeight="false" outlineLevel="0" collapsed="false">
      <c r="A51" s="2" t="s">
        <v>1630</v>
      </c>
      <c r="B51" s="60" t="n">
        <v>3</v>
      </c>
      <c r="C51" s="2" t="s">
        <v>300</v>
      </c>
      <c r="D51" s="2" t="s">
        <v>226</v>
      </c>
      <c r="E51" s="2"/>
      <c r="F51" s="2"/>
      <c r="G51" s="59" t="n">
        <f aca="false">B51/30.48</f>
        <v>0.0984251968503937</v>
      </c>
      <c r="H51" s="2"/>
      <c r="I51" s="2"/>
      <c r="J51" s="2"/>
      <c r="K51" s="2"/>
      <c r="L51" s="2"/>
      <c r="M51" s="2"/>
    </row>
    <row r="52" customFormat="false" ht="15" hidden="false" customHeight="false" outlineLevel="0" collapsed="false">
      <c r="A52" s="2" t="s">
        <v>1631</v>
      </c>
      <c r="B52" s="60" t="n">
        <v>5</v>
      </c>
      <c r="C52" s="2" t="s">
        <v>300</v>
      </c>
      <c r="D52" s="2" t="s">
        <v>226</v>
      </c>
      <c r="E52" s="2"/>
      <c r="F52" s="2"/>
      <c r="G52" s="59" t="n">
        <f aca="false">B52/30.48</f>
        <v>0.164041994750656</v>
      </c>
      <c r="H52" s="2"/>
      <c r="I52" s="2"/>
      <c r="J52" s="2"/>
      <c r="K52" s="2"/>
      <c r="L52" s="2"/>
      <c r="M52" s="2"/>
    </row>
    <row r="53" customFormat="false" ht="15" hidden="false" customHeight="false" outlineLevel="0" collapsed="false">
      <c r="A53" s="2" t="s">
        <v>1632</v>
      </c>
      <c r="B53" s="58" t="n">
        <f aca="false">IF(B46&lt;=B51,1,0)</f>
        <v>1</v>
      </c>
      <c r="C53" s="2"/>
      <c r="D53" s="2"/>
      <c r="E53" s="2" t="n">
        <v>1</v>
      </c>
      <c r="F53" s="5" t="str">
        <f aca="false">IF(ABS(B53-E53)&lt;=H53,"OK","CHECK")</f>
        <v>OK</v>
      </c>
      <c r="G53" s="2"/>
      <c r="H53" s="56" t="n">
        <v>0</v>
      </c>
      <c r="I53" s="2"/>
      <c r="J53" s="2"/>
      <c r="K53" s="2"/>
      <c r="L53" s="2"/>
      <c r="M53" s="2"/>
    </row>
    <row r="54" customFormat="false" ht="15" hidden="false" customHeight="false" outlineLevel="0" collapsed="false">
      <c r="A54" s="2" t="s">
        <v>1633</v>
      </c>
      <c r="B54" s="58" t="n">
        <f aca="false">IF(B47&lt;=B52,1,0)</f>
        <v>1</v>
      </c>
      <c r="C54" s="2"/>
      <c r="D54" s="2"/>
      <c r="E54" s="2" t="n">
        <v>1</v>
      </c>
      <c r="F54" s="5" t="str">
        <f aca="false">IF(ABS(B54-E54)&lt;=H54,"OK","CHECK")</f>
        <v>OK</v>
      </c>
      <c r="G54" s="2"/>
      <c r="H54" s="56" t="n">
        <v>0</v>
      </c>
      <c r="I54" s="2"/>
      <c r="J54" s="2"/>
      <c r="K54" s="2"/>
      <c r="L54" s="2"/>
      <c r="M54" s="2"/>
    </row>
    <row r="55" customFormat="false" ht="15" hidden="false" customHeight="false" outlineLevel="0" collapsed="false">
      <c r="A55" s="2"/>
      <c r="B55" s="2"/>
      <c r="C55" s="2"/>
      <c r="D55" s="2"/>
      <c r="E55" s="2"/>
      <c r="F55" s="2"/>
      <c r="G55" s="2"/>
      <c r="H55" s="2"/>
      <c r="I55" s="2"/>
      <c r="J55" s="2"/>
      <c r="K55" s="2"/>
      <c r="L55" s="2"/>
      <c r="M55" s="2"/>
    </row>
    <row r="56" customFormat="false" ht="15" hidden="false" customHeight="false" outlineLevel="0" collapsed="false">
      <c r="A56" s="5" t="s">
        <v>1634</v>
      </c>
      <c r="B56" s="2"/>
      <c r="C56" s="2"/>
      <c r="D56" s="2"/>
      <c r="E56" s="2"/>
      <c r="F56" s="2"/>
      <c r="G56" s="2"/>
      <c r="H56" s="2"/>
      <c r="I56" s="2"/>
      <c r="J56" s="2"/>
      <c r="K56" s="2"/>
      <c r="L56" s="2"/>
      <c r="M56" s="2"/>
    </row>
    <row r="57" customFormat="false" ht="48" hidden="false" customHeight="true" outlineLevel="0" collapsed="false">
      <c r="A57" s="4" t="str">
        <f aca="false">"This data set was tested to meet ASPRS Positional Accuracy Standards for Digital Geospatial Data, Edition 2, Version 2 (2024) for a "&amp;TEXT(B51,"0")&amp;" cm RMSEV Vertical Accuracy Class and a "&amp;TEXT(B52,"0")&amp;" cm RMSEH Horizontal Accuracy Class. NVA was found to be RMSEV = "&amp;TEXT(B46,"0.00")&amp;" cm ("&amp;TEXT(B46/30.48,"0.000")&amp;" ft) and horizontal accuracy RMSEH = "&amp;TEXT(B47,"0.00")&amp;" cm ("&amp;TEXT(B47/30.48,"0.000")&amp;" ft), using "&amp;B37&amp;" independent checkpoints, including checkpoint survey uncertainty."</f>
        <v>This data set was tested to meet ASPRS Positional Accuracy Standards for Digital Geospatial Data, Edition 2, Version 2 (2024) for a 3 cm RMSEV Vertical Accuracy Class and a 5 cm RMSEH Horizontal Accuracy Class. NVA was found to be RMSEV = 2.06 cm (0.068 ft) and horizontal accuracy RMSEH = 2.82 cm (0.092 ft), using 30 independent checkpoints, including checkpoint survey uncertainty.</v>
      </c>
      <c r="B57" s="4"/>
      <c r="C57" s="4"/>
      <c r="D57" s="4"/>
      <c r="E57" s="4"/>
      <c r="F57" s="4"/>
      <c r="G57" s="4"/>
      <c r="H57" s="4"/>
      <c r="I57" s="4"/>
      <c r="J57" s="4"/>
      <c r="K57" s="2"/>
      <c r="L57" s="2"/>
      <c r="M57" s="2"/>
    </row>
  </sheetData>
  <mergeCells count="1">
    <mergeCell ref="A57:J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2026-10-20T22:27:46Z</dcterms:created>
  <dc:creator>openpyxl</dc:creator>
  <dc:description/>
  <dc:language>en-US</dc:language>
  <cp:lastModifiedBy/>
  <dcterms:modified xsi:type="dcterms:W3CDTF">2026-10-20T22:27:48Z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